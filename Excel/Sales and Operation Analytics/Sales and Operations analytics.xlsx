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3.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4.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5.xml" ContentType="application/vnd.openxmlformats-officedocument.spreadsheetml.pivotTable+xml"/>
  <Override PartName="/xl/drawings/drawing1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2.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F:\Softwares\Markitdown\"/>
    </mc:Choice>
  </mc:AlternateContent>
  <xr:revisionPtr revIDLastSave="0" documentId="13_ncr:1_{F9AF78B0-0B13-428A-B489-DC6DB44434AA}" xr6:coauthVersionLast="47" xr6:coauthVersionMax="47" xr10:uidLastSave="{00000000-0000-0000-0000-000000000000}"/>
  <bookViews>
    <workbookView xWindow="-108" yWindow="-108" windowWidth="23256" windowHeight="13176" firstSheet="10" activeTab="13" xr2:uid="{00000000-000D-0000-FFFF-FFFF00000000}"/>
  </bookViews>
  <sheets>
    <sheet name="COHORT ANALYSIS_FIRST MONTH" sheetId="6" r:id="rId1"/>
    <sheet name="Sheet5" sheetId="7" r:id="rId2"/>
    <sheet name="Sheet7" sheetId="9" r:id="rId3"/>
    <sheet name="REVENUE PER ORDER" sheetId="10" r:id="rId4"/>
    <sheet name="Sheet10" sheetId="12" r:id="rId5"/>
    <sheet name="GROSSPROFIT_SALESPERSON" sheetId="13" r:id="rId6"/>
    <sheet name="Channel Mix &amp; Cannibalization" sheetId="14" r:id="rId7"/>
    <sheet name="SERVICE_LEVEL_PROXY" sheetId="15" r:id="rId8"/>
    <sheet name="What_if_Analysis" sheetId="18" r:id="rId9"/>
    <sheet name="PRICE COMPLIANCE" sheetId="16" r:id="rId10"/>
    <sheet name="ORDERS PER MONTH" sheetId="17" r:id="rId11"/>
    <sheet name="Sheet2" sheetId="20" r:id="rId12"/>
    <sheet name="Dashboard" sheetId="19" r:id="rId13"/>
    <sheet name="Brief" sheetId="2" r:id="rId14"/>
    <sheet name="Sheet1" sheetId="26" r:id="rId15"/>
    <sheet name="Sheet3" sheetId="21" r:id="rId16"/>
    <sheet name="Sheet4" sheetId="22" r:id="rId17"/>
    <sheet name="Sheet6" sheetId="23" r:id="rId18"/>
    <sheet name="Sheet8" sheetId="24" r:id="rId19"/>
    <sheet name="STORY TELLING" sheetId="27" r:id="rId20"/>
    <sheet name="Sheet9" sheetId="25" r:id="rId21"/>
    <sheet name="Data" sheetId="1" r:id="rId22"/>
    <sheet name="README" sheetId="3" r:id="rId23"/>
  </sheets>
  <definedNames>
    <definedName name="_xlnm._FilterDatabase" localSheetId="21" hidden="1">Data!$A$1:$AA$633</definedName>
    <definedName name="_xlnm._FilterDatabase" localSheetId="9" hidden="1">'PRICE COMPLIANCE'!$A$3:$B$74</definedName>
    <definedName name="Slicer_Channel">#N/A</definedName>
    <definedName name="Slicer_Country">#N/A</definedName>
    <definedName name="Slicer_OrderMonth">#N/A</definedName>
    <definedName name="Slicer_ProductCategory">#N/A</definedName>
    <definedName name="Slicer_Region">#N/A</definedName>
    <definedName name="Slicer_Salesperson">#N/A</definedName>
  </definedNames>
  <calcPr calcId="191029"/>
  <pivotCaches>
    <pivotCache cacheId="0" r:id="rId24"/>
    <pivotCache cacheId="1" r:id="rId25"/>
    <pivotCache cacheId="2" r:id="rId26"/>
    <pivotCache cacheId="3" r:id="rId27"/>
  </pivotCaches>
  <extLst>
    <ext xmlns:x14="http://schemas.microsoft.com/office/spreadsheetml/2009/9/main" uri="{BBE1A952-AA13-448e-AADC-164F8A28A991}">
      <x14:slicerCaches>
        <x14:slicerCache r:id="rId28"/>
        <x14:slicerCache r:id="rId29"/>
        <x14:slicerCache r:id="rId30"/>
        <x14:slicerCache r:id="rId31"/>
        <x14:slicerCache r:id="rId32"/>
        <x14:slicerCache r:id="rId3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634" i="1" l="1"/>
  <c r="AK633" i="1" l="1"/>
  <c r="AK632" i="1"/>
  <c r="AK631" i="1"/>
  <c r="AK630" i="1"/>
  <c r="AK629" i="1"/>
  <c r="AK628" i="1"/>
  <c r="AK627" i="1"/>
  <c r="AK626" i="1"/>
  <c r="AK625" i="1"/>
  <c r="AK624" i="1"/>
  <c r="AK623" i="1"/>
  <c r="AK622" i="1"/>
  <c r="AK621" i="1"/>
  <c r="AK620" i="1"/>
  <c r="AK619" i="1"/>
  <c r="AK618" i="1"/>
  <c r="AK617" i="1"/>
  <c r="AK616" i="1"/>
  <c r="AK615" i="1"/>
  <c r="AK614" i="1"/>
  <c r="AK613" i="1"/>
  <c r="AK612" i="1"/>
  <c r="AK611" i="1"/>
  <c r="AK610" i="1"/>
  <c r="AK609" i="1"/>
  <c r="AK608" i="1"/>
  <c r="AK607" i="1"/>
  <c r="AK606" i="1"/>
  <c r="AK605" i="1"/>
  <c r="AK604" i="1"/>
  <c r="AK603" i="1"/>
  <c r="AK602" i="1"/>
  <c r="AK601" i="1"/>
  <c r="AK600" i="1"/>
  <c r="AK599" i="1"/>
  <c r="AK598" i="1"/>
  <c r="AK597" i="1"/>
  <c r="AK596" i="1"/>
  <c r="AK595" i="1"/>
  <c r="AK594" i="1"/>
  <c r="AK593" i="1"/>
  <c r="AK592" i="1"/>
  <c r="AK591" i="1"/>
  <c r="AK590" i="1"/>
  <c r="AK589" i="1"/>
  <c r="AK588" i="1"/>
  <c r="AK587" i="1"/>
  <c r="AK586" i="1"/>
  <c r="AK585" i="1"/>
  <c r="AK584" i="1"/>
  <c r="AK583" i="1"/>
  <c r="AK582" i="1"/>
  <c r="AK581" i="1"/>
  <c r="AK580" i="1"/>
  <c r="AK579" i="1"/>
  <c r="AK578" i="1"/>
  <c r="AK577" i="1"/>
  <c r="AK576" i="1"/>
  <c r="AK575" i="1"/>
  <c r="AK574" i="1"/>
  <c r="AK573" i="1"/>
  <c r="AK572" i="1"/>
  <c r="AK571" i="1"/>
  <c r="AK570" i="1"/>
  <c r="AK569" i="1"/>
  <c r="AK568" i="1"/>
  <c r="AK567" i="1"/>
  <c r="AK566" i="1"/>
  <c r="AK565" i="1"/>
  <c r="AK564" i="1"/>
  <c r="AK563" i="1"/>
  <c r="AK562" i="1"/>
  <c r="AK561" i="1"/>
  <c r="AK560" i="1"/>
  <c r="AK559" i="1"/>
  <c r="AK558" i="1"/>
  <c r="AK557" i="1"/>
  <c r="AK556" i="1"/>
  <c r="AK555" i="1"/>
  <c r="AK554" i="1"/>
  <c r="AK553" i="1"/>
  <c r="AK552" i="1"/>
  <c r="AK551" i="1"/>
  <c r="AK550" i="1"/>
  <c r="AK549" i="1"/>
  <c r="AK548" i="1"/>
  <c r="AK547" i="1"/>
  <c r="AK546" i="1"/>
  <c r="AK545" i="1"/>
  <c r="AK544" i="1"/>
  <c r="AK543" i="1"/>
  <c r="AK542" i="1"/>
  <c r="AK541" i="1"/>
  <c r="AK540" i="1"/>
  <c r="AK539" i="1"/>
  <c r="AK538" i="1"/>
  <c r="AK537" i="1"/>
  <c r="AK536" i="1"/>
  <c r="AK535" i="1"/>
  <c r="AK534" i="1"/>
  <c r="AK533" i="1"/>
  <c r="AK532" i="1"/>
  <c r="AK531" i="1"/>
  <c r="AK530" i="1"/>
  <c r="AK529" i="1"/>
  <c r="AK528" i="1"/>
  <c r="AK527" i="1"/>
  <c r="AK526" i="1"/>
  <c r="AK525" i="1"/>
  <c r="AK524" i="1"/>
  <c r="AK523" i="1"/>
  <c r="AK522" i="1"/>
  <c r="AK521" i="1"/>
  <c r="AK520" i="1"/>
  <c r="AK519" i="1"/>
  <c r="AK518" i="1"/>
  <c r="AK517" i="1"/>
  <c r="AK516" i="1"/>
  <c r="AK515" i="1"/>
  <c r="AK514" i="1"/>
  <c r="AK513" i="1"/>
  <c r="AK512" i="1"/>
  <c r="AK511" i="1"/>
  <c r="AK510" i="1"/>
  <c r="AK509" i="1"/>
  <c r="AK508" i="1"/>
  <c r="AK507" i="1"/>
  <c r="AK506" i="1"/>
  <c r="AK505" i="1"/>
  <c r="AK504" i="1"/>
  <c r="AK503" i="1"/>
  <c r="AK502" i="1"/>
  <c r="AK501" i="1"/>
  <c r="AK500" i="1"/>
  <c r="AK499" i="1"/>
  <c r="AK498" i="1"/>
  <c r="AK497" i="1"/>
  <c r="AK496" i="1"/>
  <c r="AK495" i="1"/>
  <c r="AK494" i="1"/>
  <c r="AK493" i="1"/>
  <c r="AK492" i="1"/>
  <c r="AK491" i="1"/>
  <c r="AK490" i="1"/>
  <c r="AK489" i="1"/>
  <c r="AK488" i="1"/>
  <c r="AK487" i="1"/>
  <c r="AK486" i="1"/>
  <c r="AK485" i="1"/>
  <c r="AK484" i="1"/>
  <c r="AK483" i="1"/>
  <c r="AK482" i="1"/>
  <c r="AK481" i="1"/>
  <c r="AK480" i="1"/>
  <c r="AK479" i="1"/>
  <c r="AK478" i="1"/>
  <c r="AK477" i="1"/>
  <c r="AK476" i="1"/>
  <c r="AK475" i="1"/>
  <c r="AK474" i="1"/>
  <c r="AK473" i="1"/>
  <c r="AK472" i="1"/>
  <c r="AK471" i="1"/>
  <c r="AK470" i="1"/>
  <c r="AK469" i="1"/>
  <c r="AK468" i="1"/>
  <c r="AK467" i="1"/>
  <c r="AK466" i="1"/>
  <c r="AK465" i="1"/>
  <c r="AK464" i="1"/>
  <c r="AK463" i="1"/>
  <c r="AK462" i="1"/>
  <c r="AK461" i="1"/>
  <c r="AK460" i="1"/>
  <c r="AK459" i="1"/>
  <c r="AK458" i="1"/>
  <c r="AK457" i="1"/>
  <c r="AK456" i="1"/>
  <c r="AK455" i="1"/>
  <c r="AK454" i="1"/>
  <c r="AK453" i="1"/>
  <c r="AK452" i="1"/>
  <c r="AK451" i="1"/>
  <c r="AK450" i="1"/>
  <c r="AK449" i="1"/>
  <c r="AK448" i="1"/>
  <c r="AK447" i="1"/>
  <c r="AK446" i="1"/>
  <c r="AK445" i="1"/>
  <c r="AK444" i="1"/>
  <c r="AK443" i="1"/>
  <c r="AK442" i="1"/>
  <c r="AK441" i="1"/>
  <c r="AK440" i="1"/>
  <c r="AK439" i="1"/>
  <c r="AK438" i="1"/>
  <c r="AK437" i="1"/>
  <c r="AK436" i="1"/>
  <c r="AK435" i="1"/>
  <c r="AK434" i="1"/>
  <c r="AK433" i="1"/>
  <c r="AK432" i="1"/>
  <c r="AK431" i="1"/>
  <c r="AK430" i="1"/>
  <c r="AK429" i="1"/>
  <c r="AK428" i="1"/>
  <c r="AK427" i="1"/>
  <c r="AK426" i="1"/>
  <c r="AK425" i="1"/>
  <c r="AK424" i="1"/>
  <c r="AK423" i="1"/>
  <c r="AK422" i="1"/>
  <c r="AK421" i="1"/>
  <c r="AK420" i="1"/>
  <c r="AK419" i="1"/>
  <c r="AK418" i="1"/>
  <c r="AK417" i="1"/>
  <c r="AK416" i="1"/>
  <c r="AK415" i="1"/>
  <c r="AK414" i="1"/>
  <c r="AK413" i="1"/>
  <c r="AK412" i="1"/>
  <c r="AK411" i="1"/>
  <c r="AK410" i="1"/>
  <c r="AK409" i="1"/>
  <c r="AK408" i="1"/>
  <c r="AK407" i="1"/>
  <c r="AK406" i="1"/>
  <c r="AK405" i="1"/>
  <c r="AK404" i="1"/>
  <c r="AK403" i="1"/>
  <c r="AK402" i="1"/>
  <c r="AK401" i="1"/>
  <c r="AK400" i="1"/>
  <c r="AK399" i="1"/>
  <c r="AK398" i="1"/>
  <c r="AK397" i="1"/>
  <c r="AK396" i="1"/>
  <c r="AK395" i="1"/>
  <c r="AK394" i="1"/>
  <c r="AK393" i="1"/>
  <c r="AK392" i="1"/>
  <c r="AK391" i="1"/>
  <c r="AK390" i="1"/>
  <c r="AK389" i="1"/>
  <c r="AK388" i="1"/>
  <c r="AK387" i="1"/>
  <c r="AK386" i="1"/>
  <c r="AK385" i="1"/>
  <c r="AK384" i="1"/>
  <c r="AK383" i="1"/>
  <c r="AK382" i="1"/>
  <c r="AK381" i="1"/>
  <c r="AK380" i="1"/>
  <c r="AK379" i="1"/>
  <c r="AK378" i="1"/>
  <c r="AK377" i="1"/>
  <c r="AK376" i="1"/>
  <c r="AK375" i="1"/>
  <c r="AK374" i="1"/>
  <c r="AK373" i="1"/>
  <c r="AK372" i="1"/>
  <c r="AK371" i="1"/>
  <c r="AK370" i="1"/>
  <c r="AK369" i="1"/>
  <c r="AK368" i="1"/>
  <c r="AK367" i="1"/>
  <c r="AK366" i="1"/>
  <c r="AK365" i="1"/>
  <c r="AK364" i="1"/>
  <c r="AK363" i="1"/>
  <c r="AK362" i="1"/>
  <c r="AK361" i="1"/>
  <c r="AK360" i="1"/>
  <c r="AK359" i="1"/>
  <c r="AK358" i="1"/>
  <c r="AK357" i="1"/>
  <c r="AK356" i="1"/>
  <c r="AK355" i="1"/>
  <c r="AK354" i="1"/>
  <c r="AK353" i="1"/>
  <c r="AK352" i="1"/>
  <c r="AK351" i="1"/>
  <c r="AK350" i="1"/>
  <c r="AK349" i="1"/>
  <c r="AK348" i="1"/>
  <c r="AK347" i="1"/>
  <c r="AK346" i="1"/>
  <c r="AK345" i="1"/>
  <c r="AK344" i="1"/>
  <c r="AK343" i="1"/>
  <c r="AK342" i="1"/>
  <c r="AK341" i="1"/>
  <c r="AK340" i="1"/>
  <c r="AK339" i="1"/>
  <c r="AK338" i="1"/>
  <c r="AK337" i="1"/>
  <c r="AK336" i="1"/>
  <c r="AK335" i="1"/>
  <c r="AK334" i="1"/>
  <c r="AK333" i="1"/>
  <c r="AK332" i="1"/>
  <c r="AK331" i="1"/>
  <c r="AK330" i="1"/>
  <c r="AK329" i="1"/>
  <c r="AK328" i="1"/>
  <c r="AK327" i="1"/>
  <c r="AK326" i="1"/>
  <c r="AK325" i="1"/>
  <c r="AK324" i="1"/>
  <c r="AK323" i="1"/>
  <c r="AK322" i="1"/>
  <c r="AK321" i="1"/>
  <c r="AK320" i="1"/>
  <c r="AK319" i="1"/>
  <c r="AK318" i="1"/>
  <c r="AK317" i="1"/>
  <c r="AK316" i="1"/>
  <c r="AK315" i="1"/>
  <c r="AK314" i="1"/>
  <c r="AK313" i="1"/>
  <c r="AK312" i="1"/>
  <c r="AK311" i="1"/>
  <c r="AK310" i="1"/>
  <c r="AK309" i="1"/>
  <c r="AK308" i="1"/>
  <c r="AK307" i="1"/>
  <c r="AK306" i="1"/>
  <c r="AK305" i="1"/>
  <c r="AK304" i="1"/>
  <c r="AK303" i="1"/>
  <c r="AK302" i="1"/>
  <c r="AK301" i="1"/>
  <c r="AK300" i="1"/>
  <c r="AK299" i="1"/>
  <c r="AK298" i="1"/>
  <c r="AK297" i="1"/>
  <c r="AK296" i="1"/>
  <c r="AK295" i="1"/>
  <c r="AK294" i="1"/>
  <c r="AK293" i="1"/>
  <c r="AK292" i="1"/>
  <c r="AK291" i="1"/>
  <c r="AK290" i="1"/>
  <c r="AK289" i="1"/>
  <c r="AK288" i="1"/>
  <c r="AK287" i="1"/>
  <c r="AK286" i="1"/>
  <c r="AK285" i="1"/>
  <c r="AK284" i="1"/>
  <c r="AK283" i="1"/>
  <c r="AK282" i="1"/>
  <c r="AK281" i="1"/>
  <c r="AK280" i="1"/>
  <c r="AK279" i="1"/>
  <c r="AK278" i="1"/>
  <c r="AK277" i="1"/>
  <c r="AK276" i="1"/>
  <c r="AK275" i="1"/>
  <c r="AK274" i="1"/>
  <c r="AK273" i="1"/>
  <c r="AK272" i="1"/>
  <c r="AK271" i="1"/>
  <c r="AK270" i="1"/>
  <c r="AK269" i="1"/>
  <c r="AK268" i="1"/>
  <c r="AK267" i="1"/>
  <c r="AK266" i="1"/>
  <c r="AK265" i="1"/>
  <c r="AK264" i="1"/>
  <c r="AK263" i="1"/>
  <c r="AK262" i="1"/>
  <c r="AK261" i="1"/>
  <c r="AK260" i="1"/>
  <c r="AK259" i="1"/>
  <c r="AK258" i="1"/>
  <c r="AK257" i="1"/>
  <c r="AK256" i="1"/>
  <c r="AK255" i="1"/>
  <c r="AK254" i="1"/>
  <c r="AK253" i="1"/>
  <c r="AK252" i="1"/>
  <c r="AK251" i="1"/>
  <c r="AK250" i="1"/>
  <c r="AK249" i="1"/>
  <c r="AK248" i="1"/>
  <c r="AK247" i="1"/>
  <c r="AK246" i="1"/>
  <c r="AK245" i="1"/>
  <c r="AK244" i="1"/>
  <c r="AK243" i="1"/>
  <c r="AK242" i="1"/>
  <c r="AK241" i="1"/>
  <c r="AK240" i="1"/>
  <c r="AK239" i="1"/>
  <c r="AK238" i="1"/>
  <c r="AK237" i="1"/>
  <c r="AK236" i="1"/>
  <c r="AK235" i="1"/>
  <c r="AK234" i="1"/>
  <c r="AK233" i="1"/>
  <c r="AK232" i="1"/>
  <c r="AK231" i="1"/>
  <c r="AK230" i="1"/>
  <c r="AK229" i="1"/>
  <c r="AK228" i="1"/>
  <c r="AK227" i="1"/>
  <c r="AK226" i="1"/>
  <c r="AK225" i="1"/>
  <c r="AK224" i="1"/>
  <c r="AK223" i="1"/>
  <c r="AK222" i="1"/>
  <c r="AK221" i="1"/>
  <c r="AK220" i="1"/>
  <c r="AK219" i="1"/>
  <c r="AK218" i="1"/>
  <c r="AK217" i="1"/>
  <c r="AK216" i="1"/>
  <c r="AK215" i="1"/>
  <c r="AK214" i="1"/>
  <c r="AK213" i="1"/>
  <c r="AK212" i="1"/>
  <c r="AK211" i="1"/>
  <c r="AK210" i="1"/>
  <c r="AK209" i="1"/>
  <c r="AK208" i="1"/>
  <c r="AK207" i="1"/>
  <c r="AK206" i="1"/>
  <c r="AK205" i="1"/>
  <c r="AK204" i="1"/>
  <c r="AK203" i="1"/>
  <c r="AK202" i="1"/>
  <c r="AK201" i="1"/>
  <c r="AK200" i="1"/>
  <c r="AK199" i="1"/>
  <c r="AK198" i="1"/>
  <c r="AK197" i="1"/>
  <c r="AK196" i="1"/>
  <c r="AK195" i="1"/>
  <c r="AK194" i="1"/>
  <c r="AK193" i="1"/>
  <c r="AK192" i="1"/>
  <c r="AK191" i="1"/>
  <c r="AK190" i="1"/>
  <c r="AK189" i="1"/>
  <c r="AK188" i="1"/>
  <c r="AK187" i="1"/>
  <c r="AK186" i="1"/>
  <c r="AK185" i="1"/>
  <c r="AK184" i="1"/>
  <c r="AK183" i="1"/>
  <c r="AK182" i="1"/>
  <c r="AK181" i="1"/>
  <c r="AK180" i="1"/>
  <c r="AK179" i="1"/>
  <c r="AK178" i="1"/>
  <c r="AK177" i="1"/>
  <c r="AK176" i="1"/>
  <c r="AK175" i="1"/>
  <c r="AK174" i="1"/>
  <c r="AK173" i="1"/>
  <c r="AK172" i="1"/>
  <c r="AK171" i="1"/>
  <c r="AK170" i="1"/>
  <c r="AK169" i="1"/>
  <c r="AK168" i="1"/>
  <c r="AK167" i="1"/>
  <c r="AK166" i="1"/>
  <c r="AK165" i="1"/>
  <c r="AK164" i="1"/>
  <c r="AK163" i="1"/>
  <c r="AK162" i="1"/>
  <c r="AK161" i="1"/>
  <c r="AK160" i="1"/>
  <c r="AK159" i="1"/>
  <c r="AK158" i="1"/>
  <c r="AK157" i="1"/>
  <c r="AK156" i="1"/>
  <c r="AK155" i="1"/>
  <c r="AK154" i="1"/>
  <c r="AK153" i="1"/>
  <c r="AK152" i="1"/>
  <c r="AK151" i="1"/>
  <c r="AK150" i="1"/>
  <c r="AK149" i="1"/>
  <c r="AK148" i="1"/>
  <c r="AK147" i="1"/>
  <c r="AK146" i="1"/>
  <c r="AK145" i="1"/>
  <c r="AK144" i="1"/>
  <c r="AK143" i="1"/>
  <c r="AK142" i="1"/>
  <c r="AK141" i="1"/>
  <c r="AK140" i="1"/>
  <c r="AK139" i="1"/>
  <c r="AK138" i="1"/>
  <c r="AK137" i="1"/>
  <c r="AK136" i="1"/>
  <c r="AK135" i="1"/>
  <c r="AK134" i="1"/>
  <c r="AK133" i="1"/>
  <c r="AK132" i="1"/>
  <c r="AK131" i="1"/>
  <c r="AK130" i="1"/>
  <c r="AK129" i="1"/>
  <c r="AK128" i="1"/>
  <c r="AK127" i="1"/>
  <c r="AK126" i="1"/>
  <c r="AK125" i="1"/>
  <c r="AK124" i="1"/>
  <c r="AK123" i="1"/>
  <c r="AK122" i="1"/>
  <c r="AK121" i="1"/>
  <c r="AK120" i="1"/>
  <c r="AK119" i="1"/>
  <c r="AK118" i="1"/>
  <c r="AK117" i="1"/>
  <c r="AK116" i="1"/>
  <c r="AK115" i="1"/>
  <c r="AK114" i="1"/>
  <c r="AK113" i="1"/>
  <c r="AK112" i="1"/>
  <c r="AK111" i="1"/>
  <c r="AK110" i="1"/>
  <c r="AK109" i="1"/>
  <c r="AK108" i="1"/>
  <c r="AK107" i="1"/>
  <c r="AK106" i="1"/>
  <c r="AK105" i="1"/>
  <c r="AK104" i="1"/>
  <c r="AK103" i="1"/>
  <c r="AK102" i="1"/>
  <c r="AK101" i="1"/>
  <c r="AK100" i="1"/>
  <c r="AK99" i="1"/>
  <c r="AK98" i="1"/>
  <c r="AK97" i="1"/>
  <c r="AK96" i="1"/>
  <c r="AK95" i="1"/>
  <c r="AK94" i="1"/>
  <c r="AK93" i="1"/>
  <c r="AK92" i="1"/>
  <c r="AK91" i="1"/>
  <c r="AK90" i="1"/>
  <c r="AK89" i="1"/>
  <c r="AK88" i="1"/>
  <c r="AK87" i="1"/>
  <c r="AK86" i="1"/>
  <c r="AK85" i="1"/>
  <c r="AK84" i="1"/>
  <c r="AK83" i="1"/>
  <c r="AK82" i="1"/>
  <c r="AK81" i="1"/>
  <c r="AK80" i="1"/>
  <c r="AK79" i="1"/>
  <c r="AK78" i="1"/>
  <c r="AK77" i="1"/>
  <c r="AK76" i="1"/>
  <c r="AK75" i="1"/>
  <c r="AK74" i="1"/>
  <c r="AK73" i="1"/>
  <c r="AK72" i="1"/>
  <c r="AK71" i="1"/>
  <c r="AK70" i="1"/>
  <c r="AK69" i="1"/>
  <c r="AK68" i="1"/>
  <c r="AK67" i="1"/>
  <c r="AK66" i="1"/>
  <c r="AK65" i="1"/>
  <c r="AK64" i="1"/>
  <c r="AK63" i="1"/>
  <c r="AK62" i="1"/>
  <c r="AK61" i="1"/>
  <c r="AK60" i="1"/>
  <c r="AK59" i="1"/>
  <c r="AK58" i="1"/>
  <c r="AK57" i="1"/>
  <c r="AK56" i="1"/>
  <c r="AK55" i="1"/>
  <c r="AK54" i="1"/>
  <c r="AK53" i="1"/>
  <c r="AK52" i="1"/>
  <c r="AK51" i="1"/>
  <c r="AK50" i="1"/>
  <c r="AK49" i="1"/>
  <c r="AK48" i="1"/>
  <c r="AK47" i="1"/>
  <c r="AK46" i="1"/>
  <c r="AK45" i="1"/>
  <c r="AK44" i="1"/>
  <c r="AK43" i="1"/>
  <c r="AK42" i="1"/>
  <c r="AK41" i="1"/>
  <c r="AK40" i="1"/>
  <c r="AK39" i="1"/>
  <c r="AK38" i="1"/>
  <c r="AK37" i="1"/>
  <c r="AK36" i="1"/>
  <c r="AK35" i="1"/>
  <c r="AK34" i="1"/>
  <c r="AK33" i="1"/>
  <c r="AK32" i="1"/>
  <c r="AK31" i="1"/>
  <c r="AK30" i="1"/>
  <c r="AK29" i="1"/>
  <c r="AK28" i="1"/>
  <c r="AK27" i="1"/>
  <c r="AK26" i="1"/>
  <c r="AK25" i="1"/>
  <c r="AK24" i="1"/>
  <c r="AK23" i="1"/>
  <c r="AK22" i="1"/>
  <c r="AK21" i="1"/>
  <c r="AK20" i="1"/>
  <c r="AK19" i="1"/>
  <c r="AK18" i="1"/>
  <c r="AK17" i="1"/>
  <c r="AK16" i="1"/>
  <c r="AK15" i="1"/>
  <c r="AK14" i="1"/>
  <c r="AK13" i="1"/>
  <c r="AK12" i="1"/>
  <c r="AK11" i="1"/>
  <c r="AK10" i="1"/>
  <c r="AK9" i="1"/>
  <c r="AK8" i="1"/>
  <c r="AK7" i="1"/>
  <c r="AK6" i="1"/>
  <c r="AK5" i="1"/>
  <c r="AK4" i="1"/>
  <c r="AK3" i="1"/>
  <c r="AK2" i="1"/>
  <c r="D6" i="15"/>
  <c r="D7" i="15"/>
  <c r="D8" i="15"/>
  <c r="D9" i="15"/>
  <c r="D10" i="15"/>
  <c r="D11" i="15"/>
  <c r="D5" i="15"/>
  <c r="C5" i="7"/>
  <c r="J2" i="1"/>
  <c r="H2" i="1"/>
  <c r="V60" i="1"/>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21" i="16"/>
  <c r="C22" i="16"/>
  <c r="C23" i="16"/>
  <c r="C24" i="16"/>
  <c r="C6" i="16"/>
  <c r="C7" i="16"/>
  <c r="C8" i="16"/>
  <c r="C9" i="16"/>
  <c r="C10" i="16"/>
  <c r="C11" i="16"/>
  <c r="C12" i="16"/>
  <c r="C13" i="16"/>
  <c r="C14" i="16"/>
  <c r="C15" i="16"/>
  <c r="C16" i="16"/>
  <c r="C17" i="16"/>
  <c r="C18" i="16"/>
  <c r="C19" i="16"/>
  <c r="C20" i="16"/>
  <c r="C5" i="16"/>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16" i="7"/>
  <c r="C17" i="7"/>
  <c r="C18" i="7"/>
  <c r="C19" i="7"/>
  <c r="C20" i="7"/>
  <c r="C21" i="7"/>
  <c r="C22" i="7"/>
  <c r="C23" i="7"/>
  <c r="C24" i="7"/>
  <c r="C25" i="7"/>
  <c r="C26" i="7"/>
  <c r="C27" i="7"/>
  <c r="C28" i="7"/>
  <c r="C29" i="7"/>
  <c r="C6" i="7"/>
  <c r="C7" i="7"/>
  <c r="C8" i="7"/>
  <c r="C9" i="7"/>
  <c r="C10" i="7"/>
  <c r="C11" i="7"/>
  <c r="C12" i="7"/>
  <c r="C13" i="7"/>
  <c r="C14" i="7"/>
  <c r="C15" i="7"/>
  <c r="C9" i="9"/>
  <c r="C17" i="9"/>
  <c r="C25" i="9"/>
  <c r="C33" i="9"/>
  <c r="C41" i="9"/>
  <c r="C49" i="9"/>
  <c r="C57" i="9"/>
  <c r="C65" i="9"/>
  <c r="C73" i="9"/>
  <c r="C81" i="9"/>
  <c r="C1" i="9"/>
  <c r="H1" i="9"/>
  <c r="C2" i="9" s="1"/>
  <c r="AJ20"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2" i="1"/>
  <c r="C3" i="1"/>
  <c r="K3" i="1" s="1"/>
  <c r="C4" i="1"/>
  <c r="K4" i="1" s="1"/>
  <c r="C5" i="1"/>
  <c r="K5" i="1" s="1"/>
  <c r="C6" i="1"/>
  <c r="K6" i="1" s="1"/>
  <c r="C7" i="1"/>
  <c r="K7" i="1" s="1"/>
  <c r="C8" i="1"/>
  <c r="K8" i="1" s="1"/>
  <c r="C9" i="1"/>
  <c r="K9" i="1" s="1"/>
  <c r="C10" i="1"/>
  <c r="K10" i="1" s="1"/>
  <c r="C11" i="1"/>
  <c r="K11" i="1" s="1"/>
  <c r="C12" i="1"/>
  <c r="K12" i="1" s="1"/>
  <c r="C13" i="1"/>
  <c r="K13" i="1" s="1"/>
  <c r="C14" i="1"/>
  <c r="K14" i="1" s="1"/>
  <c r="C15" i="1"/>
  <c r="K15" i="1" s="1"/>
  <c r="C16" i="1"/>
  <c r="K16" i="1" s="1"/>
  <c r="C17" i="1"/>
  <c r="K17" i="1" s="1"/>
  <c r="C18" i="1"/>
  <c r="K18" i="1" s="1"/>
  <c r="C19" i="1"/>
  <c r="K19" i="1" s="1"/>
  <c r="C20" i="1"/>
  <c r="K20" i="1" s="1"/>
  <c r="C21" i="1"/>
  <c r="K21" i="1" s="1"/>
  <c r="C22" i="1"/>
  <c r="K22" i="1" s="1"/>
  <c r="C23" i="1"/>
  <c r="K23" i="1" s="1"/>
  <c r="C24" i="1"/>
  <c r="K24" i="1" s="1"/>
  <c r="C25" i="1"/>
  <c r="K25" i="1" s="1"/>
  <c r="C26" i="1"/>
  <c r="K26" i="1" s="1"/>
  <c r="C27" i="1"/>
  <c r="K27" i="1" s="1"/>
  <c r="C28" i="1"/>
  <c r="K28" i="1" s="1"/>
  <c r="C29" i="1"/>
  <c r="K29" i="1" s="1"/>
  <c r="C30" i="1"/>
  <c r="K30" i="1" s="1"/>
  <c r="C31" i="1"/>
  <c r="K31" i="1" s="1"/>
  <c r="C32" i="1"/>
  <c r="K32" i="1" s="1"/>
  <c r="C33" i="1"/>
  <c r="K33" i="1" s="1"/>
  <c r="C34" i="1"/>
  <c r="K34" i="1" s="1"/>
  <c r="C35" i="1"/>
  <c r="K35" i="1" s="1"/>
  <c r="C36" i="1"/>
  <c r="K36" i="1" s="1"/>
  <c r="C37" i="1"/>
  <c r="K37" i="1" s="1"/>
  <c r="C38" i="1"/>
  <c r="K38" i="1" s="1"/>
  <c r="C39" i="1"/>
  <c r="K39" i="1" s="1"/>
  <c r="C40" i="1"/>
  <c r="K40" i="1" s="1"/>
  <c r="C41" i="1"/>
  <c r="K41" i="1" s="1"/>
  <c r="C42" i="1"/>
  <c r="K42" i="1" s="1"/>
  <c r="C43" i="1"/>
  <c r="K43" i="1" s="1"/>
  <c r="C44" i="1"/>
  <c r="K44" i="1" s="1"/>
  <c r="C45" i="1"/>
  <c r="K45" i="1" s="1"/>
  <c r="C46" i="1"/>
  <c r="K46" i="1" s="1"/>
  <c r="C47" i="1"/>
  <c r="K47" i="1" s="1"/>
  <c r="C48" i="1"/>
  <c r="K48" i="1" s="1"/>
  <c r="C49" i="1"/>
  <c r="K49" i="1" s="1"/>
  <c r="C50" i="1"/>
  <c r="K50" i="1" s="1"/>
  <c r="C51" i="1"/>
  <c r="K51" i="1" s="1"/>
  <c r="C52" i="1"/>
  <c r="K52" i="1" s="1"/>
  <c r="C53" i="1"/>
  <c r="K53" i="1" s="1"/>
  <c r="C54" i="1"/>
  <c r="K54" i="1" s="1"/>
  <c r="C55" i="1"/>
  <c r="K55" i="1" s="1"/>
  <c r="C56" i="1"/>
  <c r="K56" i="1" s="1"/>
  <c r="C57" i="1"/>
  <c r="K57" i="1" s="1"/>
  <c r="C58" i="1"/>
  <c r="K58" i="1" s="1"/>
  <c r="C59" i="1"/>
  <c r="K59" i="1" s="1"/>
  <c r="C60" i="1"/>
  <c r="K60" i="1" s="1"/>
  <c r="C61" i="1"/>
  <c r="K61" i="1" s="1"/>
  <c r="C62" i="1"/>
  <c r="K62" i="1" s="1"/>
  <c r="C63" i="1"/>
  <c r="K63" i="1" s="1"/>
  <c r="C64" i="1"/>
  <c r="K64" i="1" s="1"/>
  <c r="C65" i="1"/>
  <c r="K65" i="1" s="1"/>
  <c r="C66" i="1"/>
  <c r="K66" i="1" s="1"/>
  <c r="C67" i="1"/>
  <c r="K67" i="1" s="1"/>
  <c r="C68" i="1"/>
  <c r="K68" i="1" s="1"/>
  <c r="C69" i="1"/>
  <c r="K69" i="1" s="1"/>
  <c r="C70" i="1"/>
  <c r="K70" i="1" s="1"/>
  <c r="C71" i="1"/>
  <c r="K71" i="1" s="1"/>
  <c r="C72" i="1"/>
  <c r="K72" i="1" s="1"/>
  <c r="C73" i="1"/>
  <c r="K73" i="1" s="1"/>
  <c r="C74" i="1"/>
  <c r="K74" i="1" s="1"/>
  <c r="C75" i="1"/>
  <c r="K75" i="1" s="1"/>
  <c r="C76" i="1"/>
  <c r="K76" i="1" s="1"/>
  <c r="C77" i="1"/>
  <c r="K77" i="1" s="1"/>
  <c r="C78" i="1"/>
  <c r="K78" i="1" s="1"/>
  <c r="C79" i="1"/>
  <c r="K79" i="1" s="1"/>
  <c r="C80" i="1"/>
  <c r="K80" i="1" s="1"/>
  <c r="C81" i="1"/>
  <c r="K81" i="1" s="1"/>
  <c r="C82" i="1"/>
  <c r="K82" i="1" s="1"/>
  <c r="C83" i="1"/>
  <c r="K83" i="1" s="1"/>
  <c r="C84" i="1"/>
  <c r="K84" i="1" s="1"/>
  <c r="C85" i="1"/>
  <c r="K85" i="1" s="1"/>
  <c r="C86" i="1"/>
  <c r="K86" i="1" s="1"/>
  <c r="C87" i="1"/>
  <c r="K87" i="1" s="1"/>
  <c r="C88" i="1"/>
  <c r="K88" i="1" s="1"/>
  <c r="C89" i="1"/>
  <c r="K89" i="1" s="1"/>
  <c r="C90" i="1"/>
  <c r="K90" i="1" s="1"/>
  <c r="C91" i="1"/>
  <c r="K91" i="1" s="1"/>
  <c r="C92" i="1"/>
  <c r="K92" i="1" s="1"/>
  <c r="C93" i="1"/>
  <c r="K93" i="1" s="1"/>
  <c r="C94" i="1"/>
  <c r="K94" i="1" s="1"/>
  <c r="C95" i="1"/>
  <c r="K95" i="1" s="1"/>
  <c r="C96" i="1"/>
  <c r="K96" i="1" s="1"/>
  <c r="C97" i="1"/>
  <c r="K97" i="1" s="1"/>
  <c r="C98" i="1"/>
  <c r="K98" i="1" s="1"/>
  <c r="C99" i="1"/>
  <c r="K99" i="1" s="1"/>
  <c r="C100" i="1"/>
  <c r="K100" i="1" s="1"/>
  <c r="C101" i="1"/>
  <c r="K101" i="1" s="1"/>
  <c r="C102" i="1"/>
  <c r="K102" i="1" s="1"/>
  <c r="C103" i="1"/>
  <c r="K103" i="1" s="1"/>
  <c r="C104" i="1"/>
  <c r="K104" i="1" s="1"/>
  <c r="C105" i="1"/>
  <c r="K105" i="1" s="1"/>
  <c r="C106" i="1"/>
  <c r="K106" i="1" s="1"/>
  <c r="C107" i="1"/>
  <c r="K107" i="1" s="1"/>
  <c r="C108" i="1"/>
  <c r="K108" i="1" s="1"/>
  <c r="C109" i="1"/>
  <c r="K109" i="1" s="1"/>
  <c r="C110" i="1"/>
  <c r="K110" i="1" s="1"/>
  <c r="C111" i="1"/>
  <c r="K111" i="1" s="1"/>
  <c r="C112" i="1"/>
  <c r="K112" i="1" s="1"/>
  <c r="C113" i="1"/>
  <c r="K113" i="1" s="1"/>
  <c r="C114" i="1"/>
  <c r="K114" i="1" s="1"/>
  <c r="C115" i="1"/>
  <c r="K115" i="1" s="1"/>
  <c r="C116" i="1"/>
  <c r="K116" i="1" s="1"/>
  <c r="C117" i="1"/>
  <c r="K117" i="1" s="1"/>
  <c r="C118" i="1"/>
  <c r="K118" i="1" s="1"/>
  <c r="C119" i="1"/>
  <c r="K119" i="1" s="1"/>
  <c r="C120" i="1"/>
  <c r="K120" i="1" s="1"/>
  <c r="C121" i="1"/>
  <c r="K121" i="1" s="1"/>
  <c r="C122" i="1"/>
  <c r="K122" i="1" s="1"/>
  <c r="C123" i="1"/>
  <c r="K123" i="1" s="1"/>
  <c r="C124" i="1"/>
  <c r="K124" i="1" s="1"/>
  <c r="C125" i="1"/>
  <c r="K125" i="1" s="1"/>
  <c r="C126" i="1"/>
  <c r="K126" i="1" s="1"/>
  <c r="C127" i="1"/>
  <c r="K127" i="1" s="1"/>
  <c r="C128" i="1"/>
  <c r="K128" i="1" s="1"/>
  <c r="C129" i="1"/>
  <c r="K129" i="1" s="1"/>
  <c r="C130" i="1"/>
  <c r="K130" i="1" s="1"/>
  <c r="C131" i="1"/>
  <c r="K131" i="1" s="1"/>
  <c r="C132" i="1"/>
  <c r="K132" i="1" s="1"/>
  <c r="C133" i="1"/>
  <c r="K133" i="1" s="1"/>
  <c r="C134" i="1"/>
  <c r="K134" i="1" s="1"/>
  <c r="C135" i="1"/>
  <c r="K135" i="1" s="1"/>
  <c r="C136" i="1"/>
  <c r="K136" i="1" s="1"/>
  <c r="C137" i="1"/>
  <c r="K137" i="1" s="1"/>
  <c r="C138" i="1"/>
  <c r="K138" i="1" s="1"/>
  <c r="C139" i="1"/>
  <c r="K139" i="1" s="1"/>
  <c r="C140" i="1"/>
  <c r="K140" i="1" s="1"/>
  <c r="C141" i="1"/>
  <c r="K141" i="1" s="1"/>
  <c r="C142" i="1"/>
  <c r="K142" i="1" s="1"/>
  <c r="C143" i="1"/>
  <c r="K143" i="1" s="1"/>
  <c r="C144" i="1"/>
  <c r="K144" i="1" s="1"/>
  <c r="C145" i="1"/>
  <c r="K145" i="1" s="1"/>
  <c r="C146" i="1"/>
  <c r="K146" i="1" s="1"/>
  <c r="C147" i="1"/>
  <c r="K147" i="1" s="1"/>
  <c r="C148" i="1"/>
  <c r="K148" i="1" s="1"/>
  <c r="C149" i="1"/>
  <c r="K149" i="1" s="1"/>
  <c r="C150" i="1"/>
  <c r="K150" i="1" s="1"/>
  <c r="C151" i="1"/>
  <c r="K151" i="1" s="1"/>
  <c r="C152" i="1"/>
  <c r="K152" i="1" s="1"/>
  <c r="C153" i="1"/>
  <c r="K153" i="1" s="1"/>
  <c r="C154" i="1"/>
  <c r="K154" i="1" s="1"/>
  <c r="C155" i="1"/>
  <c r="K155" i="1" s="1"/>
  <c r="C156" i="1"/>
  <c r="K156" i="1" s="1"/>
  <c r="C157" i="1"/>
  <c r="K157" i="1" s="1"/>
  <c r="C158" i="1"/>
  <c r="K158" i="1" s="1"/>
  <c r="C159" i="1"/>
  <c r="K159" i="1" s="1"/>
  <c r="C160" i="1"/>
  <c r="K160" i="1" s="1"/>
  <c r="C161" i="1"/>
  <c r="K161" i="1" s="1"/>
  <c r="C162" i="1"/>
  <c r="K162" i="1" s="1"/>
  <c r="C163" i="1"/>
  <c r="K163" i="1" s="1"/>
  <c r="C164" i="1"/>
  <c r="K164" i="1" s="1"/>
  <c r="C165" i="1"/>
  <c r="K165" i="1" s="1"/>
  <c r="C166" i="1"/>
  <c r="K166" i="1" s="1"/>
  <c r="C167" i="1"/>
  <c r="K167" i="1" s="1"/>
  <c r="C168" i="1"/>
  <c r="K168" i="1" s="1"/>
  <c r="C169" i="1"/>
  <c r="K169" i="1" s="1"/>
  <c r="C170" i="1"/>
  <c r="K170" i="1" s="1"/>
  <c r="C171" i="1"/>
  <c r="K171" i="1" s="1"/>
  <c r="C172" i="1"/>
  <c r="K172" i="1" s="1"/>
  <c r="C173" i="1"/>
  <c r="K173" i="1" s="1"/>
  <c r="C174" i="1"/>
  <c r="K174" i="1" s="1"/>
  <c r="C175" i="1"/>
  <c r="K175" i="1" s="1"/>
  <c r="C176" i="1"/>
  <c r="K176" i="1" s="1"/>
  <c r="C177" i="1"/>
  <c r="K177" i="1" s="1"/>
  <c r="C178" i="1"/>
  <c r="K178" i="1" s="1"/>
  <c r="C179" i="1"/>
  <c r="K179" i="1" s="1"/>
  <c r="C180" i="1"/>
  <c r="K180" i="1" s="1"/>
  <c r="C181" i="1"/>
  <c r="K181" i="1" s="1"/>
  <c r="C182" i="1"/>
  <c r="K182" i="1" s="1"/>
  <c r="C183" i="1"/>
  <c r="K183" i="1" s="1"/>
  <c r="C184" i="1"/>
  <c r="K184" i="1" s="1"/>
  <c r="C185" i="1"/>
  <c r="K185" i="1" s="1"/>
  <c r="C186" i="1"/>
  <c r="K186" i="1" s="1"/>
  <c r="C187" i="1"/>
  <c r="K187" i="1" s="1"/>
  <c r="C188" i="1"/>
  <c r="K188" i="1" s="1"/>
  <c r="C189" i="1"/>
  <c r="K189" i="1" s="1"/>
  <c r="C190" i="1"/>
  <c r="K190" i="1" s="1"/>
  <c r="C191" i="1"/>
  <c r="K191" i="1" s="1"/>
  <c r="C192" i="1"/>
  <c r="K192" i="1" s="1"/>
  <c r="C193" i="1"/>
  <c r="K193" i="1" s="1"/>
  <c r="C194" i="1"/>
  <c r="K194" i="1" s="1"/>
  <c r="C195" i="1"/>
  <c r="K195" i="1" s="1"/>
  <c r="C196" i="1"/>
  <c r="K196" i="1" s="1"/>
  <c r="C197" i="1"/>
  <c r="K197" i="1" s="1"/>
  <c r="C198" i="1"/>
  <c r="K198" i="1" s="1"/>
  <c r="C199" i="1"/>
  <c r="K199" i="1" s="1"/>
  <c r="C200" i="1"/>
  <c r="K200" i="1" s="1"/>
  <c r="C201" i="1"/>
  <c r="K201" i="1" s="1"/>
  <c r="C202" i="1"/>
  <c r="K202" i="1" s="1"/>
  <c r="C203" i="1"/>
  <c r="K203" i="1" s="1"/>
  <c r="C204" i="1"/>
  <c r="K204" i="1" s="1"/>
  <c r="C205" i="1"/>
  <c r="K205" i="1" s="1"/>
  <c r="C206" i="1"/>
  <c r="K206" i="1" s="1"/>
  <c r="C207" i="1"/>
  <c r="K207" i="1" s="1"/>
  <c r="C208" i="1"/>
  <c r="K208" i="1" s="1"/>
  <c r="C209" i="1"/>
  <c r="K209" i="1" s="1"/>
  <c r="C210" i="1"/>
  <c r="K210" i="1" s="1"/>
  <c r="C211" i="1"/>
  <c r="K211" i="1" s="1"/>
  <c r="C212" i="1"/>
  <c r="K212" i="1" s="1"/>
  <c r="C213" i="1"/>
  <c r="K213" i="1" s="1"/>
  <c r="C214" i="1"/>
  <c r="K214" i="1" s="1"/>
  <c r="C215" i="1"/>
  <c r="K215" i="1" s="1"/>
  <c r="C216" i="1"/>
  <c r="K216" i="1" s="1"/>
  <c r="C217" i="1"/>
  <c r="K217" i="1" s="1"/>
  <c r="C218" i="1"/>
  <c r="K218" i="1" s="1"/>
  <c r="C219" i="1"/>
  <c r="K219" i="1" s="1"/>
  <c r="C220" i="1"/>
  <c r="K220" i="1" s="1"/>
  <c r="C221" i="1"/>
  <c r="K221" i="1" s="1"/>
  <c r="C222" i="1"/>
  <c r="K222" i="1" s="1"/>
  <c r="C223" i="1"/>
  <c r="K223" i="1" s="1"/>
  <c r="C224" i="1"/>
  <c r="K224" i="1" s="1"/>
  <c r="C225" i="1"/>
  <c r="K225" i="1" s="1"/>
  <c r="C226" i="1"/>
  <c r="K226" i="1" s="1"/>
  <c r="C227" i="1"/>
  <c r="K227" i="1" s="1"/>
  <c r="C228" i="1"/>
  <c r="K228" i="1" s="1"/>
  <c r="C229" i="1"/>
  <c r="K229" i="1" s="1"/>
  <c r="C230" i="1"/>
  <c r="K230" i="1" s="1"/>
  <c r="C231" i="1"/>
  <c r="K231" i="1" s="1"/>
  <c r="C232" i="1"/>
  <c r="K232" i="1" s="1"/>
  <c r="C233" i="1"/>
  <c r="K233" i="1" s="1"/>
  <c r="C234" i="1"/>
  <c r="K234" i="1" s="1"/>
  <c r="C235" i="1"/>
  <c r="K235" i="1" s="1"/>
  <c r="C236" i="1"/>
  <c r="K236" i="1" s="1"/>
  <c r="C237" i="1"/>
  <c r="K237" i="1" s="1"/>
  <c r="C238" i="1"/>
  <c r="K238" i="1" s="1"/>
  <c r="C239" i="1"/>
  <c r="K239" i="1" s="1"/>
  <c r="C240" i="1"/>
  <c r="K240" i="1" s="1"/>
  <c r="C241" i="1"/>
  <c r="K241" i="1" s="1"/>
  <c r="C242" i="1"/>
  <c r="K242" i="1" s="1"/>
  <c r="C243" i="1"/>
  <c r="K243" i="1" s="1"/>
  <c r="C244" i="1"/>
  <c r="K244" i="1" s="1"/>
  <c r="C245" i="1"/>
  <c r="K245" i="1" s="1"/>
  <c r="C246" i="1"/>
  <c r="K246" i="1" s="1"/>
  <c r="C247" i="1"/>
  <c r="K247" i="1" s="1"/>
  <c r="C248" i="1"/>
  <c r="K248" i="1" s="1"/>
  <c r="C249" i="1"/>
  <c r="K249" i="1" s="1"/>
  <c r="C250" i="1"/>
  <c r="K250" i="1" s="1"/>
  <c r="C251" i="1"/>
  <c r="K251" i="1" s="1"/>
  <c r="C252" i="1"/>
  <c r="K252" i="1" s="1"/>
  <c r="C253" i="1"/>
  <c r="K253" i="1" s="1"/>
  <c r="C254" i="1"/>
  <c r="K254" i="1" s="1"/>
  <c r="C255" i="1"/>
  <c r="K255" i="1" s="1"/>
  <c r="C256" i="1"/>
  <c r="K256" i="1" s="1"/>
  <c r="C257" i="1"/>
  <c r="K257" i="1" s="1"/>
  <c r="C258" i="1"/>
  <c r="K258" i="1" s="1"/>
  <c r="C259" i="1"/>
  <c r="K259" i="1" s="1"/>
  <c r="C260" i="1"/>
  <c r="K260" i="1" s="1"/>
  <c r="C261" i="1"/>
  <c r="K261" i="1" s="1"/>
  <c r="C262" i="1"/>
  <c r="K262" i="1" s="1"/>
  <c r="C263" i="1"/>
  <c r="K263" i="1" s="1"/>
  <c r="C264" i="1"/>
  <c r="K264" i="1" s="1"/>
  <c r="C265" i="1"/>
  <c r="K265" i="1" s="1"/>
  <c r="C266" i="1"/>
  <c r="K266" i="1" s="1"/>
  <c r="C267" i="1"/>
  <c r="K267" i="1" s="1"/>
  <c r="C268" i="1"/>
  <c r="K268" i="1" s="1"/>
  <c r="C269" i="1"/>
  <c r="K269" i="1" s="1"/>
  <c r="C270" i="1"/>
  <c r="K270" i="1" s="1"/>
  <c r="C271" i="1"/>
  <c r="K271" i="1" s="1"/>
  <c r="C272" i="1"/>
  <c r="K272" i="1" s="1"/>
  <c r="C273" i="1"/>
  <c r="K273" i="1" s="1"/>
  <c r="C274" i="1"/>
  <c r="K274" i="1" s="1"/>
  <c r="C275" i="1"/>
  <c r="K275" i="1" s="1"/>
  <c r="C276" i="1"/>
  <c r="K276" i="1" s="1"/>
  <c r="C277" i="1"/>
  <c r="K277" i="1" s="1"/>
  <c r="C278" i="1"/>
  <c r="K278" i="1" s="1"/>
  <c r="C279" i="1"/>
  <c r="K279" i="1" s="1"/>
  <c r="C280" i="1"/>
  <c r="K280" i="1" s="1"/>
  <c r="C281" i="1"/>
  <c r="K281" i="1" s="1"/>
  <c r="C282" i="1"/>
  <c r="K282" i="1" s="1"/>
  <c r="C283" i="1"/>
  <c r="K283" i="1" s="1"/>
  <c r="C284" i="1"/>
  <c r="K284" i="1" s="1"/>
  <c r="C285" i="1"/>
  <c r="K285" i="1" s="1"/>
  <c r="C286" i="1"/>
  <c r="K286" i="1" s="1"/>
  <c r="C287" i="1"/>
  <c r="K287" i="1" s="1"/>
  <c r="C288" i="1"/>
  <c r="K288" i="1" s="1"/>
  <c r="C289" i="1"/>
  <c r="K289" i="1" s="1"/>
  <c r="C290" i="1"/>
  <c r="K290" i="1" s="1"/>
  <c r="C291" i="1"/>
  <c r="K291" i="1" s="1"/>
  <c r="C292" i="1"/>
  <c r="K292" i="1" s="1"/>
  <c r="C293" i="1"/>
  <c r="K293" i="1" s="1"/>
  <c r="C294" i="1"/>
  <c r="K294" i="1" s="1"/>
  <c r="C295" i="1"/>
  <c r="K295" i="1" s="1"/>
  <c r="C296" i="1"/>
  <c r="K296" i="1" s="1"/>
  <c r="C297" i="1"/>
  <c r="K297" i="1" s="1"/>
  <c r="C298" i="1"/>
  <c r="K298" i="1" s="1"/>
  <c r="C299" i="1"/>
  <c r="K299" i="1" s="1"/>
  <c r="C300" i="1"/>
  <c r="K300" i="1" s="1"/>
  <c r="C301" i="1"/>
  <c r="K301" i="1" s="1"/>
  <c r="C302" i="1"/>
  <c r="K302" i="1" s="1"/>
  <c r="C303" i="1"/>
  <c r="K303" i="1" s="1"/>
  <c r="C304" i="1"/>
  <c r="K304" i="1" s="1"/>
  <c r="C305" i="1"/>
  <c r="K305" i="1" s="1"/>
  <c r="C306" i="1"/>
  <c r="K306" i="1" s="1"/>
  <c r="C307" i="1"/>
  <c r="K307" i="1" s="1"/>
  <c r="C308" i="1"/>
  <c r="K308" i="1" s="1"/>
  <c r="C309" i="1"/>
  <c r="K309" i="1" s="1"/>
  <c r="C310" i="1"/>
  <c r="K310" i="1" s="1"/>
  <c r="C311" i="1"/>
  <c r="K311" i="1" s="1"/>
  <c r="C312" i="1"/>
  <c r="K312" i="1" s="1"/>
  <c r="C313" i="1"/>
  <c r="K313" i="1" s="1"/>
  <c r="C314" i="1"/>
  <c r="K314" i="1" s="1"/>
  <c r="C315" i="1"/>
  <c r="K315" i="1" s="1"/>
  <c r="C316" i="1"/>
  <c r="K316" i="1" s="1"/>
  <c r="C317" i="1"/>
  <c r="K317" i="1" s="1"/>
  <c r="C318" i="1"/>
  <c r="K318" i="1" s="1"/>
  <c r="C319" i="1"/>
  <c r="K319" i="1" s="1"/>
  <c r="C320" i="1"/>
  <c r="K320" i="1" s="1"/>
  <c r="C321" i="1"/>
  <c r="K321" i="1" s="1"/>
  <c r="C322" i="1"/>
  <c r="K322" i="1" s="1"/>
  <c r="C323" i="1"/>
  <c r="K323" i="1" s="1"/>
  <c r="C324" i="1"/>
  <c r="K324" i="1" s="1"/>
  <c r="C325" i="1"/>
  <c r="K325" i="1" s="1"/>
  <c r="C326" i="1"/>
  <c r="K326" i="1" s="1"/>
  <c r="C327" i="1"/>
  <c r="K327" i="1" s="1"/>
  <c r="C328" i="1"/>
  <c r="K328" i="1" s="1"/>
  <c r="C329" i="1"/>
  <c r="K329" i="1" s="1"/>
  <c r="C330" i="1"/>
  <c r="K330" i="1" s="1"/>
  <c r="C331" i="1"/>
  <c r="K331" i="1" s="1"/>
  <c r="C332" i="1"/>
  <c r="K332" i="1" s="1"/>
  <c r="C333" i="1"/>
  <c r="K333" i="1" s="1"/>
  <c r="C334" i="1"/>
  <c r="K334" i="1" s="1"/>
  <c r="C335" i="1"/>
  <c r="K335" i="1" s="1"/>
  <c r="C336" i="1"/>
  <c r="K336" i="1" s="1"/>
  <c r="C337" i="1"/>
  <c r="K337" i="1" s="1"/>
  <c r="C338" i="1"/>
  <c r="K338" i="1" s="1"/>
  <c r="C339" i="1"/>
  <c r="K339" i="1" s="1"/>
  <c r="C340" i="1"/>
  <c r="K340" i="1" s="1"/>
  <c r="C341" i="1"/>
  <c r="K341" i="1" s="1"/>
  <c r="C342" i="1"/>
  <c r="K342" i="1" s="1"/>
  <c r="C343" i="1"/>
  <c r="K343" i="1" s="1"/>
  <c r="C344" i="1"/>
  <c r="K344" i="1" s="1"/>
  <c r="C345" i="1"/>
  <c r="K345" i="1" s="1"/>
  <c r="C346" i="1"/>
  <c r="K346" i="1" s="1"/>
  <c r="C347" i="1"/>
  <c r="K347" i="1" s="1"/>
  <c r="C348" i="1"/>
  <c r="K348" i="1" s="1"/>
  <c r="C349" i="1"/>
  <c r="K349" i="1" s="1"/>
  <c r="C350" i="1"/>
  <c r="K350" i="1" s="1"/>
  <c r="C351" i="1"/>
  <c r="K351" i="1" s="1"/>
  <c r="C352" i="1"/>
  <c r="K352" i="1" s="1"/>
  <c r="C353" i="1"/>
  <c r="K353" i="1" s="1"/>
  <c r="C354" i="1"/>
  <c r="K354" i="1" s="1"/>
  <c r="C355" i="1"/>
  <c r="K355" i="1" s="1"/>
  <c r="C356" i="1"/>
  <c r="K356" i="1" s="1"/>
  <c r="C357" i="1"/>
  <c r="K357" i="1" s="1"/>
  <c r="C358" i="1"/>
  <c r="K358" i="1" s="1"/>
  <c r="C359" i="1"/>
  <c r="K359" i="1" s="1"/>
  <c r="C360" i="1"/>
  <c r="K360" i="1" s="1"/>
  <c r="C361" i="1"/>
  <c r="K361" i="1" s="1"/>
  <c r="C362" i="1"/>
  <c r="K362" i="1" s="1"/>
  <c r="C363" i="1"/>
  <c r="K363" i="1" s="1"/>
  <c r="C364" i="1"/>
  <c r="K364" i="1" s="1"/>
  <c r="C365" i="1"/>
  <c r="K365" i="1" s="1"/>
  <c r="C366" i="1"/>
  <c r="K366" i="1" s="1"/>
  <c r="C367" i="1"/>
  <c r="K367" i="1" s="1"/>
  <c r="C368" i="1"/>
  <c r="K368" i="1" s="1"/>
  <c r="C369" i="1"/>
  <c r="K369" i="1" s="1"/>
  <c r="C370" i="1"/>
  <c r="K370" i="1" s="1"/>
  <c r="C371" i="1"/>
  <c r="K371" i="1" s="1"/>
  <c r="C372" i="1"/>
  <c r="K372" i="1" s="1"/>
  <c r="C373" i="1"/>
  <c r="K373" i="1" s="1"/>
  <c r="C374" i="1"/>
  <c r="K374" i="1" s="1"/>
  <c r="C375" i="1"/>
  <c r="K375" i="1" s="1"/>
  <c r="C376" i="1"/>
  <c r="K376" i="1" s="1"/>
  <c r="C377" i="1"/>
  <c r="K377" i="1" s="1"/>
  <c r="C378" i="1"/>
  <c r="K378" i="1" s="1"/>
  <c r="C379" i="1"/>
  <c r="K379" i="1" s="1"/>
  <c r="C380" i="1"/>
  <c r="K380" i="1" s="1"/>
  <c r="C381" i="1"/>
  <c r="K381" i="1" s="1"/>
  <c r="C382" i="1"/>
  <c r="K382" i="1" s="1"/>
  <c r="C383" i="1"/>
  <c r="K383" i="1" s="1"/>
  <c r="C384" i="1"/>
  <c r="K384" i="1" s="1"/>
  <c r="C385" i="1"/>
  <c r="K385" i="1" s="1"/>
  <c r="C386" i="1"/>
  <c r="K386" i="1" s="1"/>
  <c r="C387" i="1"/>
  <c r="K387" i="1" s="1"/>
  <c r="C388" i="1"/>
  <c r="K388" i="1" s="1"/>
  <c r="C389" i="1"/>
  <c r="K389" i="1" s="1"/>
  <c r="C390" i="1"/>
  <c r="K390" i="1" s="1"/>
  <c r="C391" i="1"/>
  <c r="K391" i="1" s="1"/>
  <c r="C392" i="1"/>
  <c r="K392" i="1" s="1"/>
  <c r="C393" i="1"/>
  <c r="K393" i="1" s="1"/>
  <c r="C394" i="1"/>
  <c r="K394" i="1" s="1"/>
  <c r="C395" i="1"/>
  <c r="K395" i="1" s="1"/>
  <c r="C396" i="1"/>
  <c r="K396" i="1" s="1"/>
  <c r="C397" i="1"/>
  <c r="K397" i="1" s="1"/>
  <c r="C398" i="1"/>
  <c r="K398" i="1" s="1"/>
  <c r="C399" i="1"/>
  <c r="K399" i="1" s="1"/>
  <c r="C400" i="1"/>
  <c r="K400" i="1" s="1"/>
  <c r="C401" i="1"/>
  <c r="K401" i="1" s="1"/>
  <c r="C402" i="1"/>
  <c r="K402" i="1" s="1"/>
  <c r="C403" i="1"/>
  <c r="K403" i="1" s="1"/>
  <c r="C404" i="1"/>
  <c r="K404" i="1" s="1"/>
  <c r="C405" i="1"/>
  <c r="K405" i="1" s="1"/>
  <c r="C406" i="1"/>
  <c r="K406" i="1" s="1"/>
  <c r="C407" i="1"/>
  <c r="K407" i="1" s="1"/>
  <c r="C408" i="1"/>
  <c r="K408" i="1" s="1"/>
  <c r="C409" i="1"/>
  <c r="K409" i="1" s="1"/>
  <c r="C410" i="1"/>
  <c r="K410" i="1" s="1"/>
  <c r="C411" i="1"/>
  <c r="K411" i="1" s="1"/>
  <c r="C412" i="1"/>
  <c r="K412" i="1" s="1"/>
  <c r="C413" i="1"/>
  <c r="K413" i="1" s="1"/>
  <c r="C414" i="1"/>
  <c r="K414" i="1" s="1"/>
  <c r="C415" i="1"/>
  <c r="K415" i="1" s="1"/>
  <c r="C416" i="1"/>
  <c r="K416" i="1" s="1"/>
  <c r="C417" i="1"/>
  <c r="K417" i="1" s="1"/>
  <c r="C418" i="1"/>
  <c r="K418" i="1" s="1"/>
  <c r="C419" i="1"/>
  <c r="K419" i="1" s="1"/>
  <c r="C420" i="1"/>
  <c r="K420" i="1" s="1"/>
  <c r="C421" i="1"/>
  <c r="K421" i="1" s="1"/>
  <c r="C422" i="1"/>
  <c r="K422" i="1" s="1"/>
  <c r="C423" i="1"/>
  <c r="K423" i="1" s="1"/>
  <c r="C424" i="1"/>
  <c r="K424" i="1" s="1"/>
  <c r="C425" i="1"/>
  <c r="K425" i="1" s="1"/>
  <c r="C426" i="1"/>
  <c r="K426" i="1" s="1"/>
  <c r="C427" i="1"/>
  <c r="K427" i="1" s="1"/>
  <c r="C428" i="1"/>
  <c r="K428" i="1" s="1"/>
  <c r="C429" i="1"/>
  <c r="K429" i="1" s="1"/>
  <c r="C430" i="1"/>
  <c r="K430" i="1" s="1"/>
  <c r="C431" i="1"/>
  <c r="K431" i="1" s="1"/>
  <c r="C432" i="1"/>
  <c r="K432" i="1" s="1"/>
  <c r="C433" i="1"/>
  <c r="K433" i="1" s="1"/>
  <c r="C434" i="1"/>
  <c r="K434" i="1" s="1"/>
  <c r="C435" i="1"/>
  <c r="K435" i="1" s="1"/>
  <c r="C436" i="1"/>
  <c r="K436" i="1" s="1"/>
  <c r="C437" i="1"/>
  <c r="K437" i="1" s="1"/>
  <c r="C438" i="1"/>
  <c r="K438" i="1" s="1"/>
  <c r="C439" i="1"/>
  <c r="K439" i="1" s="1"/>
  <c r="C440" i="1"/>
  <c r="K440" i="1" s="1"/>
  <c r="C441" i="1"/>
  <c r="K441" i="1" s="1"/>
  <c r="C442" i="1"/>
  <c r="K442" i="1" s="1"/>
  <c r="C443" i="1"/>
  <c r="K443" i="1" s="1"/>
  <c r="C444" i="1"/>
  <c r="K444" i="1" s="1"/>
  <c r="C445" i="1"/>
  <c r="K445" i="1" s="1"/>
  <c r="C446" i="1"/>
  <c r="K446" i="1" s="1"/>
  <c r="C447" i="1"/>
  <c r="K447" i="1" s="1"/>
  <c r="C448" i="1"/>
  <c r="K448" i="1" s="1"/>
  <c r="C449" i="1"/>
  <c r="K449" i="1" s="1"/>
  <c r="C450" i="1"/>
  <c r="K450" i="1" s="1"/>
  <c r="C451" i="1"/>
  <c r="K451" i="1" s="1"/>
  <c r="C452" i="1"/>
  <c r="K452" i="1" s="1"/>
  <c r="C453" i="1"/>
  <c r="K453" i="1" s="1"/>
  <c r="C454" i="1"/>
  <c r="K454" i="1" s="1"/>
  <c r="C455" i="1"/>
  <c r="K455" i="1" s="1"/>
  <c r="C456" i="1"/>
  <c r="K456" i="1" s="1"/>
  <c r="C457" i="1"/>
  <c r="K457" i="1" s="1"/>
  <c r="C458" i="1"/>
  <c r="K458" i="1" s="1"/>
  <c r="C459" i="1"/>
  <c r="K459" i="1" s="1"/>
  <c r="C460" i="1"/>
  <c r="K460" i="1" s="1"/>
  <c r="C461" i="1"/>
  <c r="K461" i="1" s="1"/>
  <c r="C462" i="1"/>
  <c r="K462" i="1" s="1"/>
  <c r="C463" i="1"/>
  <c r="K463" i="1" s="1"/>
  <c r="C464" i="1"/>
  <c r="K464" i="1" s="1"/>
  <c r="C465" i="1"/>
  <c r="K465" i="1" s="1"/>
  <c r="C466" i="1"/>
  <c r="K466" i="1" s="1"/>
  <c r="C467" i="1"/>
  <c r="K467" i="1" s="1"/>
  <c r="C468" i="1"/>
  <c r="K468" i="1" s="1"/>
  <c r="C469" i="1"/>
  <c r="K469" i="1" s="1"/>
  <c r="C470" i="1"/>
  <c r="K470" i="1" s="1"/>
  <c r="C471" i="1"/>
  <c r="K471" i="1" s="1"/>
  <c r="C472" i="1"/>
  <c r="K472" i="1" s="1"/>
  <c r="C473" i="1"/>
  <c r="K473" i="1" s="1"/>
  <c r="C474" i="1"/>
  <c r="K474" i="1" s="1"/>
  <c r="C475" i="1"/>
  <c r="K475" i="1" s="1"/>
  <c r="C476" i="1"/>
  <c r="K476" i="1" s="1"/>
  <c r="C477" i="1"/>
  <c r="K477" i="1" s="1"/>
  <c r="C478" i="1"/>
  <c r="K478" i="1" s="1"/>
  <c r="C479" i="1"/>
  <c r="K479" i="1" s="1"/>
  <c r="C480" i="1"/>
  <c r="K480" i="1" s="1"/>
  <c r="C481" i="1"/>
  <c r="K481" i="1" s="1"/>
  <c r="C482" i="1"/>
  <c r="K482" i="1" s="1"/>
  <c r="C483" i="1"/>
  <c r="K483" i="1" s="1"/>
  <c r="C484" i="1"/>
  <c r="K484" i="1" s="1"/>
  <c r="C485" i="1"/>
  <c r="K485" i="1" s="1"/>
  <c r="C486" i="1"/>
  <c r="K486" i="1" s="1"/>
  <c r="C487" i="1"/>
  <c r="K487" i="1" s="1"/>
  <c r="C488" i="1"/>
  <c r="K488" i="1" s="1"/>
  <c r="C489" i="1"/>
  <c r="K489" i="1" s="1"/>
  <c r="C490" i="1"/>
  <c r="K490" i="1" s="1"/>
  <c r="C491" i="1"/>
  <c r="K491" i="1" s="1"/>
  <c r="C492" i="1"/>
  <c r="K492" i="1" s="1"/>
  <c r="C493" i="1"/>
  <c r="K493" i="1" s="1"/>
  <c r="C494" i="1"/>
  <c r="K494" i="1" s="1"/>
  <c r="C495" i="1"/>
  <c r="K495" i="1" s="1"/>
  <c r="C496" i="1"/>
  <c r="K496" i="1" s="1"/>
  <c r="C497" i="1"/>
  <c r="K497" i="1" s="1"/>
  <c r="C498" i="1"/>
  <c r="K498" i="1" s="1"/>
  <c r="C499" i="1"/>
  <c r="K499" i="1" s="1"/>
  <c r="C500" i="1"/>
  <c r="K500" i="1" s="1"/>
  <c r="C501" i="1"/>
  <c r="K501" i="1" s="1"/>
  <c r="C502" i="1"/>
  <c r="K502" i="1" s="1"/>
  <c r="C503" i="1"/>
  <c r="K503" i="1" s="1"/>
  <c r="C504" i="1"/>
  <c r="K504" i="1" s="1"/>
  <c r="C505" i="1"/>
  <c r="K505" i="1" s="1"/>
  <c r="C506" i="1"/>
  <c r="K506" i="1" s="1"/>
  <c r="C507" i="1"/>
  <c r="K507" i="1" s="1"/>
  <c r="C508" i="1"/>
  <c r="K508" i="1" s="1"/>
  <c r="C509" i="1"/>
  <c r="K509" i="1" s="1"/>
  <c r="C510" i="1"/>
  <c r="K510" i="1" s="1"/>
  <c r="C511" i="1"/>
  <c r="K511" i="1" s="1"/>
  <c r="C512" i="1"/>
  <c r="K512" i="1" s="1"/>
  <c r="C513" i="1"/>
  <c r="K513" i="1" s="1"/>
  <c r="C514" i="1"/>
  <c r="K514" i="1" s="1"/>
  <c r="C515" i="1"/>
  <c r="K515" i="1" s="1"/>
  <c r="C516" i="1"/>
  <c r="K516" i="1" s="1"/>
  <c r="C517" i="1"/>
  <c r="K517" i="1" s="1"/>
  <c r="C518" i="1"/>
  <c r="K518" i="1" s="1"/>
  <c r="C519" i="1"/>
  <c r="K519" i="1" s="1"/>
  <c r="C520" i="1"/>
  <c r="K520" i="1" s="1"/>
  <c r="C521" i="1"/>
  <c r="K521" i="1" s="1"/>
  <c r="C522" i="1"/>
  <c r="K522" i="1" s="1"/>
  <c r="C523" i="1"/>
  <c r="K523" i="1" s="1"/>
  <c r="C524" i="1"/>
  <c r="K524" i="1" s="1"/>
  <c r="C525" i="1"/>
  <c r="K525" i="1" s="1"/>
  <c r="C526" i="1"/>
  <c r="K526" i="1" s="1"/>
  <c r="C527" i="1"/>
  <c r="K527" i="1" s="1"/>
  <c r="C528" i="1"/>
  <c r="K528" i="1" s="1"/>
  <c r="C529" i="1"/>
  <c r="K529" i="1" s="1"/>
  <c r="C530" i="1"/>
  <c r="K530" i="1" s="1"/>
  <c r="C531" i="1"/>
  <c r="K531" i="1" s="1"/>
  <c r="C532" i="1"/>
  <c r="K532" i="1" s="1"/>
  <c r="C533" i="1"/>
  <c r="K533" i="1" s="1"/>
  <c r="C534" i="1"/>
  <c r="K534" i="1" s="1"/>
  <c r="C535" i="1"/>
  <c r="K535" i="1" s="1"/>
  <c r="C536" i="1"/>
  <c r="K536" i="1" s="1"/>
  <c r="C537" i="1"/>
  <c r="K537" i="1" s="1"/>
  <c r="C538" i="1"/>
  <c r="K538" i="1" s="1"/>
  <c r="C539" i="1"/>
  <c r="K539" i="1" s="1"/>
  <c r="C540" i="1"/>
  <c r="K540" i="1" s="1"/>
  <c r="C541" i="1"/>
  <c r="K541" i="1" s="1"/>
  <c r="C542" i="1"/>
  <c r="K542" i="1" s="1"/>
  <c r="C543" i="1"/>
  <c r="K543" i="1" s="1"/>
  <c r="C544" i="1"/>
  <c r="K544" i="1" s="1"/>
  <c r="C545" i="1"/>
  <c r="K545" i="1" s="1"/>
  <c r="C546" i="1"/>
  <c r="K546" i="1" s="1"/>
  <c r="C547" i="1"/>
  <c r="K547" i="1" s="1"/>
  <c r="C548" i="1"/>
  <c r="K548" i="1" s="1"/>
  <c r="C549" i="1"/>
  <c r="K549" i="1" s="1"/>
  <c r="C550" i="1"/>
  <c r="K550" i="1" s="1"/>
  <c r="C551" i="1"/>
  <c r="K551" i="1" s="1"/>
  <c r="C552" i="1"/>
  <c r="K552" i="1" s="1"/>
  <c r="C553" i="1"/>
  <c r="K553" i="1" s="1"/>
  <c r="C554" i="1"/>
  <c r="K554" i="1" s="1"/>
  <c r="C555" i="1"/>
  <c r="K555" i="1" s="1"/>
  <c r="C556" i="1"/>
  <c r="K556" i="1" s="1"/>
  <c r="C557" i="1"/>
  <c r="K557" i="1" s="1"/>
  <c r="C558" i="1"/>
  <c r="K558" i="1" s="1"/>
  <c r="C559" i="1"/>
  <c r="K559" i="1" s="1"/>
  <c r="C560" i="1"/>
  <c r="K560" i="1" s="1"/>
  <c r="C561" i="1"/>
  <c r="K561" i="1" s="1"/>
  <c r="C562" i="1"/>
  <c r="K562" i="1" s="1"/>
  <c r="C563" i="1"/>
  <c r="K563" i="1" s="1"/>
  <c r="C564" i="1"/>
  <c r="K564" i="1" s="1"/>
  <c r="C565" i="1"/>
  <c r="K565" i="1" s="1"/>
  <c r="C566" i="1"/>
  <c r="K566" i="1" s="1"/>
  <c r="C567" i="1"/>
  <c r="K567" i="1" s="1"/>
  <c r="C568" i="1"/>
  <c r="K568" i="1" s="1"/>
  <c r="C569" i="1"/>
  <c r="K569" i="1" s="1"/>
  <c r="C570" i="1"/>
  <c r="K570" i="1" s="1"/>
  <c r="C571" i="1"/>
  <c r="K571" i="1" s="1"/>
  <c r="C572" i="1"/>
  <c r="K572" i="1" s="1"/>
  <c r="C573" i="1"/>
  <c r="K573" i="1" s="1"/>
  <c r="C574" i="1"/>
  <c r="K574" i="1" s="1"/>
  <c r="C575" i="1"/>
  <c r="K575" i="1" s="1"/>
  <c r="C576" i="1"/>
  <c r="K576" i="1" s="1"/>
  <c r="C577" i="1"/>
  <c r="K577" i="1" s="1"/>
  <c r="C578" i="1"/>
  <c r="K578" i="1" s="1"/>
  <c r="C579" i="1"/>
  <c r="K579" i="1" s="1"/>
  <c r="C580" i="1"/>
  <c r="K580" i="1" s="1"/>
  <c r="C581" i="1"/>
  <c r="K581" i="1" s="1"/>
  <c r="C582" i="1"/>
  <c r="K582" i="1" s="1"/>
  <c r="C583" i="1"/>
  <c r="K583" i="1" s="1"/>
  <c r="C584" i="1"/>
  <c r="K584" i="1" s="1"/>
  <c r="C585" i="1"/>
  <c r="K585" i="1" s="1"/>
  <c r="C586" i="1"/>
  <c r="K586" i="1" s="1"/>
  <c r="C587" i="1"/>
  <c r="K587" i="1" s="1"/>
  <c r="C588" i="1"/>
  <c r="K588" i="1" s="1"/>
  <c r="C589" i="1"/>
  <c r="K589" i="1" s="1"/>
  <c r="C590" i="1"/>
  <c r="K590" i="1" s="1"/>
  <c r="C591" i="1"/>
  <c r="K591" i="1" s="1"/>
  <c r="C592" i="1"/>
  <c r="K592" i="1" s="1"/>
  <c r="C593" i="1"/>
  <c r="K593" i="1" s="1"/>
  <c r="C594" i="1"/>
  <c r="K594" i="1" s="1"/>
  <c r="C595" i="1"/>
  <c r="K595" i="1" s="1"/>
  <c r="C596" i="1"/>
  <c r="K596" i="1" s="1"/>
  <c r="C597" i="1"/>
  <c r="K597" i="1" s="1"/>
  <c r="C598" i="1"/>
  <c r="K598" i="1" s="1"/>
  <c r="C599" i="1"/>
  <c r="K599" i="1" s="1"/>
  <c r="C600" i="1"/>
  <c r="K600" i="1" s="1"/>
  <c r="C601" i="1"/>
  <c r="K601" i="1" s="1"/>
  <c r="C602" i="1"/>
  <c r="K602" i="1" s="1"/>
  <c r="C603" i="1"/>
  <c r="K603" i="1" s="1"/>
  <c r="C604" i="1"/>
  <c r="K604" i="1" s="1"/>
  <c r="C605" i="1"/>
  <c r="K605" i="1" s="1"/>
  <c r="C606" i="1"/>
  <c r="K606" i="1" s="1"/>
  <c r="C607" i="1"/>
  <c r="K607" i="1" s="1"/>
  <c r="C608" i="1"/>
  <c r="K608" i="1" s="1"/>
  <c r="C609" i="1"/>
  <c r="K609" i="1" s="1"/>
  <c r="C610" i="1"/>
  <c r="K610" i="1" s="1"/>
  <c r="C611" i="1"/>
  <c r="K611" i="1" s="1"/>
  <c r="C612" i="1"/>
  <c r="K612" i="1" s="1"/>
  <c r="C613" i="1"/>
  <c r="K613" i="1" s="1"/>
  <c r="C614" i="1"/>
  <c r="K614" i="1" s="1"/>
  <c r="C615" i="1"/>
  <c r="K615" i="1" s="1"/>
  <c r="C616" i="1"/>
  <c r="K616" i="1" s="1"/>
  <c r="C617" i="1"/>
  <c r="K617" i="1" s="1"/>
  <c r="C618" i="1"/>
  <c r="K618" i="1" s="1"/>
  <c r="C619" i="1"/>
  <c r="K619" i="1" s="1"/>
  <c r="C620" i="1"/>
  <c r="K620" i="1" s="1"/>
  <c r="C621" i="1"/>
  <c r="K621" i="1" s="1"/>
  <c r="C622" i="1"/>
  <c r="K622" i="1" s="1"/>
  <c r="C623" i="1"/>
  <c r="K623" i="1" s="1"/>
  <c r="C624" i="1"/>
  <c r="K624" i="1" s="1"/>
  <c r="C625" i="1"/>
  <c r="K625" i="1" s="1"/>
  <c r="C626" i="1"/>
  <c r="K626" i="1" s="1"/>
  <c r="C627" i="1"/>
  <c r="K627" i="1" s="1"/>
  <c r="C628" i="1"/>
  <c r="K628" i="1" s="1"/>
  <c r="C629" i="1"/>
  <c r="K629" i="1" s="1"/>
  <c r="C630" i="1"/>
  <c r="K630" i="1" s="1"/>
  <c r="C631" i="1"/>
  <c r="K631" i="1" s="1"/>
  <c r="C632" i="1"/>
  <c r="K632" i="1" s="1"/>
  <c r="C633" i="1"/>
  <c r="K633" i="1" s="1"/>
  <c r="C2" i="1"/>
  <c r="K2" i="1" s="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2"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7" i="1"/>
  <c r="H78" i="1"/>
  <c r="H80" i="1"/>
  <c r="H81" i="1"/>
  <c r="H82" i="1"/>
  <c r="H83" i="1"/>
  <c r="H84" i="1"/>
  <c r="H86" i="1"/>
  <c r="H87" i="1"/>
  <c r="H88" i="1"/>
  <c r="H89" i="1"/>
  <c r="H90" i="1"/>
  <c r="H91" i="1"/>
  <c r="H92" i="1"/>
  <c r="H93" i="1"/>
  <c r="H95" i="1"/>
  <c r="H96" i="1"/>
  <c r="H97" i="1"/>
  <c r="H98"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8" i="1"/>
  <c r="H149" i="1"/>
  <c r="H150" i="1"/>
  <c r="H151" i="1"/>
  <c r="H152" i="1"/>
  <c r="H153" i="1"/>
  <c r="H155" i="1"/>
  <c r="H156" i="1"/>
  <c r="H157" i="1"/>
  <c r="H158" i="1"/>
  <c r="H159" i="1"/>
  <c r="H160" i="1"/>
  <c r="H161" i="1"/>
  <c r="H162" i="1"/>
  <c r="H163" i="1"/>
  <c r="H164" i="1"/>
  <c r="H165" i="1"/>
  <c r="H166" i="1"/>
  <c r="H167" i="1"/>
  <c r="H168" i="1"/>
  <c r="H169" i="1"/>
  <c r="H170" i="1"/>
  <c r="H171" i="1"/>
  <c r="H172" i="1"/>
  <c r="H173" i="1"/>
  <c r="H174"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70" i="1"/>
  <c r="H271" i="1"/>
  <c r="H272" i="1"/>
  <c r="H273" i="1"/>
  <c r="H274" i="1"/>
  <c r="H275" i="1"/>
  <c r="H276" i="1"/>
  <c r="H277" i="1"/>
  <c r="H278" i="1"/>
  <c r="H279" i="1"/>
  <c r="H280" i="1"/>
  <c r="H281" i="1"/>
  <c r="H282" i="1"/>
  <c r="H283" i="1"/>
  <c r="H284" i="1"/>
  <c r="H285" i="1"/>
  <c r="H286" i="1"/>
  <c r="H287" i="1"/>
  <c r="H288" i="1"/>
  <c r="H289" i="1"/>
  <c r="H290" i="1"/>
  <c r="H291" i="1"/>
  <c r="H293" i="1"/>
  <c r="H294" i="1"/>
  <c r="H295" i="1"/>
  <c r="H296" i="1"/>
  <c r="H297" i="1"/>
  <c r="H298" i="1"/>
  <c r="H299" i="1"/>
  <c r="H300" i="1"/>
  <c r="H301" i="1"/>
  <c r="H302" i="1"/>
  <c r="H303" i="1"/>
  <c r="H304" i="1"/>
  <c r="H305" i="1"/>
  <c r="H306" i="1"/>
  <c r="H307" i="1"/>
  <c r="H308" i="1"/>
  <c r="H309" i="1"/>
  <c r="H310" i="1"/>
  <c r="H311" i="1"/>
  <c r="H312" i="1"/>
  <c r="H313" i="1"/>
  <c r="H315" i="1"/>
  <c r="H316" i="1"/>
  <c r="H317" i="1"/>
  <c r="H318" i="1"/>
  <c r="H319" i="1"/>
  <c r="H320" i="1"/>
  <c r="H321" i="1"/>
  <c r="H322" i="1"/>
  <c r="H325" i="1"/>
  <c r="H326" i="1"/>
  <c r="H327" i="1"/>
  <c r="H328" i="1"/>
  <c r="H329" i="1"/>
  <c r="H331" i="1"/>
  <c r="H332" i="1"/>
  <c r="H333" i="1"/>
  <c r="H334" i="1"/>
  <c r="H335" i="1"/>
  <c r="H336" i="1"/>
  <c r="H337" i="1"/>
  <c r="H338" i="1"/>
  <c r="H339" i="1"/>
  <c r="H340" i="1"/>
  <c r="H341" i="1"/>
  <c r="H342" i="1"/>
  <c r="H344" i="1"/>
  <c r="H34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40" i="1"/>
  <c r="H441" i="1"/>
  <c r="H442" i="1"/>
  <c r="H443" i="1"/>
  <c r="H444" i="1"/>
  <c r="H445" i="1"/>
  <c r="H446" i="1"/>
  <c r="H447" i="1"/>
  <c r="H448" i="1"/>
  <c r="H449" i="1"/>
  <c r="H450" i="1"/>
  <c r="H451"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6" i="1"/>
  <c r="H497" i="1"/>
  <c r="H498" i="1"/>
  <c r="H499" i="1"/>
  <c r="H500" i="1"/>
  <c r="H501" i="1"/>
  <c r="H502"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6" i="1"/>
  <c r="H587" i="1"/>
  <c r="H588" i="1"/>
  <c r="H589" i="1"/>
  <c r="H590" i="1"/>
  <c r="H591" i="1"/>
  <c r="H592" i="1"/>
  <c r="H593" i="1"/>
  <c r="H595" i="1"/>
  <c r="H596" i="1"/>
  <c r="H597" i="1"/>
  <c r="H599" i="1"/>
  <c r="H600" i="1"/>
  <c r="H602" i="1"/>
  <c r="H603" i="1"/>
  <c r="H604" i="1"/>
  <c r="H605" i="1"/>
  <c r="H606" i="1"/>
  <c r="H607" i="1"/>
  <c r="H608" i="1"/>
  <c r="H609" i="1"/>
  <c r="H610" i="1"/>
  <c r="H612" i="1"/>
  <c r="H613" i="1"/>
  <c r="H614" i="1"/>
  <c r="H615" i="1"/>
  <c r="H616" i="1"/>
  <c r="H617" i="1"/>
  <c r="H618" i="1"/>
  <c r="H619" i="1"/>
  <c r="H620" i="1"/>
  <c r="H621" i="1"/>
  <c r="H622" i="1"/>
  <c r="H623" i="1"/>
  <c r="H624" i="1"/>
  <c r="H625" i="1"/>
  <c r="H627" i="1"/>
  <c r="H628" i="1"/>
  <c r="H629" i="1"/>
  <c r="H630" i="1"/>
  <c r="H631" i="1"/>
  <c r="H632" i="1"/>
  <c r="H633" i="1"/>
  <c r="H37" i="1"/>
  <c r="H23" i="1"/>
  <c r="H24" i="1"/>
  <c r="H25" i="1"/>
  <c r="H26" i="1"/>
  <c r="H27" i="1"/>
  <c r="H28" i="1"/>
  <c r="H29" i="1"/>
  <c r="H30" i="1"/>
  <c r="H31" i="1"/>
  <c r="H32" i="1"/>
  <c r="H33" i="1"/>
  <c r="H34" i="1"/>
  <c r="H35" i="1"/>
  <c r="H3" i="1"/>
  <c r="H4" i="1"/>
  <c r="H5" i="1"/>
  <c r="H6" i="1"/>
  <c r="H7" i="1"/>
  <c r="H8" i="1"/>
  <c r="H10" i="1"/>
  <c r="H11" i="1"/>
  <c r="H12" i="1"/>
  <c r="H13" i="1"/>
  <c r="H14" i="1"/>
  <c r="H15" i="1"/>
  <c r="H16" i="1"/>
  <c r="H18" i="1"/>
  <c r="H19" i="1"/>
  <c r="H20" i="1"/>
  <c r="G15" i="1"/>
  <c r="AF15" i="1" s="1"/>
  <c r="G16" i="1"/>
  <c r="AF16" i="1" s="1"/>
  <c r="G17" i="1"/>
  <c r="AF17" i="1" s="1"/>
  <c r="G18" i="1"/>
  <c r="AF18" i="1" s="1"/>
  <c r="G19" i="1"/>
  <c r="AF19" i="1" s="1"/>
  <c r="G20" i="1"/>
  <c r="AF20" i="1" s="1"/>
  <c r="G21" i="1"/>
  <c r="AF21" i="1" s="1"/>
  <c r="G22" i="1"/>
  <c r="AF22" i="1" s="1"/>
  <c r="G23" i="1"/>
  <c r="AF23" i="1" s="1"/>
  <c r="G24" i="1"/>
  <c r="AF24" i="1" s="1"/>
  <c r="G25" i="1"/>
  <c r="AF25" i="1" s="1"/>
  <c r="G26" i="1"/>
  <c r="AF26" i="1" s="1"/>
  <c r="G27" i="1"/>
  <c r="AF27" i="1" s="1"/>
  <c r="G28" i="1"/>
  <c r="AF28" i="1" s="1"/>
  <c r="G29" i="1"/>
  <c r="AF29" i="1" s="1"/>
  <c r="G30" i="1"/>
  <c r="AF30" i="1" s="1"/>
  <c r="G31" i="1"/>
  <c r="AF31" i="1" s="1"/>
  <c r="G32" i="1"/>
  <c r="AF32" i="1" s="1"/>
  <c r="G33" i="1"/>
  <c r="AF33" i="1" s="1"/>
  <c r="G34" i="1"/>
  <c r="AF34" i="1" s="1"/>
  <c r="G35" i="1"/>
  <c r="AF35" i="1" s="1"/>
  <c r="G36" i="1"/>
  <c r="AF36" i="1" s="1"/>
  <c r="G37" i="1"/>
  <c r="AF37" i="1" s="1"/>
  <c r="G38" i="1"/>
  <c r="AF38" i="1" s="1"/>
  <c r="G39" i="1"/>
  <c r="AF39" i="1" s="1"/>
  <c r="G40" i="1"/>
  <c r="AF40" i="1" s="1"/>
  <c r="G41" i="1"/>
  <c r="AF41" i="1" s="1"/>
  <c r="G42" i="1"/>
  <c r="AF42" i="1" s="1"/>
  <c r="G43" i="1"/>
  <c r="AF43" i="1" s="1"/>
  <c r="G44" i="1"/>
  <c r="AF44" i="1" s="1"/>
  <c r="G45" i="1"/>
  <c r="AF45" i="1" s="1"/>
  <c r="G46" i="1"/>
  <c r="AF46" i="1" s="1"/>
  <c r="G47" i="1"/>
  <c r="AF47" i="1" s="1"/>
  <c r="G48" i="1"/>
  <c r="AF48" i="1" s="1"/>
  <c r="G49" i="1"/>
  <c r="AF49" i="1" s="1"/>
  <c r="G50" i="1"/>
  <c r="AF50" i="1" s="1"/>
  <c r="G51" i="1"/>
  <c r="AF51" i="1" s="1"/>
  <c r="G52" i="1"/>
  <c r="AF52" i="1" s="1"/>
  <c r="G53" i="1"/>
  <c r="AF53" i="1" s="1"/>
  <c r="G54" i="1"/>
  <c r="AF54" i="1" s="1"/>
  <c r="G55" i="1"/>
  <c r="AF55" i="1" s="1"/>
  <c r="G56" i="1"/>
  <c r="AF56" i="1" s="1"/>
  <c r="G57" i="1"/>
  <c r="AF57" i="1" s="1"/>
  <c r="G58" i="1"/>
  <c r="AF58" i="1" s="1"/>
  <c r="G59" i="1"/>
  <c r="AF59" i="1" s="1"/>
  <c r="G60" i="1"/>
  <c r="AF60" i="1" s="1"/>
  <c r="G61" i="1"/>
  <c r="AF61" i="1" s="1"/>
  <c r="G62" i="1"/>
  <c r="AF62" i="1" s="1"/>
  <c r="G63" i="1"/>
  <c r="AF63" i="1" s="1"/>
  <c r="G64" i="1"/>
  <c r="AF64" i="1" s="1"/>
  <c r="G65" i="1"/>
  <c r="AF65" i="1" s="1"/>
  <c r="G66" i="1"/>
  <c r="AF66" i="1" s="1"/>
  <c r="G67" i="1"/>
  <c r="AF67" i="1" s="1"/>
  <c r="G68" i="1"/>
  <c r="AF68" i="1" s="1"/>
  <c r="G69" i="1"/>
  <c r="AF69" i="1" s="1"/>
  <c r="G70" i="1"/>
  <c r="AF70" i="1" s="1"/>
  <c r="G71" i="1"/>
  <c r="AF71" i="1" s="1"/>
  <c r="G72" i="1"/>
  <c r="AF72" i="1" s="1"/>
  <c r="G73" i="1"/>
  <c r="AF73" i="1" s="1"/>
  <c r="G74" i="1"/>
  <c r="AF74" i="1" s="1"/>
  <c r="G75" i="1"/>
  <c r="AF75" i="1" s="1"/>
  <c r="G76" i="1"/>
  <c r="AF76" i="1" s="1"/>
  <c r="G77" i="1"/>
  <c r="AF77" i="1" s="1"/>
  <c r="G78" i="1"/>
  <c r="AF78" i="1" s="1"/>
  <c r="G79" i="1"/>
  <c r="AF79" i="1" s="1"/>
  <c r="G80" i="1"/>
  <c r="AF80" i="1" s="1"/>
  <c r="G81" i="1"/>
  <c r="AF81" i="1" s="1"/>
  <c r="G82" i="1"/>
  <c r="AF82" i="1" s="1"/>
  <c r="G83" i="1"/>
  <c r="AF83" i="1" s="1"/>
  <c r="G84" i="1"/>
  <c r="AF84" i="1" s="1"/>
  <c r="G85" i="1"/>
  <c r="AF85" i="1" s="1"/>
  <c r="G86" i="1"/>
  <c r="AF86" i="1" s="1"/>
  <c r="G87" i="1"/>
  <c r="AF87" i="1" s="1"/>
  <c r="G88" i="1"/>
  <c r="AF88" i="1" s="1"/>
  <c r="G89" i="1"/>
  <c r="AF89" i="1" s="1"/>
  <c r="G90" i="1"/>
  <c r="AF90" i="1" s="1"/>
  <c r="G91" i="1"/>
  <c r="AF91" i="1" s="1"/>
  <c r="G92" i="1"/>
  <c r="AF92" i="1" s="1"/>
  <c r="G93" i="1"/>
  <c r="AF93" i="1" s="1"/>
  <c r="G94" i="1"/>
  <c r="AF94" i="1" s="1"/>
  <c r="G95" i="1"/>
  <c r="AF95" i="1" s="1"/>
  <c r="G96" i="1"/>
  <c r="AF96" i="1" s="1"/>
  <c r="G97" i="1"/>
  <c r="AF97" i="1" s="1"/>
  <c r="G98" i="1"/>
  <c r="AF98" i="1" s="1"/>
  <c r="G99" i="1"/>
  <c r="AF99" i="1" s="1"/>
  <c r="G100" i="1"/>
  <c r="AF100" i="1" s="1"/>
  <c r="G101" i="1"/>
  <c r="AF101" i="1" s="1"/>
  <c r="G102" i="1"/>
  <c r="AF102" i="1" s="1"/>
  <c r="G103" i="1"/>
  <c r="AF103" i="1" s="1"/>
  <c r="G104" i="1"/>
  <c r="AF104" i="1" s="1"/>
  <c r="G105" i="1"/>
  <c r="AF105" i="1" s="1"/>
  <c r="G106" i="1"/>
  <c r="AF106" i="1" s="1"/>
  <c r="G107" i="1"/>
  <c r="AF107" i="1" s="1"/>
  <c r="G108" i="1"/>
  <c r="AF108" i="1" s="1"/>
  <c r="G109" i="1"/>
  <c r="AF109" i="1" s="1"/>
  <c r="G110" i="1"/>
  <c r="AF110" i="1" s="1"/>
  <c r="G111" i="1"/>
  <c r="AF111" i="1" s="1"/>
  <c r="G112" i="1"/>
  <c r="AF112" i="1" s="1"/>
  <c r="G113" i="1"/>
  <c r="AF113" i="1" s="1"/>
  <c r="G114" i="1"/>
  <c r="AF114" i="1" s="1"/>
  <c r="G115" i="1"/>
  <c r="AF115" i="1" s="1"/>
  <c r="G116" i="1"/>
  <c r="AF116" i="1" s="1"/>
  <c r="G117" i="1"/>
  <c r="AF117" i="1" s="1"/>
  <c r="G118" i="1"/>
  <c r="AF118" i="1" s="1"/>
  <c r="G119" i="1"/>
  <c r="AF119" i="1" s="1"/>
  <c r="G120" i="1"/>
  <c r="AF120" i="1" s="1"/>
  <c r="G121" i="1"/>
  <c r="AF121" i="1" s="1"/>
  <c r="G122" i="1"/>
  <c r="AF122" i="1" s="1"/>
  <c r="G123" i="1"/>
  <c r="AF123" i="1" s="1"/>
  <c r="G124" i="1"/>
  <c r="AF124" i="1" s="1"/>
  <c r="G125" i="1"/>
  <c r="AF125" i="1" s="1"/>
  <c r="G126" i="1"/>
  <c r="AF126" i="1" s="1"/>
  <c r="G127" i="1"/>
  <c r="AF127" i="1" s="1"/>
  <c r="G128" i="1"/>
  <c r="AF128" i="1" s="1"/>
  <c r="G129" i="1"/>
  <c r="AF129" i="1" s="1"/>
  <c r="G130" i="1"/>
  <c r="AF130" i="1" s="1"/>
  <c r="G131" i="1"/>
  <c r="AF131" i="1" s="1"/>
  <c r="G132" i="1"/>
  <c r="AF132" i="1" s="1"/>
  <c r="G133" i="1"/>
  <c r="AF133" i="1" s="1"/>
  <c r="G134" i="1"/>
  <c r="AF134" i="1" s="1"/>
  <c r="G135" i="1"/>
  <c r="AF135" i="1" s="1"/>
  <c r="G136" i="1"/>
  <c r="AF136" i="1" s="1"/>
  <c r="G137" i="1"/>
  <c r="AF137" i="1" s="1"/>
  <c r="G138" i="1"/>
  <c r="AF138" i="1" s="1"/>
  <c r="G139" i="1"/>
  <c r="AF139" i="1" s="1"/>
  <c r="G140" i="1"/>
  <c r="AF140" i="1" s="1"/>
  <c r="G141" i="1"/>
  <c r="AF141" i="1" s="1"/>
  <c r="G142" i="1"/>
  <c r="AF142" i="1" s="1"/>
  <c r="G143" i="1"/>
  <c r="AF143" i="1" s="1"/>
  <c r="G144" i="1"/>
  <c r="AF144" i="1" s="1"/>
  <c r="G145" i="1"/>
  <c r="AF145" i="1" s="1"/>
  <c r="G146" i="1"/>
  <c r="AF146" i="1" s="1"/>
  <c r="G147" i="1"/>
  <c r="AF147" i="1" s="1"/>
  <c r="G148" i="1"/>
  <c r="AF148" i="1" s="1"/>
  <c r="G149" i="1"/>
  <c r="AF149" i="1" s="1"/>
  <c r="G150" i="1"/>
  <c r="AF150" i="1" s="1"/>
  <c r="G151" i="1"/>
  <c r="AF151" i="1" s="1"/>
  <c r="G152" i="1"/>
  <c r="AF152" i="1" s="1"/>
  <c r="G153" i="1"/>
  <c r="AF153" i="1" s="1"/>
  <c r="G154" i="1"/>
  <c r="AF154" i="1" s="1"/>
  <c r="G155" i="1"/>
  <c r="AF155" i="1" s="1"/>
  <c r="G156" i="1"/>
  <c r="AF156" i="1" s="1"/>
  <c r="G157" i="1"/>
  <c r="AF157" i="1" s="1"/>
  <c r="G158" i="1"/>
  <c r="AF158" i="1" s="1"/>
  <c r="G159" i="1"/>
  <c r="AF159" i="1" s="1"/>
  <c r="G160" i="1"/>
  <c r="AF160" i="1" s="1"/>
  <c r="G161" i="1"/>
  <c r="AF161" i="1" s="1"/>
  <c r="G162" i="1"/>
  <c r="AF162" i="1" s="1"/>
  <c r="G163" i="1"/>
  <c r="AF163" i="1" s="1"/>
  <c r="G164" i="1"/>
  <c r="AF164" i="1" s="1"/>
  <c r="G165" i="1"/>
  <c r="AF165" i="1" s="1"/>
  <c r="G166" i="1"/>
  <c r="AF166" i="1" s="1"/>
  <c r="G167" i="1"/>
  <c r="AF167" i="1" s="1"/>
  <c r="G168" i="1"/>
  <c r="AF168" i="1" s="1"/>
  <c r="G169" i="1"/>
  <c r="AF169" i="1" s="1"/>
  <c r="G170" i="1"/>
  <c r="AF170" i="1" s="1"/>
  <c r="G171" i="1"/>
  <c r="AF171" i="1" s="1"/>
  <c r="G172" i="1"/>
  <c r="AF172" i="1" s="1"/>
  <c r="G173" i="1"/>
  <c r="AF173" i="1" s="1"/>
  <c r="G174" i="1"/>
  <c r="AF174" i="1" s="1"/>
  <c r="G175" i="1"/>
  <c r="AF175" i="1" s="1"/>
  <c r="G176" i="1"/>
  <c r="AF176" i="1" s="1"/>
  <c r="G177" i="1"/>
  <c r="AF177" i="1" s="1"/>
  <c r="G178" i="1"/>
  <c r="AF178" i="1" s="1"/>
  <c r="G179" i="1"/>
  <c r="AF179" i="1" s="1"/>
  <c r="G180" i="1"/>
  <c r="AF180" i="1" s="1"/>
  <c r="G181" i="1"/>
  <c r="AF181" i="1" s="1"/>
  <c r="G182" i="1"/>
  <c r="AF182" i="1" s="1"/>
  <c r="G183" i="1"/>
  <c r="AF183" i="1" s="1"/>
  <c r="G184" i="1"/>
  <c r="AF184" i="1" s="1"/>
  <c r="G185" i="1"/>
  <c r="AF185" i="1" s="1"/>
  <c r="G186" i="1"/>
  <c r="AF186" i="1" s="1"/>
  <c r="G187" i="1"/>
  <c r="AF187" i="1" s="1"/>
  <c r="G188" i="1"/>
  <c r="AF188" i="1" s="1"/>
  <c r="G189" i="1"/>
  <c r="AF189" i="1" s="1"/>
  <c r="G190" i="1"/>
  <c r="AF190" i="1" s="1"/>
  <c r="G191" i="1"/>
  <c r="AF191" i="1" s="1"/>
  <c r="G192" i="1"/>
  <c r="AF192" i="1" s="1"/>
  <c r="G193" i="1"/>
  <c r="AF193" i="1" s="1"/>
  <c r="G194" i="1"/>
  <c r="AF194" i="1" s="1"/>
  <c r="G195" i="1"/>
  <c r="AF195" i="1" s="1"/>
  <c r="G196" i="1"/>
  <c r="AF196" i="1" s="1"/>
  <c r="G197" i="1"/>
  <c r="AF197" i="1" s="1"/>
  <c r="G198" i="1"/>
  <c r="AF198" i="1" s="1"/>
  <c r="G199" i="1"/>
  <c r="AF199" i="1" s="1"/>
  <c r="G200" i="1"/>
  <c r="AF200" i="1" s="1"/>
  <c r="G201" i="1"/>
  <c r="AF201" i="1" s="1"/>
  <c r="G202" i="1"/>
  <c r="AF202" i="1" s="1"/>
  <c r="G203" i="1"/>
  <c r="AF203" i="1" s="1"/>
  <c r="G204" i="1"/>
  <c r="AF204" i="1" s="1"/>
  <c r="G205" i="1"/>
  <c r="AF205" i="1" s="1"/>
  <c r="G206" i="1"/>
  <c r="AF206" i="1" s="1"/>
  <c r="G207" i="1"/>
  <c r="AF207" i="1" s="1"/>
  <c r="G208" i="1"/>
  <c r="AF208" i="1" s="1"/>
  <c r="G209" i="1"/>
  <c r="AF209" i="1" s="1"/>
  <c r="G210" i="1"/>
  <c r="AF210" i="1" s="1"/>
  <c r="G211" i="1"/>
  <c r="AF211" i="1" s="1"/>
  <c r="G212" i="1"/>
  <c r="AF212" i="1" s="1"/>
  <c r="G213" i="1"/>
  <c r="AF213" i="1" s="1"/>
  <c r="G214" i="1"/>
  <c r="AF214" i="1" s="1"/>
  <c r="G215" i="1"/>
  <c r="AF215" i="1" s="1"/>
  <c r="G216" i="1"/>
  <c r="AF216" i="1" s="1"/>
  <c r="G217" i="1"/>
  <c r="AF217" i="1" s="1"/>
  <c r="G218" i="1"/>
  <c r="AF218" i="1" s="1"/>
  <c r="G219" i="1"/>
  <c r="AF219" i="1" s="1"/>
  <c r="G220" i="1"/>
  <c r="AF220" i="1" s="1"/>
  <c r="G221" i="1"/>
  <c r="AF221" i="1" s="1"/>
  <c r="G222" i="1"/>
  <c r="AF222" i="1" s="1"/>
  <c r="G223" i="1"/>
  <c r="AF223" i="1" s="1"/>
  <c r="G224" i="1"/>
  <c r="AF224" i="1" s="1"/>
  <c r="G225" i="1"/>
  <c r="AF225" i="1" s="1"/>
  <c r="G226" i="1"/>
  <c r="AF226" i="1" s="1"/>
  <c r="G227" i="1"/>
  <c r="AF227" i="1" s="1"/>
  <c r="G228" i="1"/>
  <c r="AF228" i="1" s="1"/>
  <c r="G229" i="1"/>
  <c r="AF229" i="1" s="1"/>
  <c r="G230" i="1"/>
  <c r="AF230" i="1" s="1"/>
  <c r="G231" i="1"/>
  <c r="AF231" i="1" s="1"/>
  <c r="G232" i="1"/>
  <c r="AF232" i="1" s="1"/>
  <c r="G233" i="1"/>
  <c r="AF233" i="1" s="1"/>
  <c r="G234" i="1"/>
  <c r="AF234" i="1" s="1"/>
  <c r="G235" i="1"/>
  <c r="AF235" i="1" s="1"/>
  <c r="G236" i="1"/>
  <c r="AF236" i="1" s="1"/>
  <c r="G237" i="1"/>
  <c r="AF237" i="1" s="1"/>
  <c r="G238" i="1"/>
  <c r="AF238" i="1" s="1"/>
  <c r="G239" i="1"/>
  <c r="AF239" i="1" s="1"/>
  <c r="G240" i="1"/>
  <c r="AF240" i="1" s="1"/>
  <c r="G241" i="1"/>
  <c r="AF241" i="1" s="1"/>
  <c r="G242" i="1"/>
  <c r="AF242" i="1" s="1"/>
  <c r="G243" i="1"/>
  <c r="AF243" i="1" s="1"/>
  <c r="G244" i="1"/>
  <c r="AF244" i="1" s="1"/>
  <c r="G245" i="1"/>
  <c r="AF245" i="1" s="1"/>
  <c r="G246" i="1"/>
  <c r="AF246" i="1" s="1"/>
  <c r="G247" i="1"/>
  <c r="AF247" i="1" s="1"/>
  <c r="G248" i="1"/>
  <c r="AF248" i="1" s="1"/>
  <c r="G249" i="1"/>
  <c r="AF249" i="1" s="1"/>
  <c r="G250" i="1"/>
  <c r="AF250" i="1" s="1"/>
  <c r="G251" i="1"/>
  <c r="AF251" i="1" s="1"/>
  <c r="G252" i="1"/>
  <c r="AF252" i="1" s="1"/>
  <c r="G253" i="1"/>
  <c r="AF253" i="1" s="1"/>
  <c r="G254" i="1"/>
  <c r="AF254" i="1" s="1"/>
  <c r="G255" i="1"/>
  <c r="AF255" i="1" s="1"/>
  <c r="G256" i="1"/>
  <c r="AF256" i="1" s="1"/>
  <c r="G257" i="1"/>
  <c r="AF257" i="1" s="1"/>
  <c r="G258" i="1"/>
  <c r="AF258" i="1" s="1"/>
  <c r="G259" i="1"/>
  <c r="AF259" i="1" s="1"/>
  <c r="G260" i="1"/>
  <c r="AF260" i="1" s="1"/>
  <c r="G261" i="1"/>
  <c r="AF261" i="1" s="1"/>
  <c r="G262" i="1"/>
  <c r="AF262" i="1" s="1"/>
  <c r="G263" i="1"/>
  <c r="AF263" i="1" s="1"/>
  <c r="G264" i="1"/>
  <c r="AF264" i="1" s="1"/>
  <c r="G265" i="1"/>
  <c r="AF265" i="1" s="1"/>
  <c r="G266" i="1"/>
  <c r="AF266" i="1" s="1"/>
  <c r="G267" i="1"/>
  <c r="AF267" i="1" s="1"/>
  <c r="G268" i="1"/>
  <c r="AF268" i="1" s="1"/>
  <c r="G269" i="1"/>
  <c r="AF269" i="1" s="1"/>
  <c r="G270" i="1"/>
  <c r="AF270" i="1" s="1"/>
  <c r="G271" i="1"/>
  <c r="AF271" i="1" s="1"/>
  <c r="G272" i="1"/>
  <c r="AF272" i="1" s="1"/>
  <c r="G273" i="1"/>
  <c r="AF273" i="1" s="1"/>
  <c r="G274" i="1"/>
  <c r="AF274" i="1" s="1"/>
  <c r="G275" i="1"/>
  <c r="AF275" i="1" s="1"/>
  <c r="G276" i="1"/>
  <c r="AF276" i="1" s="1"/>
  <c r="G277" i="1"/>
  <c r="AF277" i="1" s="1"/>
  <c r="G278" i="1"/>
  <c r="AF278" i="1" s="1"/>
  <c r="G279" i="1"/>
  <c r="AF279" i="1" s="1"/>
  <c r="G280" i="1"/>
  <c r="AF280" i="1" s="1"/>
  <c r="G281" i="1"/>
  <c r="AF281" i="1" s="1"/>
  <c r="G282" i="1"/>
  <c r="AF282" i="1" s="1"/>
  <c r="G283" i="1"/>
  <c r="AF283" i="1" s="1"/>
  <c r="G284" i="1"/>
  <c r="AF284" i="1" s="1"/>
  <c r="G285" i="1"/>
  <c r="AF285" i="1" s="1"/>
  <c r="G286" i="1"/>
  <c r="AF286" i="1" s="1"/>
  <c r="G287" i="1"/>
  <c r="AF287" i="1" s="1"/>
  <c r="G288" i="1"/>
  <c r="AF288" i="1" s="1"/>
  <c r="G289" i="1"/>
  <c r="AF289" i="1" s="1"/>
  <c r="G290" i="1"/>
  <c r="AF290" i="1" s="1"/>
  <c r="G291" i="1"/>
  <c r="AF291" i="1" s="1"/>
  <c r="G292" i="1"/>
  <c r="AF292" i="1" s="1"/>
  <c r="G293" i="1"/>
  <c r="AF293" i="1" s="1"/>
  <c r="G294" i="1"/>
  <c r="AF294" i="1" s="1"/>
  <c r="G295" i="1"/>
  <c r="AF295" i="1" s="1"/>
  <c r="G296" i="1"/>
  <c r="AF296" i="1" s="1"/>
  <c r="G297" i="1"/>
  <c r="AF297" i="1" s="1"/>
  <c r="G298" i="1"/>
  <c r="AF298" i="1" s="1"/>
  <c r="G299" i="1"/>
  <c r="AF299" i="1" s="1"/>
  <c r="G300" i="1"/>
  <c r="AF300" i="1" s="1"/>
  <c r="G301" i="1"/>
  <c r="AF301" i="1" s="1"/>
  <c r="G302" i="1"/>
  <c r="AF302" i="1" s="1"/>
  <c r="G303" i="1"/>
  <c r="AF303" i="1" s="1"/>
  <c r="G304" i="1"/>
  <c r="AF304" i="1" s="1"/>
  <c r="G305" i="1"/>
  <c r="AF305" i="1" s="1"/>
  <c r="G306" i="1"/>
  <c r="AF306" i="1" s="1"/>
  <c r="G307" i="1"/>
  <c r="AF307" i="1" s="1"/>
  <c r="G308" i="1"/>
  <c r="AF308" i="1" s="1"/>
  <c r="G309" i="1"/>
  <c r="AF309" i="1" s="1"/>
  <c r="G310" i="1"/>
  <c r="AF310" i="1" s="1"/>
  <c r="G311" i="1"/>
  <c r="AF311" i="1" s="1"/>
  <c r="G312" i="1"/>
  <c r="AF312" i="1" s="1"/>
  <c r="G313" i="1"/>
  <c r="AF313" i="1" s="1"/>
  <c r="G314" i="1"/>
  <c r="AF314" i="1" s="1"/>
  <c r="G315" i="1"/>
  <c r="AF315" i="1" s="1"/>
  <c r="G316" i="1"/>
  <c r="AF316" i="1" s="1"/>
  <c r="G317" i="1"/>
  <c r="AF317" i="1" s="1"/>
  <c r="G318" i="1"/>
  <c r="AF318" i="1" s="1"/>
  <c r="G319" i="1"/>
  <c r="AF319" i="1" s="1"/>
  <c r="G320" i="1"/>
  <c r="AF320" i="1" s="1"/>
  <c r="G321" i="1"/>
  <c r="AF321" i="1" s="1"/>
  <c r="G322" i="1"/>
  <c r="AF322" i="1" s="1"/>
  <c r="G323" i="1"/>
  <c r="AF323" i="1" s="1"/>
  <c r="G324" i="1"/>
  <c r="AF324" i="1" s="1"/>
  <c r="G325" i="1"/>
  <c r="AF325" i="1" s="1"/>
  <c r="G326" i="1"/>
  <c r="AF326" i="1" s="1"/>
  <c r="G327" i="1"/>
  <c r="AF327" i="1" s="1"/>
  <c r="G328" i="1"/>
  <c r="AF328" i="1" s="1"/>
  <c r="G329" i="1"/>
  <c r="AF329" i="1" s="1"/>
  <c r="G330" i="1"/>
  <c r="AF330" i="1" s="1"/>
  <c r="G331" i="1"/>
  <c r="AF331" i="1" s="1"/>
  <c r="G332" i="1"/>
  <c r="AF332" i="1" s="1"/>
  <c r="G333" i="1"/>
  <c r="AF333" i="1" s="1"/>
  <c r="G334" i="1"/>
  <c r="AF334" i="1" s="1"/>
  <c r="G335" i="1"/>
  <c r="AF335" i="1" s="1"/>
  <c r="G336" i="1"/>
  <c r="AF336" i="1" s="1"/>
  <c r="G337" i="1"/>
  <c r="AF337" i="1" s="1"/>
  <c r="G338" i="1"/>
  <c r="AF338" i="1" s="1"/>
  <c r="G339" i="1"/>
  <c r="AF339" i="1" s="1"/>
  <c r="G340" i="1"/>
  <c r="AF340" i="1" s="1"/>
  <c r="G341" i="1"/>
  <c r="AF341" i="1" s="1"/>
  <c r="G342" i="1"/>
  <c r="AF342" i="1" s="1"/>
  <c r="G343" i="1"/>
  <c r="AF343" i="1" s="1"/>
  <c r="G344" i="1"/>
  <c r="AF344" i="1" s="1"/>
  <c r="G345" i="1"/>
  <c r="AF345" i="1" s="1"/>
  <c r="G346" i="1"/>
  <c r="AF346" i="1" s="1"/>
  <c r="G347" i="1"/>
  <c r="AF347" i="1" s="1"/>
  <c r="G348" i="1"/>
  <c r="AF348" i="1" s="1"/>
  <c r="G349" i="1"/>
  <c r="AF349" i="1" s="1"/>
  <c r="G350" i="1"/>
  <c r="AF350" i="1" s="1"/>
  <c r="G351" i="1"/>
  <c r="AF351" i="1" s="1"/>
  <c r="G352" i="1"/>
  <c r="AF352" i="1" s="1"/>
  <c r="G353" i="1"/>
  <c r="AF353" i="1" s="1"/>
  <c r="G354" i="1"/>
  <c r="AF354" i="1" s="1"/>
  <c r="G355" i="1"/>
  <c r="AF355" i="1" s="1"/>
  <c r="G356" i="1"/>
  <c r="AF356" i="1" s="1"/>
  <c r="G357" i="1"/>
  <c r="AF357" i="1" s="1"/>
  <c r="G358" i="1"/>
  <c r="AF358" i="1" s="1"/>
  <c r="G359" i="1"/>
  <c r="AF359" i="1" s="1"/>
  <c r="G360" i="1"/>
  <c r="AF360" i="1" s="1"/>
  <c r="G361" i="1"/>
  <c r="AF361" i="1" s="1"/>
  <c r="G362" i="1"/>
  <c r="AF362" i="1" s="1"/>
  <c r="G363" i="1"/>
  <c r="AF363" i="1" s="1"/>
  <c r="G364" i="1"/>
  <c r="AF364" i="1" s="1"/>
  <c r="G365" i="1"/>
  <c r="AF365" i="1" s="1"/>
  <c r="G366" i="1"/>
  <c r="AF366" i="1" s="1"/>
  <c r="G367" i="1"/>
  <c r="AF367" i="1" s="1"/>
  <c r="G368" i="1"/>
  <c r="AF368" i="1" s="1"/>
  <c r="G369" i="1"/>
  <c r="AF369" i="1" s="1"/>
  <c r="G370" i="1"/>
  <c r="AF370" i="1" s="1"/>
  <c r="G371" i="1"/>
  <c r="AF371" i="1" s="1"/>
  <c r="G372" i="1"/>
  <c r="AF372" i="1" s="1"/>
  <c r="G373" i="1"/>
  <c r="AF373" i="1" s="1"/>
  <c r="G374" i="1"/>
  <c r="AF374" i="1" s="1"/>
  <c r="G375" i="1"/>
  <c r="AF375" i="1" s="1"/>
  <c r="G376" i="1"/>
  <c r="AF376" i="1" s="1"/>
  <c r="G377" i="1"/>
  <c r="AF377" i="1" s="1"/>
  <c r="G378" i="1"/>
  <c r="AF378" i="1" s="1"/>
  <c r="G379" i="1"/>
  <c r="AF379" i="1" s="1"/>
  <c r="G380" i="1"/>
  <c r="AF380" i="1" s="1"/>
  <c r="G381" i="1"/>
  <c r="AF381" i="1" s="1"/>
  <c r="G382" i="1"/>
  <c r="AF382" i="1" s="1"/>
  <c r="G383" i="1"/>
  <c r="AF383" i="1" s="1"/>
  <c r="G384" i="1"/>
  <c r="AF384" i="1" s="1"/>
  <c r="G385" i="1"/>
  <c r="AF385" i="1" s="1"/>
  <c r="G386" i="1"/>
  <c r="AF386" i="1" s="1"/>
  <c r="G387" i="1"/>
  <c r="AF387" i="1" s="1"/>
  <c r="G388" i="1"/>
  <c r="AF388" i="1" s="1"/>
  <c r="G389" i="1"/>
  <c r="AF389" i="1" s="1"/>
  <c r="G390" i="1"/>
  <c r="AF390" i="1" s="1"/>
  <c r="G391" i="1"/>
  <c r="AF391" i="1" s="1"/>
  <c r="G392" i="1"/>
  <c r="AF392" i="1" s="1"/>
  <c r="G393" i="1"/>
  <c r="AF393" i="1" s="1"/>
  <c r="G394" i="1"/>
  <c r="AF394" i="1" s="1"/>
  <c r="G395" i="1"/>
  <c r="AF395" i="1" s="1"/>
  <c r="G396" i="1"/>
  <c r="AF396" i="1" s="1"/>
  <c r="G397" i="1"/>
  <c r="AF397" i="1" s="1"/>
  <c r="G398" i="1"/>
  <c r="AF398" i="1" s="1"/>
  <c r="G399" i="1"/>
  <c r="AF399" i="1" s="1"/>
  <c r="G400" i="1"/>
  <c r="AF400" i="1" s="1"/>
  <c r="G401" i="1"/>
  <c r="AF401" i="1" s="1"/>
  <c r="G402" i="1"/>
  <c r="AF402" i="1" s="1"/>
  <c r="G403" i="1"/>
  <c r="AF403" i="1" s="1"/>
  <c r="G404" i="1"/>
  <c r="AF404" i="1" s="1"/>
  <c r="G405" i="1"/>
  <c r="AF405" i="1" s="1"/>
  <c r="G406" i="1"/>
  <c r="AF406" i="1" s="1"/>
  <c r="G407" i="1"/>
  <c r="AF407" i="1" s="1"/>
  <c r="G408" i="1"/>
  <c r="AF408" i="1" s="1"/>
  <c r="G409" i="1"/>
  <c r="AF409" i="1" s="1"/>
  <c r="G410" i="1"/>
  <c r="AF410" i="1" s="1"/>
  <c r="G411" i="1"/>
  <c r="AF411" i="1" s="1"/>
  <c r="G412" i="1"/>
  <c r="AF412" i="1" s="1"/>
  <c r="G413" i="1"/>
  <c r="AF413" i="1" s="1"/>
  <c r="G414" i="1"/>
  <c r="AF414" i="1" s="1"/>
  <c r="G415" i="1"/>
  <c r="AF415" i="1" s="1"/>
  <c r="G416" i="1"/>
  <c r="AF416" i="1" s="1"/>
  <c r="G417" i="1"/>
  <c r="AF417" i="1" s="1"/>
  <c r="G418" i="1"/>
  <c r="AF418" i="1" s="1"/>
  <c r="G419" i="1"/>
  <c r="AF419" i="1" s="1"/>
  <c r="G420" i="1"/>
  <c r="AF420" i="1" s="1"/>
  <c r="G421" i="1"/>
  <c r="AF421" i="1" s="1"/>
  <c r="G422" i="1"/>
  <c r="AF422" i="1" s="1"/>
  <c r="G423" i="1"/>
  <c r="AF423" i="1" s="1"/>
  <c r="G424" i="1"/>
  <c r="AF424" i="1" s="1"/>
  <c r="G425" i="1"/>
  <c r="AF425" i="1" s="1"/>
  <c r="G426" i="1"/>
  <c r="AF426" i="1" s="1"/>
  <c r="G427" i="1"/>
  <c r="AF427" i="1" s="1"/>
  <c r="G428" i="1"/>
  <c r="AF428" i="1" s="1"/>
  <c r="G429" i="1"/>
  <c r="AF429" i="1" s="1"/>
  <c r="G430" i="1"/>
  <c r="AF430" i="1" s="1"/>
  <c r="G431" i="1"/>
  <c r="AF431" i="1" s="1"/>
  <c r="G432" i="1"/>
  <c r="AF432" i="1" s="1"/>
  <c r="G433" i="1"/>
  <c r="AF433" i="1" s="1"/>
  <c r="G434" i="1"/>
  <c r="AF434" i="1" s="1"/>
  <c r="G435" i="1"/>
  <c r="AF435" i="1" s="1"/>
  <c r="G436" i="1"/>
  <c r="AF436" i="1" s="1"/>
  <c r="G437" i="1"/>
  <c r="AF437" i="1" s="1"/>
  <c r="G438" i="1"/>
  <c r="AF438" i="1" s="1"/>
  <c r="G439" i="1"/>
  <c r="AF439" i="1" s="1"/>
  <c r="G440" i="1"/>
  <c r="AF440" i="1" s="1"/>
  <c r="G441" i="1"/>
  <c r="AF441" i="1" s="1"/>
  <c r="G442" i="1"/>
  <c r="AF442" i="1" s="1"/>
  <c r="G443" i="1"/>
  <c r="AF443" i="1" s="1"/>
  <c r="G444" i="1"/>
  <c r="AF444" i="1" s="1"/>
  <c r="G445" i="1"/>
  <c r="AF445" i="1" s="1"/>
  <c r="G446" i="1"/>
  <c r="AF446" i="1" s="1"/>
  <c r="G447" i="1"/>
  <c r="AF447" i="1" s="1"/>
  <c r="G448" i="1"/>
  <c r="AF448" i="1" s="1"/>
  <c r="G449" i="1"/>
  <c r="AF449" i="1" s="1"/>
  <c r="G450" i="1"/>
  <c r="AF450" i="1" s="1"/>
  <c r="G451" i="1"/>
  <c r="AF451" i="1" s="1"/>
  <c r="G452" i="1"/>
  <c r="AF452" i="1" s="1"/>
  <c r="G453" i="1"/>
  <c r="AF453" i="1" s="1"/>
  <c r="G454" i="1"/>
  <c r="AF454" i="1" s="1"/>
  <c r="G455" i="1"/>
  <c r="AF455" i="1" s="1"/>
  <c r="G456" i="1"/>
  <c r="AF456" i="1" s="1"/>
  <c r="G457" i="1"/>
  <c r="AF457" i="1" s="1"/>
  <c r="G458" i="1"/>
  <c r="AF458" i="1" s="1"/>
  <c r="G459" i="1"/>
  <c r="AF459" i="1" s="1"/>
  <c r="G460" i="1"/>
  <c r="AF460" i="1" s="1"/>
  <c r="G461" i="1"/>
  <c r="AF461" i="1" s="1"/>
  <c r="G462" i="1"/>
  <c r="AF462" i="1" s="1"/>
  <c r="G463" i="1"/>
  <c r="AF463" i="1" s="1"/>
  <c r="G464" i="1"/>
  <c r="AF464" i="1" s="1"/>
  <c r="G465" i="1"/>
  <c r="AF465" i="1" s="1"/>
  <c r="G466" i="1"/>
  <c r="AF466" i="1" s="1"/>
  <c r="G467" i="1"/>
  <c r="AF467" i="1" s="1"/>
  <c r="G468" i="1"/>
  <c r="AF468" i="1" s="1"/>
  <c r="G469" i="1"/>
  <c r="AF469" i="1" s="1"/>
  <c r="G470" i="1"/>
  <c r="AF470" i="1" s="1"/>
  <c r="G471" i="1"/>
  <c r="AF471" i="1" s="1"/>
  <c r="G472" i="1"/>
  <c r="AF472" i="1" s="1"/>
  <c r="G473" i="1"/>
  <c r="AF473" i="1" s="1"/>
  <c r="G474" i="1"/>
  <c r="AF474" i="1" s="1"/>
  <c r="G475" i="1"/>
  <c r="AF475" i="1" s="1"/>
  <c r="G476" i="1"/>
  <c r="AF476" i="1" s="1"/>
  <c r="G477" i="1"/>
  <c r="AF477" i="1" s="1"/>
  <c r="G478" i="1"/>
  <c r="AF478" i="1" s="1"/>
  <c r="G479" i="1"/>
  <c r="AF479" i="1" s="1"/>
  <c r="G480" i="1"/>
  <c r="AF480" i="1" s="1"/>
  <c r="G481" i="1"/>
  <c r="AF481" i="1" s="1"/>
  <c r="G482" i="1"/>
  <c r="AF482" i="1" s="1"/>
  <c r="G483" i="1"/>
  <c r="AF483" i="1" s="1"/>
  <c r="G484" i="1"/>
  <c r="AF484" i="1" s="1"/>
  <c r="G485" i="1"/>
  <c r="AF485" i="1" s="1"/>
  <c r="G486" i="1"/>
  <c r="AF486" i="1" s="1"/>
  <c r="G487" i="1"/>
  <c r="AF487" i="1" s="1"/>
  <c r="G488" i="1"/>
  <c r="AF488" i="1" s="1"/>
  <c r="G489" i="1"/>
  <c r="AF489" i="1" s="1"/>
  <c r="G490" i="1"/>
  <c r="AF490" i="1" s="1"/>
  <c r="G491" i="1"/>
  <c r="AF491" i="1" s="1"/>
  <c r="G492" i="1"/>
  <c r="AF492" i="1" s="1"/>
  <c r="G493" i="1"/>
  <c r="AF493" i="1" s="1"/>
  <c r="G494" i="1"/>
  <c r="AF494" i="1" s="1"/>
  <c r="G495" i="1"/>
  <c r="AF495" i="1" s="1"/>
  <c r="G496" i="1"/>
  <c r="AF496" i="1" s="1"/>
  <c r="G497" i="1"/>
  <c r="AF497" i="1" s="1"/>
  <c r="G498" i="1"/>
  <c r="AF498" i="1" s="1"/>
  <c r="G499" i="1"/>
  <c r="AF499" i="1" s="1"/>
  <c r="G500" i="1"/>
  <c r="AF500" i="1" s="1"/>
  <c r="G501" i="1"/>
  <c r="AF501" i="1" s="1"/>
  <c r="G502" i="1"/>
  <c r="AF502" i="1" s="1"/>
  <c r="G503" i="1"/>
  <c r="AF503" i="1" s="1"/>
  <c r="G504" i="1"/>
  <c r="AF504" i="1" s="1"/>
  <c r="G505" i="1"/>
  <c r="AF505" i="1" s="1"/>
  <c r="G506" i="1"/>
  <c r="AF506" i="1" s="1"/>
  <c r="G507" i="1"/>
  <c r="AF507" i="1" s="1"/>
  <c r="G508" i="1"/>
  <c r="AF508" i="1" s="1"/>
  <c r="G509" i="1"/>
  <c r="AF509" i="1" s="1"/>
  <c r="G510" i="1"/>
  <c r="AF510" i="1" s="1"/>
  <c r="G511" i="1"/>
  <c r="AF511" i="1" s="1"/>
  <c r="G512" i="1"/>
  <c r="AF512" i="1" s="1"/>
  <c r="G513" i="1"/>
  <c r="AF513" i="1" s="1"/>
  <c r="G514" i="1"/>
  <c r="AF514" i="1" s="1"/>
  <c r="G515" i="1"/>
  <c r="AF515" i="1" s="1"/>
  <c r="G516" i="1"/>
  <c r="AF516" i="1" s="1"/>
  <c r="G517" i="1"/>
  <c r="AF517" i="1" s="1"/>
  <c r="G518" i="1"/>
  <c r="AF518" i="1" s="1"/>
  <c r="G519" i="1"/>
  <c r="AF519" i="1" s="1"/>
  <c r="G520" i="1"/>
  <c r="AF520" i="1" s="1"/>
  <c r="G521" i="1"/>
  <c r="AF521" i="1" s="1"/>
  <c r="G522" i="1"/>
  <c r="AF522" i="1" s="1"/>
  <c r="G523" i="1"/>
  <c r="AF523" i="1" s="1"/>
  <c r="G524" i="1"/>
  <c r="AF524" i="1" s="1"/>
  <c r="G525" i="1"/>
  <c r="AF525" i="1" s="1"/>
  <c r="G526" i="1"/>
  <c r="AF526" i="1" s="1"/>
  <c r="G527" i="1"/>
  <c r="AF527" i="1" s="1"/>
  <c r="G528" i="1"/>
  <c r="AF528" i="1" s="1"/>
  <c r="G529" i="1"/>
  <c r="AF529" i="1" s="1"/>
  <c r="G530" i="1"/>
  <c r="AF530" i="1" s="1"/>
  <c r="G531" i="1"/>
  <c r="AF531" i="1" s="1"/>
  <c r="G532" i="1"/>
  <c r="AF532" i="1" s="1"/>
  <c r="G533" i="1"/>
  <c r="AF533" i="1" s="1"/>
  <c r="G534" i="1"/>
  <c r="AF534" i="1" s="1"/>
  <c r="G535" i="1"/>
  <c r="AF535" i="1" s="1"/>
  <c r="G536" i="1"/>
  <c r="AF536" i="1" s="1"/>
  <c r="G537" i="1"/>
  <c r="AF537" i="1" s="1"/>
  <c r="G538" i="1"/>
  <c r="AF538" i="1" s="1"/>
  <c r="G539" i="1"/>
  <c r="AF539" i="1" s="1"/>
  <c r="G540" i="1"/>
  <c r="AF540" i="1" s="1"/>
  <c r="G541" i="1"/>
  <c r="AF541" i="1" s="1"/>
  <c r="G542" i="1"/>
  <c r="AF542" i="1" s="1"/>
  <c r="G543" i="1"/>
  <c r="AF543" i="1" s="1"/>
  <c r="G544" i="1"/>
  <c r="AF544" i="1" s="1"/>
  <c r="G545" i="1"/>
  <c r="AF545" i="1" s="1"/>
  <c r="G546" i="1"/>
  <c r="AF546" i="1" s="1"/>
  <c r="G547" i="1"/>
  <c r="AF547" i="1" s="1"/>
  <c r="G548" i="1"/>
  <c r="AF548" i="1" s="1"/>
  <c r="G549" i="1"/>
  <c r="AF549" i="1" s="1"/>
  <c r="G550" i="1"/>
  <c r="AF550" i="1" s="1"/>
  <c r="G551" i="1"/>
  <c r="AF551" i="1" s="1"/>
  <c r="G552" i="1"/>
  <c r="AF552" i="1" s="1"/>
  <c r="G553" i="1"/>
  <c r="AF553" i="1" s="1"/>
  <c r="G554" i="1"/>
  <c r="AF554" i="1" s="1"/>
  <c r="G555" i="1"/>
  <c r="AF555" i="1" s="1"/>
  <c r="G556" i="1"/>
  <c r="AF556" i="1" s="1"/>
  <c r="G557" i="1"/>
  <c r="AF557" i="1" s="1"/>
  <c r="G558" i="1"/>
  <c r="AF558" i="1" s="1"/>
  <c r="G559" i="1"/>
  <c r="AF559" i="1" s="1"/>
  <c r="G560" i="1"/>
  <c r="AF560" i="1" s="1"/>
  <c r="G561" i="1"/>
  <c r="AF561" i="1" s="1"/>
  <c r="G562" i="1"/>
  <c r="AF562" i="1" s="1"/>
  <c r="G563" i="1"/>
  <c r="AF563" i="1" s="1"/>
  <c r="G564" i="1"/>
  <c r="AF564" i="1" s="1"/>
  <c r="G565" i="1"/>
  <c r="AF565" i="1" s="1"/>
  <c r="G566" i="1"/>
  <c r="AF566" i="1" s="1"/>
  <c r="G567" i="1"/>
  <c r="AF567" i="1" s="1"/>
  <c r="G568" i="1"/>
  <c r="AF568" i="1" s="1"/>
  <c r="G569" i="1"/>
  <c r="AF569" i="1" s="1"/>
  <c r="G570" i="1"/>
  <c r="AF570" i="1" s="1"/>
  <c r="G571" i="1"/>
  <c r="AF571" i="1" s="1"/>
  <c r="G572" i="1"/>
  <c r="AF572" i="1" s="1"/>
  <c r="G573" i="1"/>
  <c r="AF573" i="1" s="1"/>
  <c r="G574" i="1"/>
  <c r="AF574" i="1" s="1"/>
  <c r="G575" i="1"/>
  <c r="AF575" i="1" s="1"/>
  <c r="G576" i="1"/>
  <c r="AF576" i="1" s="1"/>
  <c r="G577" i="1"/>
  <c r="AF577" i="1" s="1"/>
  <c r="G578" i="1"/>
  <c r="AF578" i="1" s="1"/>
  <c r="G579" i="1"/>
  <c r="AF579" i="1" s="1"/>
  <c r="G580" i="1"/>
  <c r="AF580" i="1" s="1"/>
  <c r="G581" i="1"/>
  <c r="AF581" i="1" s="1"/>
  <c r="G582" i="1"/>
  <c r="AF582" i="1" s="1"/>
  <c r="G583" i="1"/>
  <c r="AF583" i="1" s="1"/>
  <c r="G584" i="1"/>
  <c r="AF584" i="1" s="1"/>
  <c r="G585" i="1"/>
  <c r="AF585" i="1" s="1"/>
  <c r="G586" i="1"/>
  <c r="AF586" i="1" s="1"/>
  <c r="G587" i="1"/>
  <c r="AF587" i="1" s="1"/>
  <c r="G588" i="1"/>
  <c r="AF588" i="1" s="1"/>
  <c r="G589" i="1"/>
  <c r="AF589" i="1" s="1"/>
  <c r="G590" i="1"/>
  <c r="AF590" i="1" s="1"/>
  <c r="G591" i="1"/>
  <c r="AF591" i="1" s="1"/>
  <c r="G592" i="1"/>
  <c r="AF592" i="1" s="1"/>
  <c r="G593" i="1"/>
  <c r="AF593" i="1" s="1"/>
  <c r="G594" i="1"/>
  <c r="AF594" i="1" s="1"/>
  <c r="G595" i="1"/>
  <c r="AF595" i="1" s="1"/>
  <c r="G596" i="1"/>
  <c r="AF596" i="1" s="1"/>
  <c r="G597" i="1"/>
  <c r="AF597" i="1" s="1"/>
  <c r="G598" i="1"/>
  <c r="AF598" i="1" s="1"/>
  <c r="G599" i="1"/>
  <c r="AF599" i="1" s="1"/>
  <c r="G600" i="1"/>
  <c r="AF600" i="1" s="1"/>
  <c r="G601" i="1"/>
  <c r="AF601" i="1" s="1"/>
  <c r="G602" i="1"/>
  <c r="AF602" i="1" s="1"/>
  <c r="G603" i="1"/>
  <c r="AF603" i="1" s="1"/>
  <c r="G604" i="1"/>
  <c r="AF604" i="1" s="1"/>
  <c r="G605" i="1"/>
  <c r="AF605" i="1" s="1"/>
  <c r="G606" i="1"/>
  <c r="AF606" i="1" s="1"/>
  <c r="G607" i="1"/>
  <c r="AF607" i="1" s="1"/>
  <c r="G608" i="1"/>
  <c r="AF608" i="1" s="1"/>
  <c r="G609" i="1"/>
  <c r="AF609" i="1" s="1"/>
  <c r="G610" i="1"/>
  <c r="AF610" i="1" s="1"/>
  <c r="G611" i="1"/>
  <c r="AF611" i="1" s="1"/>
  <c r="G612" i="1"/>
  <c r="AF612" i="1" s="1"/>
  <c r="G613" i="1"/>
  <c r="AF613" i="1" s="1"/>
  <c r="G614" i="1"/>
  <c r="AF614" i="1" s="1"/>
  <c r="G615" i="1"/>
  <c r="AF615" i="1" s="1"/>
  <c r="G616" i="1"/>
  <c r="AF616" i="1" s="1"/>
  <c r="G617" i="1"/>
  <c r="AF617" i="1" s="1"/>
  <c r="G618" i="1"/>
  <c r="AF618" i="1" s="1"/>
  <c r="G619" i="1"/>
  <c r="AF619" i="1" s="1"/>
  <c r="G620" i="1"/>
  <c r="AF620" i="1" s="1"/>
  <c r="G621" i="1"/>
  <c r="AF621" i="1" s="1"/>
  <c r="G622" i="1"/>
  <c r="AF622" i="1" s="1"/>
  <c r="G623" i="1"/>
  <c r="AF623" i="1" s="1"/>
  <c r="G624" i="1"/>
  <c r="AF624" i="1" s="1"/>
  <c r="G625" i="1"/>
  <c r="AF625" i="1" s="1"/>
  <c r="G626" i="1"/>
  <c r="AF626" i="1" s="1"/>
  <c r="G627" i="1"/>
  <c r="AF627" i="1" s="1"/>
  <c r="G628" i="1"/>
  <c r="AF628" i="1" s="1"/>
  <c r="G629" i="1"/>
  <c r="AF629" i="1" s="1"/>
  <c r="G630" i="1"/>
  <c r="AF630" i="1" s="1"/>
  <c r="G631" i="1"/>
  <c r="AF631" i="1" s="1"/>
  <c r="G632" i="1"/>
  <c r="AF632" i="1" s="1"/>
  <c r="G633" i="1"/>
  <c r="AF633" i="1" s="1"/>
  <c r="G3" i="1"/>
  <c r="AF3" i="1" s="1"/>
  <c r="G4" i="1"/>
  <c r="AF4" i="1" s="1"/>
  <c r="G5" i="1"/>
  <c r="AF5" i="1" s="1"/>
  <c r="G6" i="1"/>
  <c r="AF6" i="1" s="1"/>
  <c r="G7" i="1"/>
  <c r="AF7" i="1" s="1"/>
  <c r="G8" i="1"/>
  <c r="AF8" i="1" s="1"/>
  <c r="G9" i="1"/>
  <c r="AF9" i="1" s="1"/>
  <c r="G10" i="1"/>
  <c r="AF10" i="1" s="1"/>
  <c r="G11" i="1"/>
  <c r="AF11" i="1" s="1"/>
  <c r="G12" i="1"/>
  <c r="AF12" i="1" s="1"/>
  <c r="G13" i="1"/>
  <c r="AF13" i="1" s="1"/>
  <c r="G14" i="1"/>
  <c r="AF14" i="1" s="1"/>
  <c r="G2" i="1"/>
  <c r="H495" i="1" s="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2" i="1"/>
  <c r="V8" i="1"/>
  <c r="W8" i="1" s="1"/>
  <c r="V9" i="1"/>
  <c r="AB9" i="1" s="1"/>
  <c r="V10" i="1"/>
  <c r="AB10" i="1" s="1"/>
  <c r="V11" i="1"/>
  <c r="W11" i="1" s="1"/>
  <c r="V12" i="1"/>
  <c r="W12" i="1" s="1"/>
  <c r="V13" i="1"/>
  <c r="AB13" i="1" s="1"/>
  <c r="V14" i="1"/>
  <c r="AB14" i="1" s="1"/>
  <c r="V15" i="1"/>
  <c r="AB15" i="1" s="1"/>
  <c r="V16" i="1"/>
  <c r="W16" i="1" s="1"/>
  <c r="V17" i="1"/>
  <c r="AB17" i="1" s="1"/>
  <c r="V18" i="1"/>
  <c r="AB18" i="1" s="1"/>
  <c r="V19" i="1"/>
  <c r="W19" i="1" s="1"/>
  <c r="V20" i="1"/>
  <c r="W20" i="1" s="1"/>
  <c r="V21" i="1"/>
  <c r="AB21" i="1" s="1"/>
  <c r="V22" i="1"/>
  <c r="AB22" i="1" s="1"/>
  <c r="V23" i="1"/>
  <c r="AB23" i="1" s="1"/>
  <c r="V24" i="1"/>
  <c r="W24" i="1" s="1"/>
  <c r="V25" i="1"/>
  <c r="AB25" i="1" s="1"/>
  <c r="V26" i="1"/>
  <c r="AB26" i="1" s="1"/>
  <c r="V27" i="1"/>
  <c r="W27" i="1" s="1"/>
  <c r="V28" i="1"/>
  <c r="W28" i="1" s="1"/>
  <c r="V29" i="1"/>
  <c r="V30" i="1"/>
  <c r="V31" i="1"/>
  <c r="V32" i="1"/>
  <c r="W32" i="1" s="1"/>
  <c r="V33" i="1"/>
  <c r="V34" i="1"/>
  <c r="V35" i="1"/>
  <c r="V36" i="1"/>
  <c r="W36" i="1" s="1"/>
  <c r="V37" i="1"/>
  <c r="V38" i="1"/>
  <c r="V39" i="1"/>
  <c r="V40" i="1"/>
  <c r="W40" i="1" s="1"/>
  <c r="V41" i="1"/>
  <c r="V42" i="1"/>
  <c r="AB42" i="1" s="1"/>
  <c r="V43" i="1"/>
  <c r="V44" i="1"/>
  <c r="W44" i="1" s="1"/>
  <c r="V45" i="1"/>
  <c r="V46" i="1"/>
  <c r="V47" i="1"/>
  <c r="V48" i="1"/>
  <c r="W48" i="1" s="1"/>
  <c r="V49" i="1"/>
  <c r="V50" i="1"/>
  <c r="V51" i="1"/>
  <c r="V52" i="1"/>
  <c r="W52" i="1" s="1"/>
  <c r="V53" i="1"/>
  <c r="V54" i="1"/>
  <c r="V55" i="1"/>
  <c r="V56" i="1"/>
  <c r="W56" i="1" s="1"/>
  <c r="V57" i="1"/>
  <c r="V58" i="1"/>
  <c r="AB58" i="1" s="1"/>
  <c r="V59" i="1"/>
  <c r="V61" i="1"/>
  <c r="V62" i="1"/>
  <c r="V63" i="1"/>
  <c r="V64" i="1"/>
  <c r="W64" i="1" s="1"/>
  <c r="V65" i="1"/>
  <c r="V66" i="1"/>
  <c r="V67" i="1"/>
  <c r="V68" i="1"/>
  <c r="W68" i="1" s="1"/>
  <c r="V69" i="1"/>
  <c r="V70" i="1"/>
  <c r="V71" i="1"/>
  <c r="V72" i="1"/>
  <c r="W72" i="1" s="1"/>
  <c r="V73" i="1"/>
  <c r="AB73" i="1" s="1"/>
  <c r="V74" i="1"/>
  <c r="V75" i="1"/>
  <c r="V76" i="1"/>
  <c r="W76" i="1" s="1"/>
  <c r="V77" i="1"/>
  <c r="V78" i="1"/>
  <c r="V79" i="1"/>
  <c r="V80" i="1"/>
  <c r="W80" i="1" s="1"/>
  <c r="V81" i="1"/>
  <c r="AB81" i="1" s="1"/>
  <c r="V82" i="1"/>
  <c r="V83" i="1"/>
  <c r="V84" i="1"/>
  <c r="W84" i="1" s="1"/>
  <c r="V85" i="1"/>
  <c r="V86" i="1"/>
  <c r="V87" i="1"/>
  <c r="V88" i="1"/>
  <c r="W88" i="1" s="1"/>
  <c r="V89" i="1"/>
  <c r="AB89" i="1" s="1"/>
  <c r="V90" i="1"/>
  <c r="V91" i="1"/>
  <c r="V92" i="1"/>
  <c r="W92" i="1" s="1"/>
  <c r="V93" i="1"/>
  <c r="V94" i="1"/>
  <c r="V95" i="1"/>
  <c r="V96" i="1"/>
  <c r="W96" i="1" s="1"/>
  <c r="V97" i="1"/>
  <c r="AB97" i="1" s="1"/>
  <c r="V98" i="1"/>
  <c r="V99" i="1"/>
  <c r="V100" i="1"/>
  <c r="W100" i="1" s="1"/>
  <c r="V101" i="1"/>
  <c r="V102" i="1"/>
  <c r="V103" i="1"/>
  <c r="V104" i="1"/>
  <c r="W104" i="1" s="1"/>
  <c r="V105" i="1"/>
  <c r="AB105" i="1" s="1"/>
  <c r="V106" i="1"/>
  <c r="V107" i="1"/>
  <c r="V108" i="1"/>
  <c r="W108" i="1" s="1"/>
  <c r="V109" i="1"/>
  <c r="V110" i="1"/>
  <c r="V111" i="1"/>
  <c r="V112" i="1"/>
  <c r="W112" i="1" s="1"/>
  <c r="V113" i="1"/>
  <c r="AB113" i="1" s="1"/>
  <c r="V114" i="1"/>
  <c r="V115" i="1"/>
  <c r="V116" i="1"/>
  <c r="W116" i="1" s="1"/>
  <c r="V117" i="1"/>
  <c r="V118" i="1"/>
  <c r="V119" i="1"/>
  <c r="V120" i="1"/>
  <c r="W120" i="1" s="1"/>
  <c r="V121" i="1"/>
  <c r="AB121" i="1" s="1"/>
  <c r="V122" i="1"/>
  <c r="V123" i="1"/>
  <c r="V124" i="1"/>
  <c r="W124" i="1" s="1"/>
  <c r="V125" i="1"/>
  <c r="V126" i="1"/>
  <c r="V127" i="1"/>
  <c r="V128" i="1"/>
  <c r="W128" i="1" s="1"/>
  <c r="V129" i="1"/>
  <c r="AB129" i="1" s="1"/>
  <c r="V130" i="1"/>
  <c r="V131" i="1"/>
  <c r="V132" i="1"/>
  <c r="W132" i="1" s="1"/>
  <c r="V133" i="1"/>
  <c r="V134" i="1"/>
  <c r="V135" i="1"/>
  <c r="V136" i="1"/>
  <c r="W136" i="1" s="1"/>
  <c r="V137" i="1"/>
  <c r="AB137" i="1" s="1"/>
  <c r="V138" i="1"/>
  <c r="V139" i="1"/>
  <c r="V140" i="1"/>
  <c r="W140" i="1" s="1"/>
  <c r="V141" i="1"/>
  <c r="V142" i="1"/>
  <c r="V143" i="1"/>
  <c r="V144" i="1"/>
  <c r="W144" i="1" s="1"/>
  <c r="V145" i="1"/>
  <c r="AB145" i="1" s="1"/>
  <c r="V146" i="1"/>
  <c r="V147" i="1"/>
  <c r="V148" i="1"/>
  <c r="W148" i="1" s="1"/>
  <c r="V149" i="1"/>
  <c r="V150" i="1"/>
  <c r="V151" i="1"/>
  <c r="V152" i="1"/>
  <c r="W152" i="1" s="1"/>
  <c r="V153" i="1"/>
  <c r="AB153" i="1" s="1"/>
  <c r="V154" i="1"/>
  <c r="V155" i="1"/>
  <c r="V156" i="1"/>
  <c r="W156" i="1" s="1"/>
  <c r="V157" i="1"/>
  <c r="V158" i="1"/>
  <c r="V159" i="1"/>
  <c r="V160" i="1"/>
  <c r="W160" i="1" s="1"/>
  <c r="V161" i="1"/>
  <c r="AB161" i="1" s="1"/>
  <c r="V162" i="1"/>
  <c r="V163" i="1"/>
  <c r="V164" i="1"/>
  <c r="W164" i="1" s="1"/>
  <c r="V165" i="1"/>
  <c r="V166" i="1"/>
  <c r="V167" i="1"/>
  <c r="V168" i="1"/>
  <c r="W168" i="1" s="1"/>
  <c r="V169" i="1"/>
  <c r="AB169" i="1" s="1"/>
  <c r="V170" i="1"/>
  <c r="V171" i="1"/>
  <c r="V172" i="1"/>
  <c r="W172" i="1" s="1"/>
  <c r="V173" i="1"/>
  <c r="V174" i="1"/>
  <c r="V175" i="1"/>
  <c r="V176" i="1"/>
  <c r="W176" i="1" s="1"/>
  <c r="V177" i="1"/>
  <c r="AB177" i="1" s="1"/>
  <c r="V178" i="1"/>
  <c r="V179" i="1"/>
  <c r="V180" i="1"/>
  <c r="W180" i="1" s="1"/>
  <c r="V181" i="1"/>
  <c r="V182" i="1"/>
  <c r="V183" i="1"/>
  <c r="V184" i="1"/>
  <c r="W184" i="1" s="1"/>
  <c r="V185" i="1"/>
  <c r="AB185" i="1" s="1"/>
  <c r="V186" i="1"/>
  <c r="V187" i="1"/>
  <c r="V188" i="1"/>
  <c r="W188" i="1" s="1"/>
  <c r="V189" i="1"/>
  <c r="V190" i="1"/>
  <c r="V191" i="1"/>
  <c r="V192" i="1"/>
  <c r="W192" i="1" s="1"/>
  <c r="V193" i="1"/>
  <c r="AB193" i="1" s="1"/>
  <c r="V194" i="1"/>
  <c r="V195" i="1"/>
  <c r="V196" i="1"/>
  <c r="W196" i="1" s="1"/>
  <c r="V197" i="1"/>
  <c r="V198" i="1"/>
  <c r="V199" i="1"/>
  <c r="V200" i="1"/>
  <c r="W200" i="1" s="1"/>
  <c r="V201" i="1"/>
  <c r="AB201" i="1" s="1"/>
  <c r="V202" i="1"/>
  <c r="V203" i="1"/>
  <c r="V204" i="1"/>
  <c r="W204" i="1" s="1"/>
  <c r="V205" i="1"/>
  <c r="V206" i="1"/>
  <c r="V207" i="1"/>
  <c r="V208" i="1"/>
  <c r="W208" i="1" s="1"/>
  <c r="V209" i="1"/>
  <c r="AB209" i="1" s="1"/>
  <c r="V210" i="1"/>
  <c r="V211" i="1"/>
  <c r="V212" i="1"/>
  <c r="W212" i="1" s="1"/>
  <c r="V213" i="1"/>
  <c r="V214" i="1"/>
  <c r="V215" i="1"/>
  <c r="V216" i="1"/>
  <c r="W216" i="1" s="1"/>
  <c r="V217" i="1"/>
  <c r="AB217" i="1" s="1"/>
  <c r="V218" i="1"/>
  <c r="V219" i="1"/>
  <c r="V220" i="1"/>
  <c r="W220" i="1" s="1"/>
  <c r="V221" i="1"/>
  <c r="V222" i="1"/>
  <c r="V223" i="1"/>
  <c r="V224" i="1"/>
  <c r="W224" i="1" s="1"/>
  <c r="V225" i="1"/>
  <c r="AB225" i="1" s="1"/>
  <c r="V226" i="1"/>
  <c r="V227" i="1"/>
  <c r="V228" i="1"/>
  <c r="W228" i="1" s="1"/>
  <c r="V229" i="1"/>
  <c r="V230" i="1"/>
  <c r="V231" i="1"/>
  <c r="V232" i="1"/>
  <c r="W232" i="1" s="1"/>
  <c r="V233" i="1"/>
  <c r="AB233" i="1" s="1"/>
  <c r="V234" i="1"/>
  <c r="V235" i="1"/>
  <c r="V236" i="1"/>
  <c r="W236" i="1" s="1"/>
  <c r="V237" i="1"/>
  <c r="V238" i="1"/>
  <c r="V239" i="1"/>
  <c r="V240" i="1"/>
  <c r="W240" i="1" s="1"/>
  <c r="V241" i="1"/>
  <c r="AB241" i="1" s="1"/>
  <c r="V242" i="1"/>
  <c r="V243" i="1"/>
  <c r="V244" i="1"/>
  <c r="W244" i="1" s="1"/>
  <c r="V245" i="1"/>
  <c r="V246" i="1"/>
  <c r="V247" i="1"/>
  <c r="V248" i="1"/>
  <c r="W248" i="1" s="1"/>
  <c r="V249" i="1"/>
  <c r="AB249" i="1" s="1"/>
  <c r="V250" i="1"/>
  <c r="V251" i="1"/>
  <c r="V252" i="1"/>
  <c r="W252" i="1" s="1"/>
  <c r="V253" i="1"/>
  <c r="V254" i="1"/>
  <c r="V255" i="1"/>
  <c r="V256" i="1"/>
  <c r="W256" i="1" s="1"/>
  <c r="V257" i="1"/>
  <c r="AB257" i="1" s="1"/>
  <c r="V258" i="1"/>
  <c r="V259" i="1"/>
  <c r="V260" i="1"/>
  <c r="W260" i="1" s="1"/>
  <c r="V261" i="1"/>
  <c r="V262" i="1"/>
  <c r="V263" i="1"/>
  <c r="V264" i="1"/>
  <c r="W264" i="1" s="1"/>
  <c r="V265" i="1"/>
  <c r="AB265" i="1" s="1"/>
  <c r="V266" i="1"/>
  <c r="V267" i="1"/>
  <c r="V268" i="1"/>
  <c r="W268" i="1" s="1"/>
  <c r="V269" i="1"/>
  <c r="V270" i="1"/>
  <c r="V271" i="1"/>
  <c r="V272" i="1"/>
  <c r="W272" i="1" s="1"/>
  <c r="V273" i="1"/>
  <c r="AB273" i="1" s="1"/>
  <c r="V274" i="1"/>
  <c r="V275" i="1"/>
  <c r="V276" i="1"/>
  <c r="W276" i="1" s="1"/>
  <c r="V277" i="1"/>
  <c r="V278" i="1"/>
  <c r="V279" i="1"/>
  <c r="V280" i="1"/>
  <c r="W280" i="1" s="1"/>
  <c r="V281" i="1"/>
  <c r="AB281" i="1" s="1"/>
  <c r="V282" i="1"/>
  <c r="V283" i="1"/>
  <c r="V284" i="1"/>
  <c r="W284" i="1" s="1"/>
  <c r="V285" i="1"/>
  <c r="V286" i="1"/>
  <c r="V287" i="1"/>
  <c r="V288" i="1"/>
  <c r="W288" i="1" s="1"/>
  <c r="V289" i="1"/>
  <c r="AB289" i="1" s="1"/>
  <c r="V290" i="1"/>
  <c r="V291" i="1"/>
  <c r="V292" i="1"/>
  <c r="W292" i="1" s="1"/>
  <c r="V293" i="1"/>
  <c r="V294" i="1"/>
  <c r="V295" i="1"/>
  <c r="V296" i="1"/>
  <c r="W296" i="1" s="1"/>
  <c r="V297" i="1"/>
  <c r="AB297" i="1" s="1"/>
  <c r="V298" i="1"/>
  <c r="V299" i="1"/>
  <c r="V300" i="1"/>
  <c r="W300" i="1" s="1"/>
  <c r="V301" i="1"/>
  <c r="V302" i="1"/>
  <c r="V303" i="1"/>
  <c r="V304" i="1"/>
  <c r="W304" i="1" s="1"/>
  <c r="V305" i="1"/>
  <c r="AB305" i="1" s="1"/>
  <c r="V306" i="1"/>
  <c r="V307" i="1"/>
  <c r="V308" i="1"/>
  <c r="W308" i="1" s="1"/>
  <c r="V309" i="1"/>
  <c r="V310" i="1"/>
  <c r="V311" i="1"/>
  <c r="V312" i="1"/>
  <c r="W312" i="1" s="1"/>
  <c r="V313" i="1"/>
  <c r="AB313" i="1" s="1"/>
  <c r="V314" i="1"/>
  <c r="V315" i="1"/>
  <c r="V316" i="1"/>
  <c r="W316" i="1" s="1"/>
  <c r="V317" i="1"/>
  <c r="V318" i="1"/>
  <c r="V319" i="1"/>
  <c r="V320" i="1"/>
  <c r="W320" i="1" s="1"/>
  <c r="V321" i="1"/>
  <c r="AB321" i="1" s="1"/>
  <c r="V322" i="1"/>
  <c r="V323" i="1"/>
  <c r="V324" i="1"/>
  <c r="W324" i="1" s="1"/>
  <c r="V325" i="1"/>
  <c r="V326" i="1"/>
  <c r="V327" i="1"/>
  <c r="V328" i="1"/>
  <c r="W328" i="1" s="1"/>
  <c r="V329" i="1"/>
  <c r="AB329" i="1" s="1"/>
  <c r="V330" i="1"/>
  <c r="V331" i="1"/>
  <c r="V332" i="1"/>
  <c r="W332" i="1" s="1"/>
  <c r="V333" i="1"/>
  <c r="V334" i="1"/>
  <c r="V335" i="1"/>
  <c r="V336" i="1"/>
  <c r="W336" i="1" s="1"/>
  <c r="V337" i="1"/>
  <c r="AB337" i="1" s="1"/>
  <c r="V338" i="1"/>
  <c r="V339" i="1"/>
  <c r="V340" i="1"/>
  <c r="W340" i="1" s="1"/>
  <c r="V341" i="1"/>
  <c r="V342" i="1"/>
  <c r="V343" i="1"/>
  <c r="V344" i="1"/>
  <c r="W344" i="1" s="1"/>
  <c r="V345" i="1"/>
  <c r="AB345" i="1" s="1"/>
  <c r="V346" i="1"/>
  <c r="V347" i="1"/>
  <c r="V348" i="1"/>
  <c r="W348" i="1" s="1"/>
  <c r="V349" i="1"/>
  <c r="V350" i="1"/>
  <c r="V351" i="1"/>
  <c r="V352" i="1"/>
  <c r="W352" i="1" s="1"/>
  <c r="V353" i="1"/>
  <c r="AB353" i="1" s="1"/>
  <c r="V354" i="1"/>
  <c r="V355" i="1"/>
  <c r="V356" i="1"/>
  <c r="W356" i="1" s="1"/>
  <c r="V357" i="1"/>
  <c r="V358" i="1"/>
  <c r="V359" i="1"/>
  <c r="V360" i="1"/>
  <c r="W360" i="1" s="1"/>
  <c r="V361" i="1"/>
  <c r="AB361" i="1" s="1"/>
  <c r="V362" i="1"/>
  <c r="V363" i="1"/>
  <c r="V364" i="1"/>
  <c r="W364" i="1" s="1"/>
  <c r="V365" i="1"/>
  <c r="V366" i="1"/>
  <c r="V367" i="1"/>
  <c r="V368" i="1"/>
  <c r="W368" i="1" s="1"/>
  <c r="V369" i="1"/>
  <c r="AB369" i="1" s="1"/>
  <c r="V370" i="1"/>
  <c r="V371" i="1"/>
  <c r="V372" i="1"/>
  <c r="W372" i="1" s="1"/>
  <c r="V373" i="1"/>
  <c r="V374" i="1"/>
  <c r="V375" i="1"/>
  <c r="V376" i="1"/>
  <c r="W376" i="1" s="1"/>
  <c r="V377" i="1"/>
  <c r="AB377" i="1" s="1"/>
  <c r="V378" i="1"/>
  <c r="V379" i="1"/>
  <c r="V380" i="1"/>
  <c r="W380" i="1" s="1"/>
  <c r="V381" i="1"/>
  <c r="V382" i="1"/>
  <c r="V383" i="1"/>
  <c r="V384" i="1"/>
  <c r="W384" i="1" s="1"/>
  <c r="V385" i="1"/>
  <c r="AB385" i="1" s="1"/>
  <c r="V386" i="1"/>
  <c r="V387" i="1"/>
  <c r="V388" i="1"/>
  <c r="W388" i="1" s="1"/>
  <c r="V389" i="1"/>
  <c r="V390" i="1"/>
  <c r="V391" i="1"/>
  <c r="V392" i="1"/>
  <c r="W392" i="1" s="1"/>
  <c r="V393" i="1"/>
  <c r="AB393" i="1" s="1"/>
  <c r="V394" i="1"/>
  <c r="V395" i="1"/>
  <c r="V396" i="1"/>
  <c r="W396" i="1" s="1"/>
  <c r="V397" i="1"/>
  <c r="V398" i="1"/>
  <c r="V399" i="1"/>
  <c r="V400" i="1"/>
  <c r="W400" i="1" s="1"/>
  <c r="V401" i="1"/>
  <c r="AB401" i="1" s="1"/>
  <c r="V402" i="1"/>
  <c r="V403" i="1"/>
  <c r="V404" i="1"/>
  <c r="W404" i="1" s="1"/>
  <c r="V405" i="1"/>
  <c r="V406" i="1"/>
  <c r="V407" i="1"/>
  <c r="V408" i="1"/>
  <c r="W408" i="1" s="1"/>
  <c r="V409" i="1"/>
  <c r="AB409" i="1" s="1"/>
  <c r="V410" i="1"/>
  <c r="V411" i="1"/>
  <c r="V412" i="1"/>
  <c r="W412" i="1" s="1"/>
  <c r="V413" i="1"/>
  <c r="V414" i="1"/>
  <c r="V415" i="1"/>
  <c r="V416" i="1"/>
  <c r="W416" i="1" s="1"/>
  <c r="V417" i="1"/>
  <c r="AB417" i="1" s="1"/>
  <c r="V418" i="1"/>
  <c r="V419" i="1"/>
  <c r="V420" i="1"/>
  <c r="W420" i="1" s="1"/>
  <c r="V421" i="1"/>
  <c r="V422" i="1"/>
  <c r="V423" i="1"/>
  <c r="V424" i="1"/>
  <c r="W424" i="1" s="1"/>
  <c r="V425" i="1"/>
  <c r="AB425" i="1" s="1"/>
  <c r="V426" i="1"/>
  <c r="V427" i="1"/>
  <c r="V428" i="1"/>
  <c r="W428" i="1" s="1"/>
  <c r="V429" i="1"/>
  <c r="V430" i="1"/>
  <c r="V431" i="1"/>
  <c r="V432" i="1"/>
  <c r="W432" i="1" s="1"/>
  <c r="V433" i="1"/>
  <c r="AB433" i="1" s="1"/>
  <c r="V434" i="1"/>
  <c r="V435" i="1"/>
  <c r="V436" i="1"/>
  <c r="W436" i="1" s="1"/>
  <c r="V437" i="1"/>
  <c r="V438" i="1"/>
  <c r="V439" i="1"/>
  <c r="V440" i="1"/>
  <c r="W440" i="1" s="1"/>
  <c r="V441" i="1"/>
  <c r="AB441" i="1" s="1"/>
  <c r="V442" i="1"/>
  <c r="V443" i="1"/>
  <c r="V444" i="1"/>
  <c r="W444" i="1" s="1"/>
  <c r="V445" i="1"/>
  <c r="V446" i="1"/>
  <c r="V447" i="1"/>
  <c r="V448" i="1"/>
  <c r="W448" i="1" s="1"/>
  <c r="V449" i="1"/>
  <c r="AB449" i="1" s="1"/>
  <c r="V450" i="1"/>
  <c r="V451" i="1"/>
  <c r="V452" i="1"/>
  <c r="W452" i="1" s="1"/>
  <c r="V453" i="1"/>
  <c r="V454" i="1"/>
  <c r="V455" i="1"/>
  <c r="V456" i="1"/>
  <c r="W456" i="1" s="1"/>
  <c r="V457" i="1"/>
  <c r="AB457" i="1" s="1"/>
  <c r="V458" i="1"/>
  <c r="V459" i="1"/>
  <c r="V460" i="1"/>
  <c r="W460" i="1" s="1"/>
  <c r="V461" i="1"/>
  <c r="V462" i="1"/>
  <c r="V463" i="1"/>
  <c r="V464" i="1"/>
  <c r="W464" i="1" s="1"/>
  <c r="V465" i="1"/>
  <c r="AB465" i="1" s="1"/>
  <c r="V466" i="1"/>
  <c r="V467" i="1"/>
  <c r="V468" i="1"/>
  <c r="W468" i="1" s="1"/>
  <c r="V469" i="1"/>
  <c r="V470" i="1"/>
  <c r="V471" i="1"/>
  <c r="V472" i="1"/>
  <c r="W472" i="1" s="1"/>
  <c r="V473" i="1"/>
  <c r="AB473" i="1" s="1"/>
  <c r="V474" i="1"/>
  <c r="V475" i="1"/>
  <c r="V476" i="1"/>
  <c r="W476" i="1" s="1"/>
  <c r="V477" i="1"/>
  <c r="V478" i="1"/>
  <c r="V479" i="1"/>
  <c r="V480" i="1"/>
  <c r="W480" i="1" s="1"/>
  <c r="V481" i="1"/>
  <c r="AB481" i="1" s="1"/>
  <c r="V482" i="1"/>
  <c r="V483" i="1"/>
  <c r="V484" i="1"/>
  <c r="W484" i="1" s="1"/>
  <c r="V485" i="1"/>
  <c r="V486" i="1"/>
  <c r="V487" i="1"/>
  <c r="V488" i="1"/>
  <c r="W488" i="1" s="1"/>
  <c r="V489" i="1"/>
  <c r="AB489" i="1" s="1"/>
  <c r="V490" i="1"/>
  <c r="V491" i="1"/>
  <c r="V492" i="1"/>
  <c r="W492" i="1" s="1"/>
  <c r="V493" i="1"/>
  <c r="V494" i="1"/>
  <c r="V495" i="1"/>
  <c r="V496" i="1"/>
  <c r="W496" i="1" s="1"/>
  <c r="V497" i="1"/>
  <c r="AB497" i="1" s="1"/>
  <c r="V498" i="1"/>
  <c r="V499" i="1"/>
  <c r="V500" i="1"/>
  <c r="W500" i="1" s="1"/>
  <c r="V501" i="1"/>
  <c r="V502" i="1"/>
  <c r="V503" i="1"/>
  <c r="AB503" i="1" s="1"/>
  <c r="V504" i="1"/>
  <c r="W504" i="1" s="1"/>
  <c r="V505" i="1"/>
  <c r="AB505" i="1" s="1"/>
  <c r="V506" i="1"/>
  <c r="V507" i="1"/>
  <c r="V508" i="1"/>
  <c r="W508" i="1" s="1"/>
  <c r="V509" i="1"/>
  <c r="AB509" i="1" s="1"/>
  <c r="V510" i="1"/>
  <c r="AB510" i="1" s="1"/>
  <c r="V511" i="1"/>
  <c r="AB511" i="1" s="1"/>
  <c r="V512" i="1"/>
  <c r="W512" i="1" s="1"/>
  <c r="V513" i="1"/>
  <c r="AB513" i="1" s="1"/>
  <c r="V514" i="1"/>
  <c r="AB514" i="1" s="1"/>
  <c r="V515" i="1"/>
  <c r="W515" i="1" s="1"/>
  <c r="V516" i="1"/>
  <c r="W516" i="1" s="1"/>
  <c r="V517" i="1"/>
  <c r="AB517" i="1" s="1"/>
  <c r="V518" i="1"/>
  <c r="AB518" i="1" s="1"/>
  <c r="V519" i="1"/>
  <c r="AB519" i="1" s="1"/>
  <c r="V520" i="1"/>
  <c r="W520" i="1" s="1"/>
  <c r="V521" i="1"/>
  <c r="AB521" i="1" s="1"/>
  <c r="V522" i="1"/>
  <c r="AB522" i="1" s="1"/>
  <c r="V523" i="1"/>
  <c r="W523" i="1" s="1"/>
  <c r="V524" i="1"/>
  <c r="W524" i="1" s="1"/>
  <c r="V525" i="1"/>
  <c r="AB525" i="1" s="1"/>
  <c r="V526" i="1"/>
  <c r="AB526" i="1" s="1"/>
  <c r="V527" i="1"/>
  <c r="AB527" i="1" s="1"/>
  <c r="V528" i="1"/>
  <c r="W528" i="1" s="1"/>
  <c r="V529" i="1"/>
  <c r="AB529" i="1" s="1"/>
  <c r="V530" i="1"/>
  <c r="AB530" i="1" s="1"/>
  <c r="V531" i="1"/>
  <c r="W531" i="1" s="1"/>
  <c r="V532" i="1"/>
  <c r="W532" i="1" s="1"/>
  <c r="V533" i="1"/>
  <c r="AB533" i="1" s="1"/>
  <c r="V534" i="1"/>
  <c r="AB534" i="1" s="1"/>
  <c r="V535" i="1"/>
  <c r="AB535" i="1" s="1"/>
  <c r="V536" i="1"/>
  <c r="W536" i="1" s="1"/>
  <c r="V537" i="1"/>
  <c r="AB537" i="1" s="1"/>
  <c r="V538" i="1"/>
  <c r="AB538" i="1" s="1"/>
  <c r="V539" i="1"/>
  <c r="W539" i="1" s="1"/>
  <c r="V540" i="1"/>
  <c r="W540" i="1" s="1"/>
  <c r="V541" i="1"/>
  <c r="AB541" i="1" s="1"/>
  <c r="V542" i="1"/>
  <c r="AB542" i="1" s="1"/>
  <c r="V543" i="1"/>
  <c r="AB543" i="1" s="1"/>
  <c r="V544" i="1"/>
  <c r="W544" i="1" s="1"/>
  <c r="V545" i="1"/>
  <c r="AB545" i="1" s="1"/>
  <c r="V546" i="1"/>
  <c r="AB546" i="1" s="1"/>
  <c r="V547" i="1"/>
  <c r="W547" i="1" s="1"/>
  <c r="V548" i="1"/>
  <c r="W548" i="1" s="1"/>
  <c r="V549" i="1"/>
  <c r="AB549" i="1" s="1"/>
  <c r="V550" i="1"/>
  <c r="AB550" i="1" s="1"/>
  <c r="V551" i="1"/>
  <c r="AB551" i="1" s="1"/>
  <c r="V552" i="1"/>
  <c r="W552" i="1" s="1"/>
  <c r="V553" i="1"/>
  <c r="AB553" i="1" s="1"/>
  <c r="V554" i="1"/>
  <c r="AB554" i="1" s="1"/>
  <c r="V555" i="1"/>
  <c r="W555" i="1" s="1"/>
  <c r="V556" i="1"/>
  <c r="W556" i="1" s="1"/>
  <c r="V557" i="1"/>
  <c r="AB557" i="1" s="1"/>
  <c r="V558" i="1"/>
  <c r="AB558" i="1" s="1"/>
  <c r="V559" i="1"/>
  <c r="AB559" i="1" s="1"/>
  <c r="V560" i="1"/>
  <c r="W560" i="1" s="1"/>
  <c r="V561" i="1"/>
  <c r="AB561" i="1" s="1"/>
  <c r="V562" i="1"/>
  <c r="AB562" i="1" s="1"/>
  <c r="V563" i="1"/>
  <c r="W563" i="1" s="1"/>
  <c r="V564" i="1"/>
  <c r="W564" i="1" s="1"/>
  <c r="V565" i="1"/>
  <c r="AB565" i="1" s="1"/>
  <c r="V566" i="1"/>
  <c r="AB566" i="1" s="1"/>
  <c r="V567" i="1"/>
  <c r="AB567" i="1" s="1"/>
  <c r="V568" i="1"/>
  <c r="W568" i="1" s="1"/>
  <c r="V569" i="1"/>
  <c r="AB569" i="1" s="1"/>
  <c r="V570" i="1"/>
  <c r="AB570" i="1" s="1"/>
  <c r="V571" i="1"/>
  <c r="W571" i="1" s="1"/>
  <c r="V572" i="1"/>
  <c r="W572" i="1" s="1"/>
  <c r="V573" i="1"/>
  <c r="AB573" i="1" s="1"/>
  <c r="V574" i="1"/>
  <c r="AB574" i="1" s="1"/>
  <c r="V575" i="1"/>
  <c r="AB575" i="1" s="1"/>
  <c r="V576" i="1"/>
  <c r="W576" i="1" s="1"/>
  <c r="V577" i="1"/>
  <c r="AB577" i="1" s="1"/>
  <c r="V578" i="1"/>
  <c r="AB578" i="1" s="1"/>
  <c r="V579" i="1"/>
  <c r="W579" i="1" s="1"/>
  <c r="V580" i="1"/>
  <c r="W580" i="1" s="1"/>
  <c r="V581" i="1"/>
  <c r="AB581" i="1" s="1"/>
  <c r="V582" i="1"/>
  <c r="AB582" i="1" s="1"/>
  <c r="V583" i="1"/>
  <c r="AB583" i="1" s="1"/>
  <c r="V584" i="1"/>
  <c r="W584" i="1" s="1"/>
  <c r="V585" i="1"/>
  <c r="AB585" i="1" s="1"/>
  <c r="V586" i="1"/>
  <c r="AB586" i="1" s="1"/>
  <c r="V587" i="1"/>
  <c r="W587" i="1" s="1"/>
  <c r="V588" i="1"/>
  <c r="W588" i="1" s="1"/>
  <c r="V589" i="1"/>
  <c r="AB589" i="1" s="1"/>
  <c r="V590" i="1"/>
  <c r="AB590" i="1" s="1"/>
  <c r="V591" i="1"/>
  <c r="AB591" i="1" s="1"/>
  <c r="V592" i="1"/>
  <c r="W592" i="1" s="1"/>
  <c r="V593" i="1"/>
  <c r="AB593" i="1" s="1"/>
  <c r="V594" i="1"/>
  <c r="AB594" i="1" s="1"/>
  <c r="V595" i="1"/>
  <c r="W595" i="1" s="1"/>
  <c r="V596" i="1"/>
  <c r="W596" i="1" s="1"/>
  <c r="V597" i="1"/>
  <c r="AB597" i="1" s="1"/>
  <c r="V598" i="1"/>
  <c r="AB598" i="1" s="1"/>
  <c r="V599" i="1"/>
  <c r="AB599" i="1" s="1"/>
  <c r="V600" i="1"/>
  <c r="W600" i="1" s="1"/>
  <c r="V601" i="1"/>
  <c r="AB601" i="1" s="1"/>
  <c r="V602" i="1"/>
  <c r="AB602" i="1" s="1"/>
  <c r="V603" i="1"/>
  <c r="W603" i="1" s="1"/>
  <c r="V604" i="1"/>
  <c r="W604" i="1" s="1"/>
  <c r="V605" i="1"/>
  <c r="AB605" i="1" s="1"/>
  <c r="V606" i="1"/>
  <c r="AB606" i="1" s="1"/>
  <c r="V607" i="1"/>
  <c r="AB607" i="1" s="1"/>
  <c r="V608" i="1"/>
  <c r="W608" i="1" s="1"/>
  <c r="V609" i="1"/>
  <c r="AB609" i="1" s="1"/>
  <c r="V610" i="1"/>
  <c r="AB610" i="1" s="1"/>
  <c r="V611" i="1"/>
  <c r="W611" i="1" s="1"/>
  <c r="V612" i="1"/>
  <c r="W612" i="1" s="1"/>
  <c r="V613" i="1"/>
  <c r="AB613" i="1" s="1"/>
  <c r="V614" i="1"/>
  <c r="AB614" i="1" s="1"/>
  <c r="V615" i="1"/>
  <c r="AB615" i="1" s="1"/>
  <c r="V616" i="1"/>
  <c r="W616" i="1" s="1"/>
  <c r="V617" i="1"/>
  <c r="AB617" i="1" s="1"/>
  <c r="V618" i="1"/>
  <c r="AB618" i="1" s="1"/>
  <c r="V619" i="1"/>
  <c r="W619" i="1" s="1"/>
  <c r="V620" i="1"/>
  <c r="W620" i="1" s="1"/>
  <c r="V621" i="1"/>
  <c r="AB621" i="1" s="1"/>
  <c r="V622" i="1"/>
  <c r="AB622" i="1" s="1"/>
  <c r="V623" i="1"/>
  <c r="AB623" i="1" s="1"/>
  <c r="V624" i="1"/>
  <c r="W624" i="1" s="1"/>
  <c r="V625" i="1"/>
  <c r="AB625" i="1" s="1"/>
  <c r="V626" i="1"/>
  <c r="AB626" i="1" s="1"/>
  <c r="V627" i="1"/>
  <c r="V628" i="1"/>
  <c r="W628" i="1" s="1"/>
  <c r="V629" i="1"/>
  <c r="AB629" i="1" s="1"/>
  <c r="V630" i="1"/>
  <c r="AB630" i="1" s="1"/>
  <c r="V631" i="1"/>
  <c r="AB631" i="1" s="1"/>
  <c r="V632" i="1"/>
  <c r="W632" i="1" s="1"/>
  <c r="V633" i="1"/>
  <c r="AB633" i="1" s="1"/>
  <c r="V3" i="1"/>
  <c r="V4" i="1"/>
  <c r="AB4" i="1" s="1"/>
  <c r="V5" i="1"/>
  <c r="AB5" i="1" s="1"/>
  <c r="V6" i="1"/>
  <c r="V7" i="1"/>
  <c r="AB7" i="1" s="1"/>
  <c r="V2" i="1"/>
  <c r="AH15" i="1" s="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2" i="1"/>
  <c r="AL619" i="1" l="1"/>
  <c r="AM619" i="1" s="1"/>
  <c r="AN619" i="1" s="1"/>
  <c r="AG619" i="1"/>
  <c r="AL555" i="1"/>
  <c r="AM555" i="1" s="1"/>
  <c r="AN555" i="1" s="1"/>
  <c r="AG555" i="1"/>
  <c r="AL491" i="1"/>
  <c r="AM491" i="1" s="1"/>
  <c r="AN491" i="1" s="1"/>
  <c r="AG491" i="1"/>
  <c r="AL443" i="1"/>
  <c r="AM443" i="1" s="1"/>
  <c r="AN443" i="1" s="1"/>
  <c r="AG443" i="1"/>
  <c r="AL355" i="1"/>
  <c r="AM355" i="1" s="1"/>
  <c r="AN355" i="1" s="1"/>
  <c r="AG355" i="1"/>
  <c r="AL227" i="1"/>
  <c r="AM227" i="1" s="1"/>
  <c r="AN227" i="1" s="1"/>
  <c r="AG227" i="1"/>
  <c r="AL3" i="1"/>
  <c r="AG3" i="1"/>
  <c r="AB446" i="1"/>
  <c r="W446" i="1"/>
  <c r="AB326" i="1"/>
  <c r="W326" i="1"/>
  <c r="AB627" i="1"/>
  <c r="AB3" i="1"/>
  <c r="AB506" i="1"/>
  <c r="W506" i="1"/>
  <c r="AB498" i="1"/>
  <c r="W498" i="1"/>
  <c r="AB490" i="1"/>
  <c r="W490" i="1"/>
  <c r="AB482" i="1"/>
  <c r="W482" i="1"/>
  <c r="AB474" i="1"/>
  <c r="W474" i="1"/>
  <c r="AB466" i="1"/>
  <c r="W466" i="1"/>
  <c r="AB458" i="1"/>
  <c r="W458" i="1"/>
  <c r="AB450" i="1"/>
  <c r="W450" i="1"/>
  <c r="AB442" i="1"/>
  <c r="W442" i="1"/>
  <c r="AB434" i="1"/>
  <c r="W434" i="1"/>
  <c r="AB426" i="1"/>
  <c r="W426" i="1"/>
  <c r="AB418" i="1"/>
  <c r="W418" i="1"/>
  <c r="AB410" i="1"/>
  <c r="W410" i="1"/>
  <c r="AB402" i="1"/>
  <c r="W402" i="1"/>
  <c r="AB394" i="1"/>
  <c r="W394" i="1"/>
  <c r="AB386" i="1"/>
  <c r="W386" i="1"/>
  <c r="AB378" i="1"/>
  <c r="W378" i="1"/>
  <c r="AB370" i="1"/>
  <c r="W370" i="1"/>
  <c r="AB362" i="1"/>
  <c r="W362" i="1"/>
  <c r="AB354" i="1"/>
  <c r="W354" i="1"/>
  <c r="AB346" i="1"/>
  <c r="W346" i="1"/>
  <c r="AB338" i="1"/>
  <c r="W338" i="1"/>
  <c r="AB330" i="1"/>
  <c r="W330" i="1"/>
  <c r="AB322" i="1"/>
  <c r="W322" i="1"/>
  <c r="AB314" i="1"/>
  <c r="W314" i="1"/>
  <c r="AB306" i="1"/>
  <c r="W306" i="1"/>
  <c r="AB298" i="1"/>
  <c r="W298" i="1"/>
  <c r="AB290" i="1"/>
  <c r="W290" i="1"/>
  <c r="AB282" i="1"/>
  <c r="W282" i="1"/>
  <c r="AB274" i="1"/>
  <c r="W274" i="1"/>
  <c r="AB266" i="1"/>
  <c r="W266" i="1"/>
  <c r="AB258" i="1"/>
  <c r="W258" i="1"/>
  <c r="AB250" i="1"/>
  <c r="W250" i="1"/>
  <c r="AB242" i="1"/>
  <c r="W242" i="1"/>
  <c r="AB234" i="1"/>
  <c r="W234" i="1"/>
  <c r="AB226" i="1"/>
  <c r="W226" i="1"/>
  <c r="AB218" i="1"/>
  <c r="W218" i="1"/>
  <c r="AB210" i="1"/>
  <c r="W210" i="1"/>
  <c r="AB202" i="1"/>
  <c r="W202" i="1"/>
  <c r="AB194" i="1"/>
  <c r="W194" i="1"/>
  <c r="AB186" i="1"/>
  <c r="W186" i="1"/>
  <c r="AB178" i="1"/>
  <c r="W178" i="1"/>
  <c r="AB170" i="1"/>
  <c r="W170" i="1"/>
  <c r="AB162" i="1"/>
  <c r="W162" i="1"/>
  <c r="AB154" i="1"/>
  <c r="W154" i="1"/>
  <c r="AB146" i="1"/>
  <c r="W146" i="1"/>
  <c r="AB138" i="1"/>
  <c r="W138" i="1"/>
  <c r="AB130" i="1"/>
  <c r="W130" i="1"/>
  <c r="AB122" i="1"/>
  <c r="W122" i="1"/>
  <c r="AB114" i="1"/>
  <c r="W114" i="1"/>
  <c r="AB106" i="1"/>
  <c r="W106" i="1"/>
  <c r="AB98" i="1"/>
  <c r="W98" i="1"/>
  <c r="AB90" i="1"/>
  <c r="W90" i="1"/>
  <c r="AB82" i="1"/>
  <c r="W82" i="1"/>
  <c r="AB74" i="1"/>
  <c r="W74" i="1"/>
  <c r="AB66" i="1"/>
  <c r="W66" i="1"/>
  <c r="AB57" i="1"/>
  <c r="W57" i="1"/>
  <c r="AB49" i="1"/>
  <c r="W49" i="1"/>
  <c r="AB41" i="1"/>
  <c r="W41" i="1"/>
  <c r="AB33" i="1"/>
  <c r="W33" i="1"/>
  <c r="AL628" i="1"/>
  <c r="AG628" i="1"/>
  <c r="AL620" i="1"/>
  <c r="AG620" i="1"/>
  <c r="AL612" i="1"/>
  <c r="AG612" i="1"/>
  <c r="AL604" i="1"/>
  <c r="AG604" i="1"/>
  <c r="AL596" i="1"/>
  <c r="AG596" i="1"/>
  <c r="AL588" i="1"/>
  <c r="AG588" i="1"/>
  <c r="AL580" i="1"/>
  <c r="AG580" i="1"/>
  <c r="AL572" i="1"/>
  <c r="AG572" i="1"/>
  <c r="AL564" i="1"/>
  <c r="AG564" i="1"/>
  <c r="AL556" i="1"/>
  <c r="AG556" i="1"/>
  <c r="AL548" i="1"/>
  <c r="AG548" i="1"/>
  <c r="AL540" i="1"/>
  <c r="AG540" i="1"/>
  <c r="AL532" i="1"/>
  <c r="AG532" i="1"/>
  <c r="AL524" i="1"/>
  <c r="AG524" i="1"/>
  <c r="AL516" i="1"/>
  <c r="AG516" i="1"/>
  <c r="AL508" i="1"/>
  <c r="AG508" i="1"/>
  <c r="AL500" i="1"/>
  <c r="AG500" i="1"/>
  <c r="AL492" i="1"/>
  <c r="AG492" i="1"/>
  <c r="AL484" i="1"/>
  <c r="AG484" i="1"/>
  <c r="AL476" i="1"/>
  <c r="AG476" i="1"/>
  <c r="AL468" i="1"/>
  <c r="AG468" i="1"/>
  <c r="AL460" i="1"/>
  <c r="AG460" i="1"/>
  <c r="AL452" i="1"/>
  <c r="AG452" i="1"/>
  <c r="AL444" i="1"/>
  <c r="AG444" i="1"/>
  <c r="AL436" i="1"/>
  <c r="AG436" i="1"/>
  <c r="AL428" i="1"/>
  <c r="AG428" i="1"/>
  <c r="AL420" i="1"/>
  <c r="AG420" i="1"/>
  <c r="AL412" i="1"/>
  <c r="AG412" i="1"/>
  <c r="AL404" i="1"/>
  <c r="AG404" i="1"/>
  <c r="AL396" i="1"/>
  <c r="AG396" i="1"/>
  <c r="AL388" i="1"/>
  <c r="AG388" i="1"/>
  <c r="AL380" i="1"/>
  <c r="AG380" i="1"/>
  <c r="AL372" i="1"/>
  <c r="AG372" i="1"/>
  <c r="AL364" i="1"/>
  <c r="AG364" i="1"/>
  <c r="AL356" i="1"/>
  <c r="AG356" i="1"/>
  <c r="AL348" i="1"/>
  <c r="AG348" i="1"/>
  <c r="AL340" i="1"/>
  <c r="AG340" i="1"/>
  <c r="AL332" i="1"/>
  <c r="AG332" i="1"/>
  <c r="AL324" i="1"/>
  <c r="AG324" i="1"/>
  <c r="AL316" i="1"/>
  <c r="AG316" i="1"/>
  <c r="AL308" i="1"/>
  <c r="AG308" i="1"/>
  <c r="AL300" i="1"/>
  <c r="AG300" i="1"/>
  <c r="AL292" i="1"/>
  <c r="AG292" i="1"/>
  <c r="AL284" i="1"/>
  <c r="AG284" i="1"/>
  <c r="AL276" i="1"/>
  <c r="AG276" i="1"/>
  <c r="AL268" i="1"/>
  <c r="AG268" i="1"/>
  <c r="AL260" i="1"/>
  <c r="AG260" i="1"/>
  <c r="AL252" i="1"/>
  <c r="AG252" i="1"/>
  <c r="AL244" i="1"/>
  <c r="AG244" i="1"/>
  <c r="AL236" i="1"/>
  <c r="AG236" i="1"/>
  <c r="AL228" i="1"/>
  <c r="AG228" i="1"/>
  <c r="AL220" i="1"/>
  <c r="AG220" i="1"/>
  <c r="AL212" i="1"/>
  <c r="AG212" i="1"/>
  <c r="AL204" i="1"/>
  <c r="AG204" i="1"/>
  <c r="AL196" i="1"/>
  <c r="AG196" i="1"/>
  <c r="AL188" i="1"/>
  <c r="AG188" i="1"/>
  <c r="AL180" i="1"/>
  <c r="AG180" i="1"/>
  <c r="AL172" i="1"/>
  <c r="AG172" i="1"/>
  <c r="AL164" i="1"/>
  <c r="AG164" i="1"/>
  <c r="AL156" i="1"/>
  <c r="AG156" i="1"/>
  <c r="AL148" i="1"/>
  <c r="AG148" i="1"/>
  <c r="AL140" i="1"/>
  <c r="AG140" i="1"/>
  <c r="AL132" i="1"/>
  <c r="AG132" i="1"/>
  <c r="AL124" i="1"/>
  <c r="AG124" i="1"/>
  <c r="AL116" i="1"/>
  <c r="AG116" i="1"/>
  <c r="AL108" i="1"/>
  <c r="AG108" i="1"/>
  <c r="AL100" i="1"/>
  <c r="AG100" i="1"/>
  <c r="AL92" i="1"/>
  <c r="AG92" i="1"/>
  <c r="AL84" i="1"/>
  <c r="AG84" i="1"/>
  <c r="AL76" i="1"/>
  <c r="AG76" i="1"/>
  <c r="AL68" i="1"/>
  <c r="AG68" i="1"/>
  <c r="AL60" i="1"/>
  <c r="AG60" i="1"/>
  <c r="AL52" i="1"/>
  <c r="AG52" i="1"/>
  <c r="AL44" i="1"/>
  <c r="AG44" i="1"/>
  <c r="AL36" i="1"/>
  <c r="AG36" i="1"/>
  <c r="AL28" i="1"/>
  <c r="AG28" i="1"/>
  <c r="AL20" i="1"/>
  <c r="AG20" i="1"/>
  <c r="AL12" i="1"/>
  <c r="AG12" i="1"/>
  <c r="AL4" i="1"/>
  <c r="AG4" i="1"/>
  <c r="H601" i="1"/>
  <c r="H559" i="1"/>
  <c r="H503" i="1"/>
  <c r="W23" i="1"/>
  <c r="W15" i="1"/>
  <c r="W7" i="1"/>
  <c r="W629" i="1"/>
  <c r="W621" i="1"/>
  <c r="W613" i="1"/>
  <c r="W605" i="1"/>
  <c r="W597" i="1"/>
  <c r="W589" i="1"/>
  <c r="W581" i="1"/>
  <c r="W573" i="1"/>
  <c r="W565" i="1"/>
  <c r="W557" i="1"/>
  <c r="W549" i="1"/>
  <c r="W541" i="1"/>
  <c r="W533" i="1"/>
  <c r="W525" i="1"/>
  <c r="W517" i="1"/>
  <c r="W457" i="1"/>
  <c r="W393" i="1"/>
  <c r="W329" i="1"/>
  <c r="W265" i="1"/>
  <c r="W201" i="1"/>
  <c r="W137" i="1"/>
  <c r="W73" i="1"/>
  <c r="W22" i="1"/>
  <c r="W14" i="1"/>
  <c r="W5" i="1"/>
  <c r="W505" i="1"/>
  <c r="W449" i="1"/>
  <c r="W385" i="1"/>
  <c r="W321" i="1"/>
  <c r="W257" i="1"/>
  <c r="W193" i="1"/>
  <c r="W129" i="1"/>
  <c r="W58" i="1"/>
  <c r="AL579" i="1"/>
  <c r="AM579" i="1" s="1"/>
  <c r="AN579" i="1" s="1"/>
  <c r="AG579" i="1"/>
  <c r="AL523" i="1"/>
  <c r="AM523" i="1" s="1"/>
  <c r="AN523" i="1" s="1"/>
  <c r="AG523" i="1"/>
  <c r="AL451" i="1"/>
  <c r="AM451" i="1" s="1"/>
  <c r="AN451" i="1" s="1"/>
  <c r="AG451" i="1"/>
  <c r="AL403" i="1"/>
  <c r="AG403" i="1"/>
  <c r="AL363" i="1"/>
  <c r="AM363" i="1" s="1"/>
  <c r="AN363" i="1" s="1"/>
  <c r="AG363" i="1"/>
  <c r="AL315" i="1"/>
  <c r="AM315" i="1" s="1"/>
  <c r="AN315" i="1" s="1"/>
  <c r="AG315" i="1"/>
  <c r="AL267" i="1"/>
  <c r="AM267" i="1" s="1"/>
  <c r="AN267" i="1" s="1"/>
  <c r="AG267" i="1"/>
  <c r="AL219" i="1"/>
  <c r="AM219" i="1" s="1"/>
  <c r="AN219" i="1" s="1"/>
  <c r="AG219" i="1"/>
  <c r="AL171" i="1"/>
  <c r="AG171" i="1"/>
  <c r="AL115" i="1"/>
  <c r="AG115" i="1"/>
  <c r="AL51" i="1"/>
  <c r="AG51" i="1"/>
  <c r="AB55" i="1"/>
  <c r="W55" i="1"/>
  <c r="AB47" i="1"/>
  <c r="W47" i="1"/>
  <c r="AB39" i="1"/>
  <c r="W39" i="1"/>
  <c r="AB31" i="1"/>
  <c r="W31" i="1"/>
  <c r="AL2" i="1"/>
  <c r="AG2" i="1"/>
  <c r="AL626" i="1"/>
  <c r="AG626" i="1"/>
  <c r="AL618" i="1"/>
  <c r="AG618" i="1"/>
  <c r="AL610" i="1"/>
  <c r="AG610" i="1"/>
  <c r="AL602" i="1"/>
  <c r="AG602" i="1"/>
  <c r="AL594" i="1"/>
  <c r="AG594" i="1"/>
  <c r="AL586" i="1"/>
  <c r="AG586" i="1"/>
  <c r="AL578" i="1"/>
  <c r="AG578" i="1"/>
  <c r="AL570" i="1"/>
  <c r="AG570" i="1"/>
  <c r="AL562" i="1"/>
  <c r="AG562" i="1"/>
  <c r="AL554" i="1"/>
  <c r="AG554" i="1"/>
  <c r="AL546" i="1"/>
  <c r="AG546" i="1"/>
  <c r="AL538" i="1"/>
  <c r="AG538" i="1"/>
  <c r="AL530" i="1"/>
  <c r="AG530" i="1"/>
  <c r="AL522" i="1"/>
  <c r="AG522" i="1"/>
  <c r="AL514" i="1"/>
  <c r="AG514" i="1"/>
  <c r="AL506" i="1"/>
  <c r="AG506" i="1"/>
  <c r="AL498" i="1"/>
  <c r="AG498" i="1"/>
  <c r="AL490" i="1"/>
  <c r="AG490" i="1"/>
  <c r="AL482" i="1"/>
  <c r="AG482" i="1"/>
  <c r="AL474" i="1"/>
  <c r="AG474" i="1"/>
  <c r="AL466" i="1"/>
  <c r="AG466" i="1"/>
  <c r="AL458" i="1"/>
  <c r="AG458" i="1"/>
  <c r="AL450" i="1"/>
  <c r="AG450" i="1"/>
  <c r="AL442" i="1"/>
  <c r="AG442" i="1"/>
  <c r="AL434" i="1"/>
  <c r="AG434" i="1"/>
  <c r="AL426" i="1"/>
  <c r="AG426" i="1"/>
  <c r="AL418" i="1"/>
  <c r="AG418" i="1"/>
  <c r="AL410" i="1"/>
  <c r="AG410" i="1"/>
  <c r="AL402" i="1"/>
  <c r="AG402" i="1"/>
  <c r="AL394" i="1"/>
  <c r="AG394" i="1"/>
  <c r="AL386" i="1"/>
  <c r="AG386" i="1"/>
  <c r="AL378" i="1"/>
  <c r="AG378" i="1"/>
  <c r="AL370" i="1"/>
  <c r="AG370" i="1"/>
  <c r="AL362" i="1"/>
  <c r="AG362" i="1"/>
  <c r="AL354" i="1"/>
  <c r="AG354" i="1"/>
  <c r="AL346" i="1"/>
  <c r="AG346" i="1"/>
  <c r="AL338" i="1"/>
  <c r="AG338" i="1"/>
  <c r="AL330" i="1"/>
  <c r="AG330" i="1"/>
  <c r="AL322" i="1"/>
  <c r="AG322" i="1"/>
  <c r="AL314" i="1"/>
  <c r="AG314" i="1"/>
  <c r="AL306" i="1"/>
  <c r="AG306" i="1"/>
  <c r="AL298" i="1"/>
  <c r="AG298" i="1"/>
  <c r="AL290" i="1"/>
  <c r="AG290" i="1"/>
  <c r="AL282" i="1"/>
  <c r="AG282" i="1"/>
  <c r="AL274" i="1"/>
  <c r="AG274" i="1"/>
  <c r="AL266" i="1"/>
  <c r="AG266" i="1"/>
  <c r="AL258" i="1"/>
  <c r="AG258" i="1"/>
  <c r="AL250" i="1"/>
  <c r="AG250" i="1"/>
  <c r="AL242" i="1"/>
  <c r="AG242" i="1"/>
  <c r="AL234" i="1"/>
  <c r="AG234" i="1"/>
  <c r="AL226" i="1"/>
  <c r="AG226" i="1"/>
  <c r="AL218" i="1"/>
  <c r="AG218" i="1"/>
  <c r="AL210" i="1"/>
  <c r="AG210" i="1"/>
  <c r="AL202" i="1"/>
  <c r="AG202" i="1"/>
  <c r="AL194" i="1"/>
  <c r="AG194" i="1"/>
  <c r="AL186" i="1"/>
  <c r="AG186" i="1"/>
  <c r="AL178" i="1"/>
  <c r="AG178" i="1"/>
  <c r="AL170" i="1"/>
  <c r="AG170" i="1"/>
  <c r="AL162" i="1"/>
  <c r="AG162" i="1"/>
  <c r="AL154" i="1"/>
  <c r="AG154" i="1"/>
  <c r="AL146" i="1"/>
  <c r="AG146" i="1"/>
  <c r="AL138" i="1"/>
  <c r="AG138" i="1"/>
  <c r="AL130" i="1"/>
  <c r="AG130" i="1"/>
  <c r="AL122" i="1"/>
  <c r="AG122" i="1"/>
  <c r="AL114" i="1"/>
  <c r="AG114" i="1"/>
  <c r="AL106" i="1"/>
  <c r="AG106" i="1"/>
  <c r="AL98" i="1"/>
  <c r="AG98" i="1"/>
  <c r="AL90" i="1"/>
  <c r="AG90" i="1"/>
  <c r="AL82" i="1"/>
  <c r="AG82" i="1"/>
  <c r="AL74" i="1"/>
  <c r="AG74" i="1"/>
  <c r="AL66" i="1"/>
  <c r="AG66" i="1"/>
  <c r="AL58" i="1"/>
  <c r="AG58" i="1"/>
  <c r="AL50" i="1"/>
  <c r="AG50" i="1"/>
  <c r="AL42" i="1"/>
  <c r="AG42" i="1"/>
  <c r="AL34" i="1"/>
  <c r="AG34" i="1"/>
  <c r="AL26" i="1"/>
  <c r="AG26" i="1"/>
  <c r="AL18" i="1"/>
  <c r="AG18" i="1"/>
  <c r="AL10" i="1"/>
  <c r="AG10" i="1"/>
  <c r="H154" i="1"/>
  <c r="AF2" i="1"/>
  <c r="AF634" i="1" s="1"/>
  <c r="H79" i="1"/>
  <c r="W21" i="1"/>
  <c r="W13" i="1"/>
  <c r="W4" i="1"/>
  <c r="W627" i="1"/>
  <c r="W503" i="1"/>
  <c r="W441" i="1"/>
  <c r="W377" i="1"/>
  <c r="W313" i="1"/>
  <c r="W249" i="1"/>
  <c r="W185" i="1"/>
  <c r="W121" i="1"/>
  <c r="W42" i="1"/>
  <c r="AL627" i="1"/>
  <c r="AM627" i="1" s="1"/>
  <c r="AN627" i="1" s="1"/>
  <c r="AG627" i="1"/>
  <c r="AL571" i="1"/>
  <c r="AM571" i="1" s="1"/>
  <c r="AN571" i="1" s="1"/>
  <c r="AG571" i="1"/>
  <c r="AL531" i="1"/>
  <c r="AG531" i="1"/>
  <c r="AL475" i="1"/>
  <c r="AM475" i="1" s="1"/>
  <c r="AN475" i="1" s="1"/>
  <c r="AG475" i="1"/>
  <c r="AL435" i="1"/>
  <c r="AM435" i="1" s="1"/>
  <c r="AN435" i="1" s="1"/>
  <c r="AG435" i="1"/>
  <c r="AL395" i="1"/>
  <c r="AM395" i="1" s="1"/>
  <c r="AN395" i="1" s="1"/>
  <c r="AG395" i="1"/>
  <c r="AL339" i="1"/>
  <c r="AG339" i="1"/>
  <c r="AL299" i="1"/>
  <c r="AM299" i="1" s="1"/>
  <c r="AN299" i="1" s="1"/>
  <c r="AG299" i="1"/>
  <c r="AL259" i="1"/>
  <c r="AM259" i="1" s="1"/>
  <c r="AN259" i="1" s="1"/>
  <c r="AG259" i="1"/>
  <c r="AL211" i="1"/>
  <c r="AM211" i="1" s="1"/>
  <c r="AN211" i="1" s="1"/>
  <c r="AG211" i="1"/>
  <c r="AL187" i="1"/>
  <c r="AG187" i="1"/>
  <c r="AL139" i="1"/>
  <c r="AG139" i="1"/>
  <c r="AL99" i="1"/>
  <c r="AG99" i="1"/>
  <c r="AL67" i="1"/>
  <c r="AG67" i="1"/>
  <c r="AL27" i="1"/>
  <c r="AG27" i="1"/>
  <c r="AB2" i="1"/>
  <c r="W2" i="1"/>
  <c r="AB495" i="1"/>
  <c r="W495" i="1"/>
  <c r="AB487" i="1"/>
  <c r="W487" i="1"/>
  <c r="AB479" i="1"/>
  <c r="W479" i="1"/>
  <c r="AB471" i="1"/>
  <c r="W471" i="1"/>
  <c r="AB463" i="1"/>
  <c r="W463" i="1"/>
  <c r="AB455" i="1"/>
  <c r="W455" i="1"/>
  <c r="AB447" i="1"/>
  <c r="W447" i="1"/>
  <c r="AB439" i="1"/>
  <c r="W439" i="1"/>
  <c r="AB431" i="1"/>
  <c r="W431" i="1"/>
  <c r="AB423" i="1"/>
  <c r="W423" i="1"/>
  <c r="AB415" i="1"/>
  <c r="W415" i="1"/>
  <c r="AB407" i="1"/>
  <c r="W407" i="1"/>
  <c r="AB399" i="1"/>
  <c r="W399" i="1"/>
  <c r="AB391" i="1"/>
  <c r="W391" i="1"/>
  <c r="AB383" i="1"/>
  <c r="W383" i="1"/>
  <c r="AB375" i="1"/>
  <c r="W375" i="1"/>
  <c r="AB367" i="1"/>
  <c r="W367" i="1"/>
  <c r="AB359" i="1"/>
  <c r="W359" i="1"/>
  <c r="AB351" i="1"/>
  <c r="W351" i="1"/>
  <c r="AB343" i="1"/>
  <c r="W343" i="1"/>
  <c r="AB335" i="1"/>
  <c r="W335" i="1"/>
  <c r="AB327" i="1"/>
  <c r="W327" i="1"/>
  <c r="AB319" i="1"/>
  <c r="W319" i="1"/>
  <c r="AB311" i="1"/>
  <c r="W311" i="1"/>
  <c r="AB303" i="1"/>
  <c r="W303" i="1"/>
  <c r="AB295" i="1"/>
  <c r="W295" i="1"/>
  <c r="AB287" i="1"/>
  <c r="W287" i="1"/>
  <c r="AB279" i="1"/>
  <c r="W279" i="1"/>
  <c r="AB271" i="1"/>
  <c r="W271" i="1"/>
  <c r="AB263" i="1"/>
  <c r="W263" i="1"/>
  <c r="AB255" i="1"/>
  <c r="W255" i="1"/>
  <c r="AB247" i="1"/>
  <c r="W247" i="1"/>
  <c r="AB239" i="1"/>
  <c r="W239" i="1"/>
  <c r="AB231" i="1"/>
  <c r="W231" i="1"/>
  <c r="AB223" i="1"/>
  <c r="W223" i="1"/>
  <c r="AB215" i="1"/>
  <c r="W215" i="1"/>
  <c r="AB207" i="1"/>
  <c r="W207" i="1"/>
  <c r="AB199" i="1"/>
  <c r="W199" i="1"/>
  <c r="AB191" i="1"/>
  <c r="W191" i="1"/>
  <c r="AB183" i="1"/>
  <c r="W183" i="1"/>
  <c r="AB175" i="1"/>
  <c r="W175" i="1"/>
  <c r="AB167" i="1"/>
  <c r="W167" i="1"/>
  <c r="AB159" i="1"/>
  <c r="W159" i="1"/>
  <c r="AB151" i="1"/>
  <c r="W151" i="1"/>
  <c r="AB143" i="1"/>
  <c r="W143" i="1"/>
  <c r="AB135" i="1"/>
  <c r="W135" i="1"/>
  <c r="AB127" i="1"/>
  <c r="W127" i="1"/>
  <c r="AB119" i="1"/>
  <c r="W119" i="1"/>
  <c r="AB111" i="1"/>
  <c r="W111" i="1"/>
  <c r="AB103" i="1"/>
  <c r="W103" i="1"/>
  <c r="AB95" i="1"/>
  <c r="W95" i="1"/>
  <c r="AB87" i="1"/>
  <c r="W87" i="1"/>
  <c r="AB79" i="1"/>
  <c r="W79" i="1"/>
  <c r="AB71" i="1"/>
  <c r="W71" i="1"/>
  <c r="AB63" i="1"/>
  <c r="W63" i="1"/>
  <c r="AB54" i="1"/>
  <c r="W54" i="1"/>
  <c r="AB46" i="1"/>
  <c r="W46" i="1"/>
  <c r="AB38" i="1"/>
  <c r="W38" i="1"/>
  <c r="AB30" i="1"/>
  <c r="W30" i="1"/>
  <c r="AL633" i="1"/>
  <c r="AG633" i="1"/>
  <c r="AL625" i="1"/>
  <c r="AG625" i="1"/>
  <c r="AL617" i="1"/>
  <c r="AG617" i="1"/>
  <c r="AL609" i="1"/>
  <c r="AG609" i="1"/>
  <c r="AL601" i="1"/>
  <c r="AG601" i="1"/>
  <c r="AL593" i="1"/>
  <c r="AG593" i="1"/>
  <c r="AL585" i="1"/>
  <c r="AG585" i="1"/>
  <c r="AL577" i="1"/>
  <c r="AG577" i="1"/>
  <c r="AL569" i="1"/>
  <c r="AG569" i="1"/>
  <c r="AL561" i="1"/>
  <c r="AG561" i="1"/>
  <c r="AL553" i="1"/>
  <c r="AG553" i="1"/>
  <c r="AL545" i="1"/>
  <c r="AG545" i="1"/>
  <c r="AL537" i="1"/>
  <c r="AG537" i="1"/>
  <c r="AL529" i="1"/>
  <c r="AG529" i="1"/>
  <c r="AL521" i="1"/>
  <c r="AG521" i="1"/>
  <c r="AL513" i="1"/>
  <c r="AG513" i="1"/>
  <c r="AL505" i="1"/>
  <c r="AG505" i="1"/>
  <c r="AL497" i="1"/>
  <c r="AG497" i="1"/>
  <c r="AL489" i="1"/>
  <c r="AG489" i="1"/>
  <c r="AL481" i="1"/>
  <c r="AG481" i="1"/>
  <c r="AL473" i="1"/>
  <c r="AG473" i="1"/>
  <c r="AL465" i="1"/>
  <c r="AG465" i="1"/>
  <c r="AL457" i="1"/>
  <c r="AG457" i="1"/>
  <c r="AL449" i="1"/>
  <c r="AG449" i="1"/>
  <c r="AL441" i="1"/>
  <c r="AG441" i="1"/>
  <c r="AL433" i="1"/>
  <c r="AG433" i="1"/>
  <c r="AL425" i="1"/>
  <c r="AG425" i="1"/>
  <c r="AL417" i="1"/>
  <c r="AG417" i="1"/>
  <c r="AL409" i="1"/>
  <c r="AG409" i="1"/>
  <c r="AL401" i="1"/>
  <c r="AG401" i="1"/>
  <c r="AL393" i="1"/>
  <c r="AG393" i="1"/>
  <c r="AL385" i="1"/>
  <c r="AG385" i="1"/>
  <c r="AL377" i="1"/>
  <c r="AG377" i="1"/>
  <c r="AL369" i="1"/>
  <c r="AG369" i="1"/>
  <c r="AL361" i="1"/>
  <c r="AG361" i="1"/>
  <c r="AL353" i="1"/>
  <c r="AG353" i="1"/>
  <c r="AL345" i="1"/>
  <c r="AG345" i="1"/>
  <c r="AL337" i="1"/>
  <c r="AG337" i="1"/>
  <c r="AL329" i="1"/>
  <c r="AG329" i="1"/>
  <c r="AL321" i="1"/>
  <c r="AG321" i="1"/>
  <c r="AL313" i="1"/>
  <c r="AG313" i="1"/>
  <c r="AL305" i="1"/>
  <c r="AG305" i="1"/>
  <c r="AL297" i="1"/>
  <c r="AG297" i="1"/>
  <c r="AL289" i="1"/>
  <c r="AG289" i="1"/>
  <c r="AL281" i="1"/>
  <c r="AG281" i="1"/>
  <c r="AL273" i="1"/>
  <c r="AG273" i="1"/>
  <c r="AL265" i="1"/>
  <c r="AG265" i="1"/>
  <c r="AL257" i="1"/>
  <c r="AG257" i="1"/>
  <c r="AL249" i="1"/>
  <c r="AG249" i="1"/>
  <c r="AL241" i="1"/>
  <c r="AG241" i="1"/>
  <c r="AL233" i="1"/>
  <c r="AG233" i="1"/>
  <c r="AL225" i="1"/>
  <c r="AG225" i="1"/>
  <c r="AL217" i="1"/>
  <c r="AG217" i="1"/>
  <c r="AL209" i="1"/>
  <c r="AG209" i="1"/>
  <c r="AL201" i="1"/>
  <c r="AG201" i="1"/>
  <c r="AL193" i="1"/>
  <c r="AG193" i="1"/>
  <c r="AL185" i="1"/>
  <c r="AG185" i="1"/>
  <c r="AL177" i="1"/>
  <c r="AG177" i="1"/>
  <c r="AL169" i="1"/>
  <c r="AG169" i="1"/>
  <c r="AL161" i="1"/>
  <c r="AG161" i="1"/>
  <c r="AL153" i="1"/>
  <c r="AG153" i="1"/>
  <c r="AL145" i="1"/>
  <c r="AG145" i="1"/>
  <c r="AL137" i="1"/>
  <c r="AG137" i="1"/>
  <c r="AL129" i="1"/>
  <c r="AG129" i="1"/>
  <c r="AL121" i="1"/>
  <c r="AG121" i="1"/>
  <c r="AL113" i="1"/>
  <c r="AG113" i="1"/>
  <c r="AL105" i="1"/>
  <c r="AG105" i="1"/>
  <c r="AL97" i="1"/>
  <c r="AG97" i="1"/>
  <c r="AL89" i="1"/>
  <c r="AG89" i="1"/>
  <c r="AL81" i="1"/>
  <c r="AG81" i="1"/>
  <c r="AL73" i="1"/>
  <c r="AG73" i="1"/>
  <c r="AL65" i="1"/>
  <c r="AG65" i="1"/>
  <c r="AL57" i="1"/>
  <c r="AG57" i="1"/>
  <c r="AL49" i="1"/>
  <c r="AG49" i="1"/>
  <c r="AL41" i="1"/>
  <c r="AG41" i="1"/>
  <c r="AL33" i="1"/>
  <c r="AG33" i="1"/>
  <c r="AL25" i="1"/>
  <c r="AG25" i="1"/>
  <c r="AL17" i="1"/>
  <c r="AG17" i="1"/>
  <c r="AL9" i="1"/>
  <c r="AG9" i="1"/>
  <c r="B5" i="18"/>
  <c r="AH16" i="1"/>
  <c r="W3" i="1"/>
  <c r="W626" i="1"/>
  <c r="W618" i="1"/>
  <c r="W610" i="1"/>
  <c r="W602" i="1"/>
  <c r="W594" i="1"/>
  <c r="W586" i="1"/>
  <c r="W578" i="1"/>
  <c r="W570" i="1"/>
  <c r="W562" i="1"/>
  <c r="W554" i="1"/>
  <c r="W546" i="1"/>
  <c r="W538" i="1"/>
  <c r="W530" i="1"/>
  <c r="W522" i="1"/>
  <c r="W514" i="1"/>
  <c r="W497" i="1"/>
  <c r="W433" i="1"/>
  <c r="W369" i="1"/>
  <c r="W305" i="1"/>
  <c r="W241" i="1"/>
  <c r="W177" i="1"/>
  <c r="W113" i="1"/>
  <c r="AL595" i="1"/>
  <c r="AG595" i="1"/>
  <c r="AL539" i="1"/>
  <c r="AM539" i="1" s="1"/>
  <c r="AN539" i="1" s="1"/>
  <c r="AG539" i="1"/>
  <c r="AL499" i="1"/>
  <c r="AM499" i="1" s="1"/>
  <c r="AN499" i="1" s="1"/>
  <c r="AG499" i="1"/>
  <c r="AL459" i="1"/>
  <c r="AM459" i="1" s="1"/>
  <c r="AN459" i="1" s="1"/>
  <c r="AG459" i="1"/>
  <c r="AL411" i="1"/>
  <c r="AM411" i="1" s="1"/>
  <c r="AN411" i="1" s="1"/>
  <c r="AG411" i="1"/>
  <c r="AL379" i="1"/>
  <c r="AM379" i="1" s="1"/>
  <c r="AN379" i="1" s="1"/>
  <c r="AG379" i="1"/>
  <c r="AL331" i="1"/>
  <c r="AM331" i="1" s="1"/>
  <c r="AN331" i="1" s="1"/>
  <c r="AG331" i="1"/>
  <c r="AL283" i="1"/>
  <c r="AM283" i="1" s="1"/>
  <c r="AN283" i="1" s="1"/>
  <c r="AG283" i="1"/>
  <c r="AL243" i="1"/>
  <c r="AM243" i="1" s="1"/>
  <c r="AN243" i="1" s="1"/>
  <c r="AG243" i="1"/>
  <c r="AL195" i="1"/>
  <c r="AG195" i="1"/>
  <c r="AL155" i="1"/>
  <c r="AG155" i="1"/>
  <c r="AL123" i="1"/>
  <c r="AG123" i="1"/>
  <c r="AL83" i="1"/>
  <c r="AG83" i="1"/>
  <c r="AL35" i="1"/>
  <c r="AG35" i="1"/>
  <c r="AB494" i="1"/>
  <c r="W494" i="1"/>
  <c r="AB454" i="1"/>
  <c r="W454" i="1"/>
  <c r="AB422" i="1"/>
  <c r="W422" i="1"/>
  <c r="AB390" i="1"/>
  <c r="W390" i="1"/>
  <c r="AB366" i="1"/>
  <c r="W366" i="1"/>
  <c r="AB342" i="1"/>
  <c r="W342" i="1"/>
  <c r="AB302" i="1"/>
  <c r="W302" i="1"/>
  <c r="AB278" i="1"/>
  <c r="W278" i="1"/>
  <c r="AB254" i="1"/>
  <c r="W254" i="1"/>
  <c r="AB238" i="1"/>
  <c r="W238" i="1"/>
  <c r="AB214" i="1"/>
  <c r="W214" i="1"/>
  <c r="AB190" i="1"/>
  <c r="W190" i="1"/>
  <c r="AB166" i="1"/>
  <c r="W166" i="1"/>
  <c r="AB142" i="1"/>
  <c r="W142" i="1"/>
  <c r="AB110" i="1"/>
  <c r="W110" i="1"/>
  <c r="AB78" i="1"/>
  <c r="W78" i="1"/>
  <c r="AL632" i="1"/>
  <c r="AG632" i="1"/>
  <c r="AL608" i="1"/>
  <c r="AG608" i="1"/>
  <c r="AL568" i="1"/>
  <c r="AG568" i="1"/>
  <c r="AL544" i="1"/>
  <c r="AG544" i="1"/>
  <c r="AL520" i="1"/>
  <c r="AG520" i="1"/>
  <c r="AL496" i="1"/>
  <c r="AG496" i="1"/>
  <c r="AL472" i="1"/>
  <c r="AG472" i="1"/>
  <c r="AL456" i="1"/>
  <c r="AG456" i="1"/>
  <c r="AL432" i="1"/>
  <c r="AG432" i="1"/>
  <c r="AL408" i="1"/>
  <c r="AG408" i="1"/>
  <c r="AG384" i="1"/>
  <c r="AL384" i="1"/>
  <c r="AL360" i="1"/>
  <c r="AG360" i="1"/>
  <c r="AG336" i="1"/>
  <c r="AL336" i="1"/>
  <c r="AG312" i="1"/>
  <c r="AL312" i="1"/>
  <c r="AL288" i="1"/>
  <c r="AG288" i="1"/>
  <c r="AG264" i="1"/>
  <c r="AL264" i="1"/>
  <c r="AG240" i="1"/>
  <c r="AL240" i="1"/>
  <c r="AL216" i="1"/>
  <c r="AG216" i="1"/>
  <c r="AG208" i="1"/>
  <c r="AL208" i="1"/>
  <c r="AG184" i="1"/>
  <c r="AL184" i="1"/>
  <c r="AG176" i="1"/>
  <c r="AL176" i="1"/>
  <c r="AL168" i="1"/>
  <c r="AG168" i="1"/>
  <c r="AL152" i="1"/>
  <c r="AG152" i="1"/>
  <c r="AG144" i="1"/>
  <c r="AL144" i="1"/>
  <c r="AG136" i="1"/>
  <c r="AL136" i="1"/>
  <c r="AG120" i="1"/>
  <c r="AL120" i="1"/>
  <c r="AG112" i="1"/>
  <c r="AL112" i="1"/>
  <c r="AL104" i="1"/>
  <c r="AG104" i="1"/>
  <c r="AL96" i="1"/>
  <c r="AG96" i="1"/>
  <c r="AL88" i="1"/>
  <c r="AG88" i="1"/>
  <c r="AG80" i="1"/>
  <c r="AL80" i="1"/>
  <c r="AG72" i="1"/>
  <c r="AL72" i="1"/>
  <c r="AG64" i="1"/>
  <c r="AL64" i="1"/>
  <c r="AG56" i="1"/>
  <c r="AL56" i="1"/>
  <c r="AG48" i="1"/>
  <c r="AL48" i="1"/>
  <c r="AL40" i="1"/>
  <c r="AG40" i="1"/>
  <c r="AL32" i="1"/>
  <c r="AG32" i="1"/>
  <c r="AL24" i="1"/>
  <c r="AG24" i="1"/>
  <c r="AL16" i="1"/>
  <c r="AG16" i="1"/>
  <c r="AL8" i="1"/>
  <c r="AG8" i="1"/>
  <c r="W633" i="1"/>
  <c r="W625" i="1"/>
  <c r="W617" i="1"/>
  <c r="W609" i="1"/>
  <c r="W601" i="1"/>
  <c r="W593" i="1"/>
  <c r="W585" i="1"/>
  <c r="W577" i="1"/>
  <c r="W569" i="1"/>
  <c r="W561" i="1"/>
  <c r="W553" i="1"/>
  <c r="W545" i="1"/>
  <c r="W537" i="1"/>
  <c r="W529" i="1"/>
  <c r="W521" i="1"/>
  <c r="W513" i="1"/>
  <c r="W489" i="1"/>
  <c r="W425" i="1"/>
  <c r="W361" i="1"/>
  <c r="W297" i="1"/>
  <c r="W233" i="1"/>
  <c r="W169" i="1"/>
  <c r="W105" i="1"/>
  <c r="AB65" i="1"/>
  <c r="W65" i="1"/>
  <c r="AL611" i="1"/>
  <c r="AM611" i="1" s="1"/>
  <c r="AN611" i="1" s="1"/>
  <c r="AG611" i="1"/>
  <c r="AB486" i="1"/>
  <c r="W486" i="1"/>
  <c r="AB462" i="1"/>
  <c r="W462" i="1"/>
  <c r="AB430" i="1"/>
  <c r="W430" i="1"/>
  <c r="AB406" i="1"/>
  <c r="W406" i="1"/>
  <c r="AB382" i="1"/>
  <c r="W382" i="1"/>
  <c r="AB358" i="1"/>
  <c r="W358" i="1"/>
  <c r="AB334" i="1"/>
  <c r="W334" i="1"/>
  <c r="AB294" i="1"/>
  <c r="W294" i="1"/>
  <c r="AB270" i="1"/>
  <c r="W270" i="1"/>
  <c r="AB246" i="1"/>
  <c r="W246" i="1"/>
  <c r="AB222" i="1"/>
  <c r="W222" i="1"/>
  <c r="AB198" i="1"/>
  <c r="W198" i="1"/>
  <c r="AB174" i="1"/>
  <c r="W174" i="1"/>
  <c r="AB150" i="1"/>
  <c r="W150" i="1"/>
  <c r="AB126" i="1"/>
  <c r="W126" i="1"/>
  <c r="AB102" i="1"/>
  <c r="W102" i="1"/>
  <c r="AB86" i="1"/>
  <c r="W86" i="1"/>
  <c r="AB70" i="1"/>
  <c r="W70" i="1"/>
  <c r="AB53" i="1"/>
  <c r="W53" i="1"/>
  <c r="AB37" i="1"/>
  <c r="W37" i="1"/>
  <c r="AL616" i="1"/>
  <c r="AG616" i="1"/>
  <c r="AL592" i="1"/>
  <c r="AG592" i="1"/>
  <c r="AL584" i="1"/>
  <c r="AG584" i="1"/>
  <c r="AL560" i="1"/>
  <c r="AG560" i="1"/>
  <c r="AL536" i="1"/>
  <c r="AG536" i="1"/>
  <c r="AL512" i="1"/>
  <c r="AG512" i="1"/>
  <c r="AL488" i="1"/>
  <c r="AG488" i="1"/>
  <c r="AG464" i="1"/>
  <c r="AL464" i="1"/>
  <c r="AL440" i="1"/>
  <c r="AG440" i="1"/>
  <c r="AL416" i="1"/>
  <c r="AG416" i="1"/>
  <c r="AL392" i="1"/>
  <c r="AG392" i="1"/>
  <c r="AG368" i="1"/>
  <c r="AL368" i="1"/>
  <c r="AL344" i="1"/>
  <c r="AG344" i="1"/>
  <c r="AG320" i="1"/>
  <c r="AL320" i="1"/>
  <c r="AL296" i="1"/>
  <c r="AG296" i="1"/>
  <c r="AL280" i="1"/>
  <c r="AG280" i="1"/>
  <c r="AG256" i="1"/>
  <c r="AL256" i="1"/>
  <c r="AL224" i="1"/>
  <c r="AG224" i="1"/>
  <c r="AG192" i="1"/>
  <c r="AL192" i="1"/>
  <c r="AG128" i="1"/>
  <c r="AL128" i="1"/>
  <c r="AB6" i="1"/>
  <c r="W6" i="1"/>
  <c r="AB501" i="1"/>
  <c r="W501" i="1"/>
  <c r="AB493" i="1"/>
  <c r="W493" i="1"/>
  <c r="AB485" i="1"/>
  <c r="W485" i="1"/>
  <c r="AB477" i="1"/>
  <c r="W477" i="1"/>
  <c r="AB469" i="1"/>
  <c r="W469" i="1"/>
  <c r="AB461" i="1"/>
  <c r="W461" i="1"/>
  <c r="AB453" i="1"/>
  <c r="W453" i="1"/>
  <c r="AB445" i="1"/>
  <c r="W445" i="1"/>
  <c r="AB437" i="1"/>
  <c r="W437" i="1"/>
  <c r="AB429" i="1"/>
  <c r="W429" i="1"/>
  <c r="AB421" i="1"/>
  <c r="W421" i="1"/>
  <c r="AB413" i="1"/>
  <c r="W413" i="1"/>
  <c r="AB405" i="1"/>
  <c r="W405" i="1"/>
  <c r="AB397" i="1"/>
  <c r="W397" i="1"/>
  <c r="AB389" i="1"/>
  <c r="W389" i="1"/>
  <c r="AB381" i="1"/>
  <c r="W381" i="1"/>
  <c r="AB373" i="1"/>
  <c r="W373" i="1"/>
  <c r="AB365" i="1"/>
  <c r="W365" i="1"/>
  <c r="AB357" i="1"/>
  <c r="W357" i="1"/>
  <c r="AB349" i="1"/>
  <c r="W349" i="1"/>
  <c r="AB341" i="1"/>
  <c r="W341" i="1"/>
  <c r="AB333" i="1"/>
  <c r="W333" i="1"/>
  <c r="AB325" i="1"/>
  <c r="W325" i="1"/>
  <c r="AB317" i="1"/>
  <c r="W317" i="1"/>
  <c r="AB309" i="1"/>
  <c r="W309" i="1"/>
  <c r="AB301" i="1"/>
  <c r="W301" i="1"/>
  <c r="AB293" i="1"/>
  <c r="W293" i="1"/>
  <c r="AB285" i="1"/>
  <c r="W285" i="1"/>
  <c r="AB277" i="1"/>
  <c r="W277" i="1"/>
  <c r="AB269" i="1"/>
  <c r="W269" i="1"/>
  <c r="AB261" i="1"/>
  <c r="W261" i="1"/>
  <c r="AB253" i="1"/>
  <c r="W253" i="1"/>
  <c r="AB245" i="1"/>
  <c r="W245" i="1"/>
  <c r="AB237" i="1"/>
  <c r="W237" i="1"/>
  <c r="AB229" i="1"/>
  <c r="W229" i="1"/>
  <c r="AB221" i="1"/>
  <c r="W221" i="1"/>
  <c r="AB213" i="1"/>
  <c r="W213" i="1"/>
  <c r="AB205" i="1"/>
  <c r="W205" i="1"/>
  <c r="AB197" i="1"/>
  <c r="W197" i="1"/>
  <c r="AB189" i="1"/>
  <c r="W189" i="1"/>
  <c r="AB181" i="1"/>
  <c r="W181" i="1"/>
  <c r="AB173" i="1"/>
  <c r="W173" i="1"/>
  <c r="AB165" i="1"/>
  <c r="W165" i="1"/>
  <c r="AB157" i="1"/>
  <c r="W157" i="1"/>
  <c r="AB149" i="1"/>
  <c r="W149" i="1"/>
  <c r="AB141" i="1"/>
  <c r="W141" i="1"/>
  <c r="AB133" i="1"/>
  <c r="W133" i="1"/>
  <c r="AB125" i="1"/>
  <c r="W125" i="1"/>
  <c r="AB117" i="1"/>
  <c r="W117" i="1"/>
  <c r="AB109" i="1"/>
  <c r="W109" i="1"/>
  <c r="AB101" i="1"/>
  <c r="W101" i="1"/>
  <c r="AB93" i="1"/>
  <c r="W93" i="1"/>
  <c r="AB85" i="1"/>
  <c r="W85" i="1"/>
  <c r="AB77" i="1"/>
  <c r="W77" i="1"/>
  <c r="AB69" i="1"/>
  <c r="W69" i="1"/>
  <c r="AB61" i="1"/>
  <c r="W61" i="1"/>
  <c r="AL631" i="1"/>
  <c r="AG631" i="1"/>
  <c r="AL623" i="1"/>
  <c r="AG623" i="1"/>
  <c r="AL615" i="1"/>
  <c r="AG615" i="1"/>
  <c r="AL607" i="1"/>
  <c r="AG607" i="1"/>
  <c r="AL599" i="1"/>
  <c r="AG599" i="1"/>
  <c r="AL591" i="1"/>
  <c r="AG591" i="1"/>
  <c r="AL583" i="1"/>
  <c r="AG583" i="1"/>
  <c r="AL575" i="1"/>
  <c r="AG575" i="1"/>
  <c r="AL567" i="1"/>
  <c r="AG567" i="1"/>
  <c r="AL559" i="1"/>
  <c r="AG559" i="1"/>
  <c r="AL551" i="1"/>
  <c r="AG551" i="1"/>
  <c r="AL543" i="1"/>
  <c r="AG543" i="1"/>
  <c r="AL535" i="1"/>
  <c r="AG535" i="1"/>
  <c r="AL527" i="1"/>
  <c r="AG527" i="1"/>
  <c r="AL519" i="1"/>
  <c r="AG519" i="1"/>
  <c r="AL511" i="1"/>
  <c r="AG511" i="1"/>
  <c r="AL503" i="1"/>
  <c r="AG503" i="1"/>
  <c r="AL495" i="1"/>
  <c r="AG495" i="1"/>
  <c r="AL487" i="1"/>
  <c r="AG487" i="1"/>
  <c r="AL479" i="1"/>
  <c r="AG479" i="1"/>
  <c r="AL471" i="1"/>
  <c r="AG471" i="1"/>
  <c r="AL463" i="1"/>
  <c r="AG463" i="1"/>
  <c r="AL455" i="1"/>
  <c r="AG455" i="1"/>
  <c r="AL447" i="1"/>
  <c r="AG447" i="1"/>
  <c r="AL439" i="1"/>
  <c r="AG439" i="1"/>
  <c r="AL431" i="1"/>
  <c r="AG431" i="1"/>
  <c r="AL423" i="1"/>
  <c r="AG423" i="1"/>
  <c r="AL415" i="1"/>
  <c r="AG415" i="1"/>
  <c r="AL407" i="1"/>
  <c r="AG407" i="1"/>
  <c r="AL399" i="1"/>
  <c r="AG399" i="1"/>
  <c r="AL391" i="1"/>
  <c r="AG391" i="1"/>
  <c r="AL383" i="1"/>
  <c r="AG383" i="1"/>
  <c r="AL375" i="1"/>
  <c r="AG375" i="1"/>
  <c r="AL367" i="1"/>
  <c r="AG367" i="1"/>
  <c r="AL359" i="1"/>
  <c r="AG359" i="1"/>
  <c r="AL351" i="1"/>
  <c r="AG351" i="1"/>
  <c r="AL343" i="1"/>
  <c r="AG343" i="1"/>
  <c r="AL335" i="1"/>
  <c r="AG335" i="1"/>
  <c r="AL327" i="1"/>
  <c r="AG327" i="1"/>
  <c r="AL319" i="1"/>
  <c r="AG319" i="1"/>
  <c r="AL311" i="1"/>
  <c r="AG311" i="1"/>
  <c r="AL303" i="1"/>
  <c r="AG303" i="1"/>
  <c r="AL295" i="1"/>
  <c r="AG295" i="1"/>
  <c r="AL287" i="1"/>
  <c r="AG287" i="1"/>
  <c r="AL279" i="1"/>
  <c r="AG279" i="1"/>
  <c r="AL271" i="1"/>
  <c r="AG271" i="1"/>
  <c r="AL263" i="1"/>
  <c r="AG263" i="1"/>
  <c r="AL255" i="1"/>
  <c r="AG255" i="1"/>
  <c r="AL247" i="1"/>
  <c r="AG247" i="1"/>
  <c r="AL239" i="1"/>
  <c r="AG239" i="1"/>
  <c r="AL231" i="1"/>
  <c r="AG231" i="1"/>
  <c r="AL223" i="1"/>
  <c r="AG223" i="1"/>
  <c r="AL215" i="1"/>
  <c r="AG215" i="1"/>
  <c r="AL207" i="1"/>
  <c r="AG207" i="1"/>
  <c r="AL199" i="1"/>
  <c r="AG199" i="1"/>
  <c r="AL191" i="1"/>
  <c r="AG191" i="1"/>
  <c r="AL183" i="1"/>
  <c r="AG183" i="1"/>
  <c r="AL175" i="1"/>
  <c r="AG175" i="1"/>
  <c r="AL167" i="1"/>
  <c r="AG167" i="1"/>
  <c r="AL159" i="1"/>
  <c r="AG159" i="1"/>
  <c r="AL151" i="1"/>
  <c r="AG151" i="1"/>
  <c r="AL143" i="1"/>
  <c r="AG143" i="1"/>
  <c r="AL135" i="1"/>
  <c r="AG135" i="1"/>
  <c r="AL127" i="1"/>
  <c r="AG127" i="1"/>
  <c r="AL119" i="1"/>
  <c r="AG119" i="1"/>
  <c r="AL111" i="1"/>
  <c r="AG111" i="1"/>
  <c r="AL103" i="1"/>
  <c r="AG103" i="1"/>
  <c r="AL95" i="1"/>
  <c r="AG95" i="1"/>
  <c r="AL87" i="1"/>
  <c r="AG87" i="1"/>
  <c r="AL79" i="1"/>
  <c r="AG79" i="1"/>
  <c r="AL71" i="1"/>
  <c r="AG71" i="1"/>
  <c r="AL63" i="1"/>
  <c r="AG63" i="1"/>
  <c r="AL55" i="1"/>
  <c r="AG55" i="1"/>
  <c r="AL47" i="1"/>
  <c r="AG47" i="1"/>
  <c r="AL39" i="1"/>
  <c r="AG39" i="1"/>
  <c r="AL31" i="1"/>
  <c r="AG31" i="1"/>
  <c r="AL23" i="1"/>
  <c r="AG23" i="1"/>
  <c r="AL15" i="1"/>
  <c r="AG15" i="1"/>
  <c r="AL7" i="1"/>
  <c r="AG7" i="1"/>
  <c r="H17" i="1"/>
  <c r="H9" i="1"/>
  <c r="W26" i="1"/>
  <c r="W18" i="1"/>
  <c r="W10" i="1"/>
  <c r="W511" i="1"/>
  <c r="W481" i="1"/>
  <c r="W417" i="1"/>
  <c r="W353" i="1"/>
  <c r="W289" i="1"/>
  <c r="W225" i="1"/>
  <c r="W161" i="1"/>
  <c r="W97" i="1"/>
  <c r="AL603" i="1"/>
  <c r="AM603" i="1" s="1"/>
  <c r="AN603" i="1" s="1"/>
  <c r="AG603" i="1"/>
  <c r="AL563" i="1"/>
  <c r="AM563" i="1" s="1"/>
  <c r="AN563" i="1" s="1"/>
  <c r="AG563" i="1"/>
  <c r="AL507" i="1"/>
  <c r="AM507" i="1" s="1"/>
  <c r="AN507" i="1" s="1"/>
  <c r="AG507" i="1"/>
  <c r="AL467" i="1"/>
  <c r="AG467" i="1"/>
  <c r="AL419" i="1"/>
  <c r="AM419" i="1" s="1"/>
  <c r="AN419" i="1" s="1"/>
  <c r="AG419" i="1"/>
  <c r="AL371" i="1"/>
  <c r="AM371" i="1" s="1"/>
  <c r="AN371" i="1" s="1"/>
  <c r="AG371" i="1"/>
  <c r="AL323" i="1"/>
  <c r="AM323" i="1" s="1"/>
  <c r="AN323" i="1" s="1"/>
  <c r="AG323" i="1"/>
  <c r="AL291" i="1"/>
  <c r="AM291" i="1" s="1"/>
  <c r="AN291" i="1" s="1"/>
  <c r="AG291" i="1"/>
  <c r="AL251" i="1"/>
  <c r="AM251" i="1" s="1"/>
  <c r="AN251" i="1" s="1"/>
  <c r="AG251" i="1"/>
  <c r="AL203" i="1"/>
  <c r="AG203" i="1"/>
  <c r="AL163" i="1"/>
  <c r="AG163" i="1"/>
  <c r="AL131" i="1"/>
  <c r="AG131" i="1"/>
  <c r="AL91" i="1"/>
  <c r="AG91" i="1"/>
  <c r="AL75" i="1"/>
  <c r="AG75" i="1"/>
  <c r="AL43" i="1"/>
  <c r="AG43" i="1"/>
  <c r="AL11" i="1"/>
  <c r="AG11" i="1"/>
  <c r="AB502" i="1"/>
  <c r="W502" i="1"/>
  <c r="AB478" i="1"/>
  <c r="W478" i="1"/>
  <c r="AB438" i="1"/>
  <c r="W438" i="1"/>
  <c r="AB414" i="1"/>
  <c r="W414" i="1"/>
  <c r="AB398" i="1"/>
  <c r="W398" i="1"/>
  <c r="AB374" i="1"/>
  <c r="W374" i="1"/>
  <c r="AB350" i="1"/>
  <c r="W350" i="1"/>
  <c r="AB318" i="1"/>
  <c r="W318" i="1"/>
  <c r="AB286" i="1"/>
  <c r="W286" i="1"/>
  <c r="AB262" i="1"/>
  <c r="W262" i="1"/>
  <c r="AB230" i="1"/>
  <c r="W230" i="1"/>
  <c r="AB206" i="1"/>
  <c r="W206" i="1"/>
  <c r="AB182" i="1"/>
  <c r="W182" i="1"/>
  <c r="AB158" i="1"/>
  <c r="W158" i="1"/>
  <c r="AB134" i="1"/>
  <c r="W134" i="1"/>
  <c r="AB118" i="1"/>
  <c r="W118" i="1"/>
  <c r="AB94" i="1"/>
  <c r="W94" i="1"/>
  <c r="AB62" i="1"/>
  <c r="W62" i="1"/>
  <c r="AB45" i="1"/>
  <c r="W45" i="1"/>
  <c r="AB29" i="1"/>
  <c r="W29" i="1"/>
  <c r="AL624" i="1"/>
  <c r="AG624" i="1"/>
  <c r="AL600" i="1"/>
  <c r="AG600" i="1"/>
  <c r="AL576" i="1"/>
  <c r="AG576" i="1"/>
  <c r="AL552" i="1"/>
  <c r="AG552" i="1"/>
  <c r="AL528" i="1"/>
  <c r="AG528" i="1"/>
  <c r="AL504" i="1"/>
  <c r="AG504" i="1"/>
  <c r="AL480" i="1"/>
  <c r="AG480" i="1"/>
  <c r="AL448" i="1"/>
  <c r="AG448" i="1"/>
  <c r="AL424" i="1"/>
  <c r="AG424" i="1"/>
  <c r="AG400" i="1"/>
  <c r="AL400" i="1"/>
  <c r="AG376" i="1"/>
  <c r="AL376" i="1"/>
  <c r="AL352" i="1"/>
  <c r="AG352" i="1"/>
  <c r="AG328" i="1"/>
  <c r="AL328" i="1"/>
  <c r="AG304" i="1"/>
  <c r="AL304" i="1"/>
  <c r="AG272" i="1"/>
  <c r="AL272" i="1"/>
  <c r="AG248" i="1"/>
  <c r="AL248" i="1"/>
  <c r="AL232" i="1"/>
  <c r="AG232" i="1"/>
  <c r="AG200" i="1"/>
  <c r="AL200" i="1"/>
  <c r="AL160" i="1"/>
  <c r="AM160" i="1" s="1"/>
  <c r="AN160" i="1" s="1"/>
  <c r="AG160" i="1"/>
  <c r="AB59" i="1"/>
  <c r="W59" i="1"/>
  <c r="AB51" i="1"/>
  <c r="W51" i="1"/>
  <c r="AB43" i="1"/>
  <c r="W43" i="1"/>
  <c r="AB35" i="1"/>
  <c r="W35" i="1"/>
  <c r="AB27" i="1"/>
  <c r="AB19" i="1"/>
  <c r="AB11" i="1"/>
  <c r="AL630" i="1"/>
  <c r="AG630" i="1"/>
  <c r="AL622" i="1"/>
  <c r="AG622" i="1"/>
  <c r="AL614" i="1"/>
  <c r="AG614" i="1"/>
  <c r="AL606" i="1"/>
  <c r="AG606" i="1"/>
  <c r="AL598" i="1"/>
  <c r="AG598" i="1"/>
  <c r="AL590" i="1"/>
  <c r="AG590" i="1"/>
  <c r="AG582" i="1"/>
  <c r="AL582" i="1"/>
  <c r="AG574" i="1"/>
  <c r="AL574" i="1"/>
  <c r="AG566" i="1"/>
  <c r="AL566" i="1"/>
  <c r="AG558" i="1"/>
  <c r="AL558" i="1"/>
  <c r="AG550" i="1"/>
  <c r="AL550" i="1"/>
  <c r="AG542" i="1"/>
  <c r="AL542" i="1"/>
  <c r="AG534" i="1"/>
  <c r="AL534" i="1"/>
  <c r="AG526" i="1"/>
  <c r="AL526" i="1"/>
  <c r="AG518" i="1"/>
  <c r="AL518" i="1"/>
  <c r="AG510" i="1"/>
  <c r="AL510" i="1"/>
  <c r="AG502" i="1"/>
  <c r="AL502" i="1"/>
  <c r="AG494" i="1"/>
  <c r="AL494" i="1"/>
  <c r="AL486" i="1"/>
  <c r="AG486" i="1"/>
  <c r="AL478" i="1"/>
  <c r="AG478" i="1"/>
  <c r="AL470" i="1"/>
  <c r="AG470" i="1"/>
  <c r="AL462" i="1"/>
  <c r="AG462" i="1"/>
  <c r="AL454" i="1"/>
  <c r="AG454" i="1"/>
  <c r="AL446" i="1"/>
  <c r="AG446" i="1"/>
  <c r="AL438" i="1"/>
  <c r="AG438" i="1"/>
  <c r="AL430" i="1"/>
  <c r="AG430" i="1"/>
  <c r="AL422" i="1"/>
  <c r="AG422" i="1"/>
  <c r="AL414" i="1"/>
  <c r="AG414" i="1"/>
  <c r="AL406" i="1"/>
  <c r="AG406" i="1"/>
  <c r="AL398" i="1"/>
  <c r="AG398" i="1"/>
  <c r="AL390" i="1"/>
  <c r="AG390" i="1"/>
  <c r="AL382" i="1"/>
  <c r="AG382" i="1"/>
  <c r="AL374" i="1"/>
  <c r="AG374" i="1"/>
  <c r="AL366" i="1"/>
  <c r="AG366" i="1"/>
  <c r="AL358" i="1"/>
  <c r="AG358" i="1"/>
  <c r="AL350" i="1"/>
  <c r="AG350" i="1"/>
  <c r="AL342" i="1"/>
  <c r="AG342" i="1"/>
  <c r="AL334" i="1"/>
  <c r="AG334" i="1"/>
  <c r="AL326" i="1"/>
  <c r="AG326" i="1"/>
  <c r="AL318" i="1"/>
  <c r="AG318" i="1"/>
  <c r="AL310" i="1"/>
  <c r="AG310" i="1"/>
  <c r="AL302" i="1"/>
  <c r="AG302" i="1"/>
  <c r="AL294" i="1"/>
  <c r="AG294" i="1"/>
  <c r="AL286" i="1"/>
  <c r="AG286" i="1"/>
  <c r="AL278" i="1"/>
  <c r="AG278" i="1"/>
  <c r="AL270" i="1"/>
  <c r="AG270" i="1"/>
  <c r="AL262" i="1"/>
  <c r="AG262" i="1"/>
  <c r="AL254" i="1"/>
  <c r="AG254" i="1"/>
  <c r="AL246" i="1"/>
  <c r="AG246" i="1"/>
  <c r="AL238" i="1"/>
  <c r="AG238" i="1"/>
  <c r="AL230" i="1"/>
  <c r="AG230" i="1"/>
  <c r="AL222" i="1"/>
  <c r="AG222" i="1"/>
  <c r="AL214" i="1"/>
  <c r="AG214" i="1"/>
  <c r="AL206" i="1"/>
  <c r="AG206" i="1"/>
  <c r="AL198" i="1"/>
  <c r="AG198" i="1"/>
  <c r="AL190" i="1"/>
  <c r="AG190" i="1"/>
  <c r="AL182" i="1"/>
  <c r="AG182" i="1"/>
  <c r="AL174" i="1"/>
  <c r="AG174" i="1"/>
  <c r="AL166" i="1"/>
  <c r="AG166" i="1"/>
  <c r="AL158" i="1"/>
  <c r="AG158" i="1"/>
  <c r="AL150" i="1"/>
  <c r="AG150" i="1"/>
  <c r="AL142" i="1"/>
  <c r="AG142" i="1"/>
  <c r="AL134" i="1"/>
  <c r="AG134" i="1"/>
  <c r="AL126" i="1"/>
  <c r="AG126" i="1"/>
  <c r="AL118" i="1"/>
  <c r="AG118" i="1"/>
  <c r="AL110" i="1"/>
  <c r="AG110" i="1"/>
  <c r="AL102" i="1"/>
  <c r="AG102" i="1"/>
  <c r="AL94" i="1"/>
  <c r="AG94" i="1"/>
  <c r="AL86" i="1"/>
  <c r="AG86" i="1"/>
  <c r="AL78" i="1"/>
  <c r="AG78" i="1"/>
  <c r="AL70" i="1"/>
  <c r="AG70" i="1"/>
  <c r="AL62" i="1"/>
  <c r="AG62" i="1"/>
  <c r="AL54" i="1"/>
  <c r="AG54" i="1"/>
  <c r="AL46" i="1"/>
  <c r="AG46" i="1"/>
  <c r="AL38" i="1"/>
  <c r="AG38" i="1"/>
  <c r="AL30" i="1"/>
  <c r="AG30" i="1"/>
  <c r="AL22" i="1"/>
  <c r="AG22" i="1"/>
  <c r="AL14" i="1"/>
  <c r="AG14" i="1"/>
  <c r="AL6" i="1"/>
  <c r="AG6" i="1"/>
  <c r="H585" i="1"/>
  <c r="H343" i="1"/>
  <c r="W25" i="1"/>
  <c r="W17" i="1"/>
  <c r="W9" i="1"/>
  <c r="W631" i="1"/>
  <c r="W623" i="1"/>
  <c r="W615" i="1"/>
  <c r="W607" i="1"/>
  <c r="W599" i="1"/>
  <c r="W591" i="1"/>
  <c r="W583" i="1"/>
  <c r="W575" i="1"/>
  <c r="W567" i="1"/>
  <c r="W559" i="1"/>
  <c r="W551" i="1"/>
  <c r="W543" i="1"/>
  <c r="W535" i="1"/>
  <c r="W527" i="1"/>
  <c r="W519" i="1"/>
  <c r="W510" i="1"/>
  <c r="W473" i="1"/>
  <c r="W409" i="1"/>
  <c r="W345" i="1"/>
  <c r="W281" i="1"/>
  <c r="W217" i="1"/>
  <c r="W153" i="1"/>
  <c r="W89" i="1"/>
  <c r="AL587" i="1"/>
  <c r="AM587" i="1" s="1"/>
  <c r="AN587" i="1" s="1"/>
  <c r="AG587" i="1"/>
  <c r="AL547" i="1"/>
  <c r="AM547" i="1" s="1"/>
  <c r="AN547" i="1" s="1"/>
  <c r="AG547" i="1"/>
  <c r="AL515" i="1"/>
  <c r="AM515" i="1" s="1"/>
  <c r="AN515" i="1" s="1"/>
  <c r="AG515" i="1"/>
  <c r="AL483" i="1"/>
  <c r="AM483" i="1" s="1"/>
  <c r="AN483" i="1" s="1"/>
  <c r="AG483" i="1"/>
  <c r="AL427" i="1"/>
  <c r="AM427" i="1" s="1"/>
  <c r="AN427" i="1" s="1"/>
  <c r="AG427" i="1"/>
  <c r="AL387" i="1"/>
  <c r="AM387" i="1" s="1"/>
  <c r="AN387" i="1" s="1"/>
  <c r="AG387" i="1"/>
  <c r="AL347" i="1"/>
  <c r="AM347" i="1" s="1"/>
  <c r="AN347" i="1" s="1"/>
  <c r="AG347" i="1"/>
  <c r="AL307" i="1"/>
  <c r="AM307" i="1" s="1"/>
  <c r="AN307" i="1" s="1"/>
  <c r="AG307" i="1"/>
  <c r="AL275" i="1"/>
  <c r="AM275" i="1" s="1"/>
  <c r="AN275" i="1" s="1"/>
  <c r="AG275" i="1"/>
  <c r="AL235" i="1"/>
  <c r="AM235" i="1" s="1"/>
  <c r="AN235" i="1" s="1"/>
  <c r="AG235" i="1"/>
  <c r="AL179" i="1"/>
  <c r="AG179" i="1"/>
  <c r="AL147" i="1"/>
  <c r="AG147" i="1"/>
  <c r="AL107" i="1"/>
  <c r="AG107" i="1"/>
  <c r="AL59" i="1"/>
  <c r="AG59" i="1"/>
  <c r="AL19" i="1"/>
  <c r="AM19" i="1" s="1"/>
  <c r="AN19" i="1" s="1"/>
  <c r="AG19" i="1"/>
  <c r="AB470" i="1"/>
  <c r="W470" i="1"/>
  <c r="AB310" i="1"/>
  <c r="W310" i="1"/>
  <c r="AB619" i="1"/>
  <c r="AB611" i="1"/>
  <c r="AB603" i="1"/>
  <c r="AB595" i="1"/>
  <c r="AB587" i="1"/>
  <c r="AB579" i="1"/>
  <c r="AB571" i="1"/>
  <c r="AB563" i="1"/>
  <c r="AD563" i="1" s="1"/>
  <c r="AE563" i="1" s="1"/>
  <c r="AB555" i="1"/>
  <c r="AB547" i="1"/>
  <c r="AB539" i="1"/>
  <c r="AB531" i="1"/>
  <c r="AB523" i="1"/>
  <c r="AB515" i="1"/>
  <c r="AB507" i="1"/>
  <c r="W507" i="1"/>
  <c r="AB499" i="1"/>
  <c r="W499" i="1"/>
  <c r="AB491" i="1"/>
  <c r="W491" i="1"/>
  <c r="AB483" i="1"/>
  <c r="W483" i="1"/>
  <c r="AB475" i="1"/>
  <c r="W475" i="1"/>
  <c r="AB467" i="1"/>
  <c r="W467" i="1"/>
  <c r="AB459" i="1"/>
  <c r="W459" i="1"/>
  <c r="AB451" i="1"/>
  <c r="W451" i="1"/>
  <c r="AB443" i="1"/>
  <c r="W443" i="1"/>
  <c r="AB435" i="1"/>
  <c r="W435" i="1"/>
  <c r="AB427" i="1"/>
  <c r="W427" i="1"/>
  <c r="AB419" i="1"/>
  <c r="W419" i="1"/>
  <c r="AB411" i="1"/>
  <c r="W411" i="1"/>
  <c r="AB403" i="1"/>
  <c r="W403" i="1"/>
  <c r="AB395" i="1"/>
  <c r="W395" i="1"/>
  <c r="AB387" i="1"/>
  <c r="W387" i="1"/>
  <c r="AB379" i="1"/>
  <c r="W379" i="1"/>
  <c r="AB371" i="1"/>
  <c r="W371" i="1"/>
  <c r="AB363" i="1"/>
  <c r="W363" i="1"/>
  <c r="AB355" i="1"/>
  <c r="W355" i="1"/>
  <c r="AB347" i="1"/>
  <c r="W347" i="1"/>
  <c r="AB339" i="1"/>
  <c r="W339" i="1"/>
  <c r="AB331" i="1"/>
  <c r="W331" i="1"/>
  <c r="AB323" i="1"/>
  <c r="W323" i="1"/>
  <c r="AB315" i="1"/>
  <c r="W315" i="1"/>
  <c r="AB307" i="1"/>
  <c r="W307" i="1"/>
  <c r="AB299" i="1"/>
  <c r="W299" i="1"/>
  <c r="AB291" i="1"/>
  <c r="W291" i="1"/>
  <c r="AB283" i="1"/>
  <c r="W283" i="1"/>
  <c r="AB275" i="1"/>
  <c r="W275" i="1"/>
  <c r="AB267" i="1"/>
  <c r="W267" i="1"/>
  <c r="AB259" i="1"/>
  <c r="W259" i="1"/>
  <c r="AB251" i="1"/>
  <c r="W251" i="1"/>
  <c r="AB243" i="1"/>
  <c r="W243" i="1"/>
  <c r="AB235" i="1"/>
  <c r="W235" i="1"/>
  <c r="AB227" i="1"/>
  <c r="W227" i="1"/>
  <c r="AB219" i="1"/>
  <c r="W219" i="1"/>
  <c r="AB211" i="1"/>
  <c r="W211" i="1"/>
  <c r="AB203" i="1"/>
  <c r="W203" i="1"/>
  <c r="AB195" i="1"/>
  <c r="W195" i="1"/>
  <c r="AB187" i="1"/>
  <c r="W187" i="1"/>
  <c r="AB179" i="1"/>
  <c r="W179" i="1"/>
  <c r="AB171" i="1"/>
  <c r="W171" i="1"/>
  <c r="AB163" i="1"/>
  <c r="W163" i="1"/>
  <c r="AB155" i="1"/>
  <c r="W155" i="1"/>
  <c r="AB147" i="1"/>
  <c r="W147" i="1"/>
  <c r="AB139" i="1"/>
  <c r="W139" i="1"/>
  <c r="AB131" i="1"/>
  <c r="W131" i="1"/>
  <c r="AB123" i="1"/>
  <c r="W123" i="1"/>
  <c r="AB115" i="1"/>
  <c r="W115" i="1"/>
  <c r="AB107" i="1"/>
  <c r="W107" i="1"/>
  <c r="AB99" i="1"/>
  <c r="W99" i="1"/>
  <c r="AB91" i="1"/>
  <c r="W91" i="1"/>
  <c r="AB83" i="1"/>
  <c r="W83" i="1"/>
  <c r="AB75" i="1"/>
  <c r="W75" i="1"/>
  <c r="AB67" i="1"/>
  <c r="W67" i="1"/>
  <c r="AB50" i="1"/>
  <c r="W50" i="1"/>
  <c r="AB34" i="1"/>
  <c r="W34" i="1"/>
  <c r="AL629" i="1"/>
  <c r="AM629" i="1" s="1"/>
  <c r="AN629" i="1" s="1"/>
  <c r="AG629" i="1"/>
  <c r="AL621" i="1"/>
  <c r="AM621" i="1" s="1"/>
  <c r="AN621" i="1" s="1"/>
  <c r="AG621" i="1"/>
  <c r="AL613" i="1"/>
  <c r="AM613" i="1" s="1"/>
  <c r="AN613" i="1" s="1"/>
  <c r="AG613" i="1"/>
  <c r="AL605" i="1"/>
  <c r="AM605" i="1" s="1"/>
  <c r="AN605" i="1" s="1"/>
  <c r="AG605" i="1"/>
  <c r="AL597" i="1"/>
  <c r="AM597" i="1" s="1"/>
  <c r="AN597" i="1" s="1"/>
  <c r="AG597" i="1"/>
  <c r="AL589" i="1"/>
  <c r="AM589" i="1" s="1"/>
  <c r="AN589" i="1" s="1"/>
  <c r="AG589" i="1"/>
  <c r="AL581" i="1"/>
  <c r="AM581" i="1" s="1"/>
  <c r="AN581" i="1" s="1"/>
  <c r="AG581" i="1"/>
  <c r="AL573" i="1"/>
  <c r="AM573" i="1" s="1"/>
  <c r="AN573" i="1" s="1"/>
  <c r="AG573" i="1"/>
  <c r="AL565" i="1"/>
  <c r="AM565" i="1" s="1"/>
  <c r="AN565" i="1" s="1"/>
  <c r="AG565" i="1"/>
  <c r="AL557" i="1"/>
  <c r="AM557" i="1" s="1"/>
  <c r="AN557" i="1" s="1"/>
  <c r="AG557" i="1"/>
  <c r="AL549" i="1"/>
  <c r="AM549" i="1" s="1"/>
  <c r="AN549" i="1" s="1"/>
  <c r="AG549" i="1"/>
  <c r="AL541" i="1"/>
  <c r="AM541" i="1" s="1"/>
  <c r="AN541" i="1" s="1"/>
  <c r="AG541" i="1"/>
  <c r="AL533" i="1"/>
  <c r="AM533" i="1" s="1"/>
  <c r="AN533" i="1" s="1"/>
  <c r="AG533" i="1"/>
  <c r="AL525" i="1"/>
  <c r="AM525" i="1" s="1"/>
  <c r="AN525" i="1" s="1"/>
  <c r="AG525" i="1"/>
  <c r="AL517" i="1"/>
  <c r="AM517" i="1" s="1"/>
  <c r="AN517" i="1" s="1"/>
  <c r="AG517" i="1"/>
  <c r="AL509" i="1"/>
  <c r="AM509" i="1" s="1"/>
  <c r="AN509" i="1" s="1"/>
  <c r="AG509" i="1"/>
  <c r="AL501" i="1"/>
  <c r="AM501" i="1" s="1"/>
  <c r="AN501" i="1" s="1"/>
  <c r="AG501" i="1"/>
  <c r="AL493" i="1"/>
  <c r="AM493" i="1" s="1"/>
  <c r="AN493" i="1" s="1"/>
  <c r="AG493" i="1"/>
  <c r="AL485" i="1"/>
  <c r="AM485" i="1" s="1"/>
  <c r="AN485" i="1" s="1"/>
  <c r="AG485" i="1"/>
  <c r="AL477" i="1"/>
  <c r="AM477" i="1" s="1"/>
  <c r="AN477" i="1" s="1"/>
  <c r="AG477" i="1"/>
  <c r="AL469" i="1"/>
  <c r="AM469" i="1" s="1"/>
  <c r="AN469" i="1" s="1"/>
  <c r="AG469" i="1"/>
  <c r="AL461" i="1"/>
  <c r="AM461" i="1" s="1"/>
  <c r="AN461" i="1" s="1"/>
  <c r="AG461" i="1"/>
  <c r="AL453" i="1"/>
  <c r="AM453" i="1" s="1"/>
  <c r="AN453" i="1" s="1"/>
  <c r="AG453" i="1"/>
  <c r="AL445" i="1"/>
  <c r="AM445" i="1" s="1"/>
  <c r="AN445" i="1" s="1"/>
  <c r="AG445" i="1"/>
  <c r="AL437" i="1"/>
  <c r="AM437" i="1" s="1"/>
  <c r="AN437" i="1" s="1"/>
  <c r="AG437" i="1"/>
  <c r="AL429" i="1"/>
  <c r="AM429" i="1" s="1"/>
  <c r="AN429" i="1" s="1"/>
  <c r="AG429" i="1"/>
  <c r="AL421" i="1"/>
  <c r="AM421" i="1" s="1"/>
  <c r="AN421" i="1" s="1"/>
  <c r="AG421" i="1"/>
  <c r="AL413" i="1"/>
  <c r="AM413" i="1" s="1"/>
  <c r="AN413" i="1" s="1"/>
  <c r="AG413" i="1"/>
  <c r="AL405" i="1"/>
  <c r="AM405" i="1" s="1"/>
  <c r="AN405" i="1" s="1"/>
  <c r="AG405" i="1"/>
  <c r="AL397" i="1"/>
  <c r="AM397" i="1" s="1"/>
  <c r="AN397" i="1" s="1"/>
  <c r="AG397" i="1"/>
  <c r="AL389" i="1"/>
  <c r="AM389" i="1" s="1"/>
  <c r="AN389" i="1" s="1"/>
  <c r="AG389" i="1"/>
  <c r="AL381" i="1"/>
  <c r="AM381" i="1" s="1"/>
  <c r="AN381" i="1" s="1"/>
  <c r="AG381" i="1"/>
  <c r="AL373" i="1"/>
  <c r="AM373" i="1" s="1"/>
  <c r="AN373" i="1" s="1"/>
  <c r="AG373" i="1"/>
  <c r="AL365" i="1"/>
  <c r="AM365" i="1" s="1"/>
  <c r="AN365" i="1" s="1"/>
  <c r="AG365" i="1"/>
  <c r="AL357" i="1"/>
  <c r="AM357" i="1" s="1"/>
  <c r="AN357" i="1" s="1"/>
  <c r="AG357" i="1"/>
  <c r="AL349" i="1"/>
  <c r="AM349" i="1" s="1"/>
  <c r="AN349" i="1" s="1"/>
  <c r="AG349" i="1"/>
  <c r="AL341" i="1"/>
  <c r="AM341" i="1" s="1"/>
  <c r="AN341" i="1" s="1"/>
  <c r="AG341" i="1"/>
  <c r="AL333" i="1"/>
  <c r="AM333" i="1" s="1"/>
  <c r="AN333" i="1" s="1"/>
  <c r="AG333" i="1"/>
  <c r="AL325" i="1"/>
  <c r="AM325" i="1" s="1"/>
  <c r="AN325" i="1" s="1"/>
  <c r="AG325" i="1"/>
  <c r="AL317" i="1"/>
  <c r="AM317" i="1" s="1"/>
  <c r="AN317" i="1" s="1"/>
  <c r="AG317" i="1"/>
  <c r="AL309" i="1"/>
  <c r="AM309" i="1" s="1"/>
  <c r="AN309" i="1" s="1"/>
  <c r="AG309" i="1"/>
  <c r="AL301" i="1"/>
  <c r="AM301" i="1" s="1"/>
  <c r="AN301" i="1" s="1"/>
  <c r="AG301" i="1"/>
  <c r="AL293" i="1"/>
  <c r="AM293" i="1" s="1"/>
  <c r="AN293" i="1" s="1"/>
  <c r="AG293" i="1"/>
  <c r="AL285" i="1"/>
  <c r="AM285" i="1" s="1"/>
  <c r="AN285" i="1" s="1"/>
  <c r="AG285" i="1"/>
  <c r="AL277" i="1"/>
  <c r="AM277" i="1" s="1"/>
  <c r="AN277" i="1" s="1"/>
  <c r="AG277" i="1"/>
  <c r="AL269" i="1"/>
  <c r="AM269" i="1" s="1"/>
  <c r="AN269" i="1" s="1"/>
  <c r="AG269" i="1"/>
  <c r="AL261" i="1"/>
  <c r="AM261" i="1" s="1"/>
  <c r="AN261" i="1" s="1"/>
  <c r="AG261" i="1"/>
  <c r="AL253" i="1"/>
  <c r="AM253" i="1" s="1"/>
  <c r="AN253" i="1" s="1"/>
  <c r="AG253" i="1"/>
  <c r="AL245" i="1"/>
  <c r="AM245" i="1" s="1"/>
  <c r="AN245" i="1" s="1"/>
  <c r="AG245" i="1"/>
  <c r="AL237" i="1"/>
  <c r="AM237" i="1" s="1"/>
  <c r="AN237" i="1" s="1"/>
  <c r="AG237" i="1"/>
  <c r="AL229" i="1"/>
  <c r="AM229" i="1" s="1"/>
  <c r="AN229" i="1" s="1"/>
  <c r="AG229" i="1"/>
  <c r="AL221" i="1"/>
  <c r="AM221" i="1" s="1"/>
  <c r="AN221" i="1" s="1"/>
  <c r="AG221" i="1"/>
  <c r="AL213" i="1"/>
  <c r="AM213" i="1" s="1"/>
  <c r="AN213" i="1" s="1"/>
  <c r="AG213" i="1"/>
  <c r="AL205" i="1"/>
  <c r="AM205" i="1" s="1"/>
  <c r="AN205" i="1" s="1"/>
  <c r="AG205" i="1"/>
  <c r="AL197" i="1"/>
  <c r="AM197" i="1" s="1"/>
  <c r="AN197" i="1" s="1"/>
  <c r="AG197" i="1"/>
  <c r="AL189" i="1"/>
  <c r="AM189" i="1" s="1"/>
  <c r="AN189" i="1" s="1"/>
  <c r="AG189" i="1"/>
  <c r="AL181" i="1"/>
  <c r="AM181" i="1" s="1"/>
  <c r="AN181" i="1" s="1"/>
  <c r="AG181" i="1"/>
  <c r="AL173" i="1"/>
  <c r="AM173" i="1" s="1"/>
  <c r="AN173" i="1" s="1"/>
  <c r="AG173" i="1"/>
  <c r="AL165" i="1"/>
  <c r="AM165" i="1" s="1"/>
  <c r="AN165" i="1" s="1"/>
  <c r="AG165" i="1"/>
  <c r="AL157" i="1"/>
  <c r="AM157" i="1" s="1"/>
  <c r="AN157" i="1" s="1"/>
  <c r="AG157" i="1"/>
  <c r="AL149" i="1"/>
  <c r="AM149" i="1" s="1"/>
  <c r="AN149" i="1" s="1"/>
  <c r="AG149" i="1"/>
  <c r="AL141" i="1"/>
  <c r="AM141" i="1" s="1"/>
  <c r="AN141" i="1" s="1"/>
  <c r="AG141" i="1"/>
  <c r="AL133" i="1"/>
  <c r="AM133" i="1" s="1"/>
  <c r="AN133" i="1" s="1"/>
  <c r="AG133" i="1"/>
  <c r="AL125" i="1"/>
  <c r="AM125" i="1" s="1"/>
  <c r="AN125" i="1" s="1"/>
  <c r="AG125" i="1"/>
  <c r="AL117" i="1"/>
  <c r="AM117" i="1" s="1"/>
  <c r="AN117" i="1" s="1"/>
  <c r="AG117" i="1"/>
  <c r="AL109" i="1"/>
  <c r="AM109" i="1" s="1"/>
  <c r="AN109" i="1" s="1"/>
  <c r="AG109" i="1"/>
  <c r="AL101" i="1"/>
  <c r="AM101" i="1" s="1"/>
  <c r="AN101" i="1" s="1"/>
  <c r="AG101" i="1"/>
  <c r="AL93" i="1"/>
  <c r="AM93" i="1" s="1"/>
  <c r="AN93" i="1" s="1"/>
  <c r="AG93" i="1"/>
  <c r="AL85" i="1"/>
  <c r="AM85" i="1" s="1"/>
  <c r="AN85" i="1" s="1"/>
  <c r="AG85" i="1"/>
  <c r="AL77" i="1"/>
  <c r="AM77" i="1" s="1"/>
  <c r="AN77" i="1" s="1"/>
  <c r="AG77" i="1"/>
  <c r="AL69" i="1"/>
  <c r="AM69" i="1" s="1"/>
  <c r="AN69" i="1" s="1"/>
  <c r="AG69" i="1"/>
  <c r="AL61" i="1"/>
  <c r="AM61" i="1" s="1"/>
  <c r="AN61" i="1" s="1"/>
  <c r="AG61" i="1"/>
  <c r="AL53" i="1"/>
  <c r="AM53" i="1" s="1"/>
  <c r="AN53" i="1" s="1"/>
  <c r="AG53" i="1"/>
  <c r="AL45" i="1"/>
  <c r="AM45" i="1" s="1"/>
  <c r="AN45" i="1" s="1"/>
  <c r="AG45" i="1"/>
  <c r="AL37" i="1"/>
  <c r="AM37" i="1" s="1"/>
  <c r="AN37" i="1" s="1"/>
  <c r="AG37" i="1"/>
  <c r="AL29" i="1"/>
  <c r="AM29" i="1" s="1"/>
  <c r="AN29" i="1" s="1"/>
  <c r="AG29" i="1"/>
  <c r="AL21" i="1"/>
  <c r="AM21" i="1" s="1"/>
  <c r="AN21" i="1" s="1"/>
  <c r="AG21" i="1"/>
  <c r="AL13" i="1"/>
  <c r="AM13" i="1" s="1"/>
  <c r="AN13" i="1" s="1"/>
  <c r="AG13" i="1"/>
  <c r="AL5" i="1"/>
  <c r="AM5" i="1" s="1"/>
  <c r="AN5" i="1" s="1"/>
  <c r="AG5" i="1"/>
  <c r="H439" i="1"/>
  <c r="H175" i="1"/>
  <c r="W630" i="1"/>
  <c r="W622" i="1"/>
  <c r="W614" i="1"/>
  <c r="W606" i="1"/>
  <c r="W598" i="1"/>
  <c r="W590" i="1"/>
  <c r="W582" i="1"/>
  <c r="W574" i="1"/>
  <c r="W566" i="1"/>
  <c r="W558" i="1"/>
  <c r="W550" i="1"/>
  <c r="W542" i="1"/>
  <c r="W534" i="1"/>
  <c r="W526" i="1"/>
  <c r="W518" i="1"/>
  <c r="W509" i="1"/>
  <c r="W465" i="1"/>
  <c r="W401" i="1"/>
  <c r="W337" i="1"/>
  <c r="W273" i="1"/>
  <c r="W209" i="1"/>
  <c r="W145" i="1"/>
  <c r="W81" i="1"/>
  <c r="D1" i="9"/>
  <c r="C88" i="9"/>
  <c r="C80" i="9"/>
  <c r="C72" i="9"/>
  <c r="C64" i="9"/>
  <c r="C56" i="9"/>
  <c r="C48" i="9"/>
  <c r="C40" i="9"/>
  <c r="C32" i="9"/>
  <c r="C24" i="9"/>
  <c r="C16" i="9"/>
  <c r="C8" i="9"/>
  <c r="C87" i="9"/>
  <c r="C79" i="9"/>
  <c r="C71" i="9"/>
  <c r="C63" i="9"/>
  <c r="C55" i="9"/>
  <c r="C47" i="9"/>
  <c r="C39" i="9"/>
  <c r="C31" i="9"/>
  <c r="C23" i="9"/>
  <c r="C15" i="9"/>
  <c r="C7" i="9"/>
  <c r="C86" i="9"/>
  <c r="C78" i="9"/>
  <c r="C70" i="9"/>
  <c r="C62" i="9"/>
  <c r="C54" i="9"/>
  <c r="C46" i="9"/>
  <c r="C38" i="9"/>
  <c r="C30" i="9"/>
  <c r="C22" i="9"/>
  <c r="C14" i="9"/>
  <c r="C6" i="9"/>
  <c r="C85" i="9"/>
  <c r="C77" i="9"/>
  <c r="C69" i="9"/>
  <c r="C61" i="9"/>
  <c r="C53" i="9"/>
  <c r="C45" i="9"/>
  <c r="C37" i="9"/>
  <c r="C29" i="9"/>
  <c r="C21" i="9"/>
  <c r="C13" i="9"/>
  <c r="C5" i="9"/>
  <c r="C84" i="9"/>
  <c r="C76" i="9"/>
  <c r="C68" i="9"/>
  <c r="C60" i="9"/>
  <c r="C52" i="9"/>
  <c r="C44" i="9"/>
  <c r="C36" i="9"/>
  <c r="C28" i="9"/>
  <c r="C20" i="9"/>
  <c r="C12" i="9"/>
  <c r="C4" i="9"/>
  <c r="C83" i="9"/>
  <c r="C75" i="9"/>
  <c r="C67" i="9"/>
  <c r="C59" i="9"/>
  <c r="C51" i="9"/>
  <c r="C43" i="9"/>
  <c r="C35" i="9"/>
  <c r="C27" i="9"/>
  <c r="C19" i="9"/>
  <c r="C11" i="9"/>
  <c r="C3" i="9"/>
  <c r="D16" i="9" s="1"/>
  <c r="C82" i="9"/>
  <c r="C74" i="9"/>
  <c r="C66" i="9"/>
  <c r="C58" i="9"/>
  <c r="C50" i="9"/>
  <c r="C42" i="9"/>
  <c r="C34" i="9"/>
  <c r="C26" i="9"/>
  <c r="C18" i="9"/>
  <c r="C10" i="9"/>
  <c r="AM186" i="1"/>
  <c r="AN186" i="1" s="1"/>
  <c r="AH14" i="1"/>
  <c r="AM83" i="1"/>
  <c r="AN83" i="1" s="1"/>
  <c r="AM203" i="1"/>
  <c r="AN203" i="1" s="1"/>
  <c r="AM339" i="1"/>
  <c r="AN339" i="1" s="1"/>
  <c r="AM403" i="1"/>
  <c r="AN403" i="1" s="1"/>
  <c r="AM467" i="1"/>
  <c r="AN467" i="1" s="1"/>
  <c r="AM531" i="1"/>
  <c r="AN531" i="1" s="1"/>
  <c r="AM595" i="1"/>
  <c r="AN595" i="1" s="1"/>
  <c r="AM628" i="1"/>
  <c r="AN628" i="1" s="1"/>
  <c r="AM167" i="1"/>
  <c r="AN167" i="1" s="1"/>
  <c r="AM255" i="1"/>
  <c r="AN255" i="1" s="1"/>
  <c r="AM271" i="1"/>
  <c r="AN271" i="1" s="1"/>
  <c r="AM327" i="1"/>
  <c r="AN327" i="1" s="1"/>
  <c r="AM391" i="1"/>
  <c r="AN391" i="1" s="1"/>
  <c r="AM455" i="1"/>
  <c r="AN455" i="1" s="1"/>
  <c r="AM519" i="1"/>
  <c r="AN519" i="1" s="1"/>
  <c r="AM583" i="1"/>
  <c r="AN583" i="1" s="1"/>
  <c r="AM607" i="1"/>
  <c r="AN607" i="1" s="1"/>
  <c r="AM288" i="1"/>
  <c r="AN288" i="1" s="1"/>
  <c r="AM352" i="1"/>
  <c r="AN352" i="1" s="1"/>
  <c r="AM416" i="1"/>
  <c r="AN416" i="1" s="1"/>
  <c r="AM480" i="1"/>
  <c r="AN480" i="1" s="1"/>
  <c r="AM544" i="1"/>
  <c r="AN544" i="1" s="1"/>
  <c r="AM41" i="1"/>
  <c r="AN41" i="1" s="1"/>
  <c r="AM49" i="1"/>
  <c r="AN49" i="1" s="1"/>
  <c r="AM65" i="1"/>
  <c r="AN65" i="1" s="1"/>
  <c r="AM105" i="1"/>
  <c r="AN105" i="1" s="1"/>
  <c r="AM145" i="1"/>
  <c r="AN145" i="1" s="1"/>
  <c r="AM313" i="1"/>
  <c r="AN313" i="1" s="1"/>
  <c r="AM377" i="1"/>
  <c r="AN377" i="1" s="1"/>
  <c r="AM441" i="1"/>
  <c r="AN441" i="1" s="1"/>
  <c r="AM505" i="1"/>
  <c r="AN505" i="1" s="1"/>
  <c r="AM569" i="1"/>
  <c r="AN569" i="1" s="1"/>
  <c r="AM617" i="1"/>
  <c r="AN617" i="1" s="1"/>
  <c r="AM630" i="1"/>
  <c r="AN630" i="1" s="1"/>
  <c r="AM622" i="1"/>
  <c r="AN622" i="1" s="1"/>
  <c r="AM614" i="1"/>
  <c r="AN614" i="1" s="1"/>
  <c r="AM606" i="1"/>
  <c r="AN606" i="1" s="1"/>
  <c r="AM598" i="1"/>
  <c r="AN598" i="1" s="1"/>
  <c r="AM590" i="1"/>
  <c r="AN590" i="1" s="1"/>
  <c r="AM582" i="1"/>
  <c r="AN582" i="1" s="1"/>
  <c r="AM574" i="1"/>
  <c r="AN574" i="1" s="1"/>
  <c r="AM566" i="1"/>
  <c r="AN566" i="1" s="1"/>
  <c r="AM558" i="1"/>
  <c r="AN558" i="1" s="1"/>
  <c r="AM550" i="1"/>
  <c r="AN550" i="1" s="1"/>
  <c r="AM542" i="1"/>
  <c r="AN542" i="1" s="1"/>
  <c r="AM534" i="1"/>
  <c r="AN534" i="1" s="1"/>
  <c r="AM526" i="1"/>
  <c r="AN526" i="1" s="1"/>
  <c r="AM518" i="1"/>
  <c r="AN518" i="1" s="1"/>
  <c r="AM510" i="1"/>
  <c r="AN510" i="1" s="1"/>
  <c r="AM502" i="1"/>
  <c r="AN502" i="1" s="1"/>
  <c r="AM494" i="1"/>
  <c r="AN494" i="1" s="1"/>
  <c r="AM486" i="1"/>
  <c r="AN486" i="1" s="1"/>
  <c r="AM478" i="1"/>
  <c r="AN478" i="1" s="1"/>
  <c r="AM470" i="1"/>
  <c r="AN470" i="1" s="1"/>
  <c r="AM462" i="1"/>
  <c r="AN462" i="1" s="1"/>
  <c r="AM454" i="1"/>
  <c r="AN454" i="1" s="1"/>
  <c r="AM446" i="1"/>
  <c r="AN446" i="1" s="1"/>
  <c r="AM438" i="1"/>
  <c r="AN438" i="1" s="1"/>
  <c r="AM430" i="1"/>
  <c r="AN430" i="1" s="1"/>
  <c r="AM422" i="1"/>
  <c r="AN422" i="1" s="1"/>
  <c r="AM414" i="1"/>
  <c r="AN414" i="1" s="1"/>
  <c r="AM406" i="1"/>
  <c r="AN406" i="1" s="1"/>
  <c r="AM398" i="1"/>
  <c r="AN398" i="1" s="1"/>
  <c r="AM390" i="1"/>
  <c r="AN390" i="1" s="1"/>
  <c r="AM382" i="1"/>
  <c r="AN382" i="1" s="1"/>
  <c r="AM374" i="1"/>
  <c r="AN374" i="1" s="1"/>
  <c r="AM366" i="1"/>
  <c r="AN366" i="1" s="1"/>
  <c r="AM358" i="1"/>
  <c r="AN358" i="1" s="1"/>
  <c r="AM350" i="1"/>
  <c r="AN350" i="1" s="1"/>
  <c r="AM342" i="1"/>
  <c r="AN342" i="1" s="1"/>
  <c r="AM334" i="1"/>
  <c r="AN334" i="1" s="1"/>
  <c r="AM326" i="1"/>
  <c r="AN326" i="1" s="1"/>
  <c r="AM318" i="1"/>
  <c r="AN318" i="1" s="1"/>
  <c r="AM310" i="1"/>
  <c r="AN310" i="1" s="1"/>
  <c r="AM302" i="1"/>
  <c r="AN302" i="1" s="1"/>
  <c r="AM294" i="1"/>
  <c r="AN294" i="1" s="1"/>
  <c r="AM286" i="1"/>
  <c r="AN286" i="1" s="1"/>
  <c r="AM278" i="1"/>
  <c r="AN278" i="1" s="1"/>
  <c r="AM270" i="1"/>
  <c r="AN270" i="1" s="1"/>
  <c r="AM262" i="1"/>
  <c r="AN262" i="1" s="1"/>
  <c r="AM254" i="1"/>
  <c r="AN254" i="1" s="1"/>
  <c r="AM246" i="1"/>
  <c r="AN246" i="1" s="1"/>
  <c r="AM238" i="1"/>
  <c r="AN238" i="1" s="1"/>
  <c r="AM230" i="1"/>
  <c r="AN230" i="1" s="1"/>
  <c r="AM222" i="1"/>
  <c r="AN222" i="1" s="1"/>
  <c r="AM214" i="1"/>
  <c r="AN214" i="1" s="1"/>
  <c r="AM206" i="1"/>
  <c r="AN206" i="1" s="1"/>
  <c r="AM198" i="1"/>
  <c r="AN198" i="1" s="1"/>
  <c r="AM190" i="1"/>
  <c r="AN190" i="1" s="1"/>
  <c r="AM182" i="1"/>
  <c r="AN182" i="1" s="1"/>
  <c r="AM174" i="1"/>
  <c r="AN174" i="1" s="1"/>
  <c r="AM166" i="1"/>
  <c r="AN166" i="1" s="1"/>
  <c r="AM158" i="1"/>
  <c r="AN158" i="1" s="1"/>
  <c r="AM150" i="1"/>
  <c r="AN150" i="1" s="1"/>
  <c r="AM142" i="1"/>
  <c r="AN142" i="1" s="1"/>
  <c r="AM134" i="1"/>
  <c r="AN134" i="1" s="1"/>
  <c r="AM126" i="1"/>
  <c r="AN126" i="1" s="1"/>
  <c r="AM118" i="1"/>
  <c r="AN118" i="1" s="1"/>
  <c r="AM110" i="1"/>
  <c r="AN110" i="1" s="1"/>
  <c r="AM102" i="1"/>
  <c r="AN102" i="1" s="1"/>
  <c r="AM94" i="1"/>
  <c r="AN94" i="1" s="1"/>
  <c r="AM86" i="1"/>
  <c r="AN86" i="1" s="1"/>
  <c r="AM78" i="1"/>
  <c r="AN78" i="1" s="1"/>
  <c r="AM70" i="1"/>
  <c r="AN70" i="1" s="1"/>
  <c r="AM62" i="1"/>
  <c r="AN62" i="1" s="1"/>
  <c r="AM54" i="1"/>
  <c r="AN54" i="1" s="1"/>
  <c r="AM46" i="1"/>
  <c r="AN46" i="1" s="1"/>
  <c r="AM38" i="1"/>
  <c r="AN38" i="1" s="1"/>
  <c r="AM30" i="1"/>
  <c r="AN30" i="1" s="1"/>
  <c r="AM22" i="1"/>
  <c r="AN22" i="1" s="1"/>
  <c r="AM14" i="1"/>
  <c r="AN14" i="1" s="1"/>
  <c r="AM6" i="1"/>
  <c r="AN6" i="1" s="1"/>
  <c r="AM620" i="1"/>
  <c r="AN620" i="1" s="1"/>
  <c r="AM612" i="1"/>
  <c r="AN612" i="1" s="1"/>
  <c r="AM604" i="1"/>
  <c r="AN604" i="1" s="1"/>
  <c r="AM596" i="1"/>
  <c r="AN596" i="1" s="1"/>
  <c r="AM588" i="1"/>
  <c r="AN588" i="1" s="1"/>
  <c r="AM580" i="1"/>
  <c r="AN580" i="1" s="1"/>
  <c r="AM572" i="1"/>
  <c r="AN572" i="1" s="1"/>
  <c r="AM564" i="1"/>
  <c r="AN564" i="1" s="1"/>
  <c r="AM556" i="1"/>
  <c r="AN556" i="1" s="1"/>
  <c r="AM548" i="1"/>
  <c r="AN548" i="1" s="1"/>
  <c r="AM540" i="1"/>
  <c r="AN540" i="1" s="1"/>
  <c r="AM532" i="1"/>
  <c r="AN532" i="1" s="1"/>
  <c r="AM524" i="1"/>
  <c r="AN524" i="1" s="1"/>
  <c r="AM516" i="1"/>
  <c r="AN516" i="1" s="1"/>
  <c r="AM508" i="1"/>
  <c r="AN508" i="1" s="1"/>
  <c r="AM500" i="1"/>
  <c r="AN500" i="1" s="1"/>
  <c r="AM492" i="1"/>
  <c r="AN492" i="1" s="1"/>
  <c r="AM484" i="1"/>
  <c r="AN484" i="1" s="1"/>
  <c r="AM476" i="1"/>
  <c r="AN476" i="1" s="1"/>
  <c r="AM468" i="1"/>
  <c r="AN468" i="1" s="1"/>
  <c r="AM460" i="1"/>
  <c r="AN460" i="1" s="1"/>
  <c r="AM452" i="1"/>
  <c r="AN452" i="1" s="1"/>
  <c r="AM444" i="1"/>
  <c r="AN444" i="1" s="1"/>
  <c r="AM436" i="1"/>
  <c r="AN436" i="1" s="1"/>
  <c r="AM428" i="1"/>
  <c r="AN428" i="1" s="1"/>
  <c r="AM420" i="1"/>
  <c r="AN420" i="1" s="1"/>
  <c r="AM412" i="1"/>
  <c r="AN412" i="1" s="1"/>
  <c r="AM404" i="1"/>
  <c r="AN404" i="1" s="1"/>
  <c r="AM396" i="1"/>
  <c r="AN396" i="1" s="1"/>
  <c r="AM388" i="1"/>
  <c r="AN388" i="1" s="1"/>
  <c r="AM380" i="1"/>
  <c r="AN380" i="1" s="1"/>
  <c r="AM372" i="1"/>
  <c r="AN372" i="1" s="1"/>
  <c r="AM364" i="1"/>
  <c r="AN364" i="1" s="1"/>
  <c r="AM356" i="1"/>
  <c r="AN356" i="1" s="1"/>
  <c r="AM348" i="1"/>
  <c r="AN348" i="1" s="1"/>
  <c r="AM340" i="1"/>
  <c r="AN340" i="1" s="1"/>
  <c r="AM332" i="1"/>
  <c r="AN332" i="1" s="1"/>
  <c r="AM324" i="1"/>
  <c r="AN324" i="1" s="1"/>
  <c r="AM316" i="1"/>
  <c r="AN316" i="1" s="1"/>
  <c r="AM308" i="1"/>
  <c r="AN308" i="1" s="1"/>
  <c r="AM300" i="1"/>
  <c r="AN300" i="1" s="1"/>
  <c r="AM292" i="1"/>
  <c r="AN292" i="1" s="1"/>
  <c r="AM284" i="1"/>
  <c r="AN284" i="1" s="1"/>
  <c r="AM276" i="1"/>
  <c r="AN276" i="1" s="1"/>
  <c r="AM268" i="1"/>
  <c r="AN268" i="1" s="1"/>
  <c r="AM260" i="1"/>
  <c r="AN260" i="1" s="1"/>
  <c r="AM252" i="1"/>
  <c r="AN252" i="1" s="1"/>
  <c r="AM244" i="1"/>
  <c r="AN244" i="1" s="1"/>
  <c r="AM236" i="1"/>
  <c r="AN236" i="1" s="1"/>
  <c r="AM228" i="1"/>
  <c r="AN228" i="1" s="1"/>
  <c r="AM220" i="1"/>
  <c r="AN220" i="1" s="1"/>
  <c r="AM212" i="1"/>
  <c r="AN212" i="1" s="1"/>
  <c r="AM204" i="1"/>
  <c r="AN204" i="1" s="1"/>
  <c r="AM196" i="1"/>
  <c r="AN196" i="1" s="1"/>
  <c r="AM188" i="1"/>
  <c r="AN188" i="1" s="1"/>
  <c r="AM180" i="1"/>
  <c r="AN180" i="1" s="1"/>
  <c r="AM172" i="1"/>
  <c r="AN172" i="1" s="1"/>
  <c r="AM164" i="1"/>
  <c r="AN164" i="1" s="1"/>
  <c r="AM156" i="1"/>
  <c r="AN156" i="1" s="1"/>
  <c r="AM148" i="1"/>
  <c r="AN148" i="1" s="1"/>
  <c r="AM140" i="1"/>
  <c r="AN140" i="1" s="1"/>
  <c r="AM132" i="1"/>
  <c r="AN132" i="1" s="1"/>
  <c r="AM124" i="1"/>
  <c r="AN124" i="1" s="1"/>
  <c r="AM116" i="1"/>
  <c r="AN116" i="1" s="1"/>
  <c r="AM108" i="1"/>
  <c r="AN108" i="1" s="1"/>
  <c r="AM100" i="1"/>
  <c r="AN100" i="1" s="1"/>
  <c r="AM92" i="1"/>
  <c r="AN92" i="1" s="1"/>
  <c r="AM84" i="1"/>
  <c r="AN84" i="1" s="1"/>
  <c r="AM76" i="1"/>
  <c r="AN76" i="1" s="1"/>
  <c r="AM68" i="1"/>
  <c r="AN68" i="1" s="1"/>
  <c r="AM60" i="1"/>
  <c r="AN60" i="1" s="1"/>
  <c r="AM52" i="1"/>
  <c r="AN52" i="1" s="1"/>
  <c r="AM44" i="1"/>
  <c r="AN44" i="1" s="1"/>
  <c r="AM36" i="1"/>
  <c r="AN36" i="1" s="1"/>
  <c r="AM28" i="1"/>
  <c r="AN28" i="1" s="1"/>
  <c r="AM20" i="1"/>
  <c r="AN20" i="1" s="1"/>
  <c r="AM12" i="1"/>
  <c r="AN12" i="1" s="1"/>
  <c r="AM4" i="1"/>
  <c r="AN4" i="1" s="1"/>
  <c r="AM195" i="1"/>
  <c r="AN195" i="1" s="1"/>
  <c r="AM187" i="1"/>
  <c r="AN187" i="1" s="1"/>
  <c r="AM179" i="1"/>
  <c r="AN179" i="1" s="1"/>
  <c r="AM171" i="1"/>
  <c r="AN171" i="1" s="1"/>
  <c r="AM163" i="1"/>
  <c r="AN163" i="1" s="1"/>
  <c r="AM155" i="1"/>
  <c r="AN155" i="1" s="1"/>
  <c r="AM147" i="1"/>
  <c r="AN147" i="1" s="1"/>
  <c r="AM139" i="1"/>
  <c r="AN139" i="1" s="1"/>
  <c r="AM131" i="1"/>
  <c r="AN131" i="1" s="1"/>
  <c r="AM123" i="1"/>
  <c r="AN123" i="1" s="1"/>
  <c r="AM115" i="1"/>
  <c r="AN115" i="1" s="1"/>
  <c r="AM107" i="1"/>
  <c r="AN107" i="1" s="1"/>
  <c r="AM99" i="1"/>
  <c r="AN99" i="1" s="1"/>
  <c r="AM91" i="1"/>
  <c r="AN91" i="1" s="1"/>
  <c r="AM75" i="1"/>
  <c r="AN75" i="1" s="1"/>
  <c r="AM67" i="1"/>
  <c r="AN67" i="1" s="1"/>
  <c r="AM59" i="1"/>
  <c r="AN59" i="1" s="1"/>
  <c r="AM51" i="1"/>
  <c r="AN51" i="1" s="1"/>
  <c r="AM43" i="1"/>
  <c r="AN43" i="1" s="1"/>
  <c r="AM35" i="1"/>
  <c r="AN35" i="1" s="1"/>
  <c r="AM27" i="1"/>
  <c r="AN27" i="1" s="1"/>
  <c r="AM11" i="1"/>
  <c r="AN11" i="1" s="1"/>
  <c r="AM3" i="1"/>
  <c r="AN3" i="1" s="1"/>
  <c r="AM626" i="1"/>
  <c r="AN626" i="1" s="1"/>
  <c r="AM618" i="1"/>
  <c r="AN618" i="1" s="1"/>
  <c r="AM610" i="1"/>
  <c r="AN610" i="1" s="1"/>
  <c r="AM602" i="1"/>
  <c r="AN602" i="1" s="1"/>
  <c r="AM594" i="1"/>
  <c r="AN594" i="1" s="1"/>
  <c r="AM586" i="1"/>
  <c r="AN586" i="1" s="1"/>
  <c r="AM578" i="1"/>
  <c r="AN578" i="1" s="1"/>
  <c r="AM570" i="1"/>
  <c r="AN570" i="1" s="1"/>
  <c r="AM562" i="1"/>
  <c r="AN562" i="1" s="1"/>
  <c r="AM554" i="1"/>
  <c r="AN554" i="1" s="1"/>
  <c r="AM546" i="1"/>
  <c r="AN546" i="1" s="1"/>
  <c r="AM538" i="1"/>
  <c r="AN538" i="1" s="1"/>
  <c r="AM530" i="1"/>
  <c r="AN530" i="1" s="1"/>
  <c r="AM522" i="1"/>
  <c r="AN522" i="1" s="1"/>
  <c r="AM514" i="1"/>
  <c r="AN514" i="1" s="1"/>
  <c r="AM506" i="1"/>
  <c r="AN506" i="1" s="1"/>
  <c r="AM498" i="1"/>
  <c r="AN498" i="1" s="1"/>
  <c r="AM490" i="1"/>
  <c r="AN490" i="1" s="1"/>
  <c r="AM482" i="1"/>
  <c r="AN482" i="1" s="1"/>
  <c r="AM474" i="1"/>
  <c r="AN474" i="1" s="1"/>
  <c r="AM466" i="1"/>
  <c r="AN466" i="1" s="1"/>
  <c r="AM458" i="1"/>
  <c r="AN458" i="1" s="1"/>
  <c r="AM450" i="1"/>
  <c r="AN450" i="1" s="1"/>
  <c r="AM442" i="1"/>
  <c r="AN442" i="1" s="1"/>
  <c r="AM434" i="1"/>
  <c r="AN434" i="1" s="1"/>
  <c r="AM426" i="1"/>
  <c r="AN426" i="1" s="1"/>
  <c r="AM418" i="1"/>
  <c r="AN418" i="1" s="1"/>
  <c r="AM410" i="1"/>
  <c r="AN410" i="1" s="1"/>
  <c r="AM402" i="1"/>
  <c r="AN402" i="1" s="1"/>
  <c r="AM394" i="1"/>
  <c r="AN394" i="1" s="1"/>
  <c r="AM386" i="1"/>
  <c r="AN386" i="1" s="1"/>
  <c r="AM378" i="1"/>
  <c r="AN378" i="1" s="1"/>
  <c r="AM370" i="1"/>
  <c r="AN370" i="1" s="1"/>
  <c r="AM362" i="1"/>
  <c r="AN362" i="1" s="1"/>
  <c r="AM354" i="1"/>
  <c r="AN354" i="1" s="1"/>
  <c r="AM346" i="1"/>
  <c r="AN346" i="1" s="1"/>
  <c r="AM338" i="1"/>
  <c r="AN338" i="1" s="1"/>
  <c r="AM330" i="1"/>
  <c r="AN330" i="1" s="1"/>
  <c r="AM322" i="1"/>
  <c r="AN322" i="1" s="1"/>
  <c r="AM314" i="1"/>
  <c r="AN314" i="1" s="1"/>
  <c r="AM306" i="1"/>
  <c r="AN306" i="1" s="1"/>
  <c r="AM298" i="1"/>
  <c r="AN298" i="1" s="1"/>
  <c r="AM290" i="1"/>
  <c r="AN290" i="1" s="1"/>
  <c r="AM282" i="1"/>
  <c r="AN282" i="1" s="1"/>
  <c r="AM274" i="1"/>
  <c r="AN274" i="1" s="1"/>
  <c r="AM266" i="1"/>
  <c r="AN266" i="1" s="1"/>
  <c r="AM258" i="1"/>
  <c r="AN258" i="1" s="1"/>
  <c r="AM250" i="1"/>
  <c r="AN250" i="1" s="1"/>
  <c r="AM242" i="1"/>
  <c r="AN242" i="1" s="1"/>
  <c r="AM234" i="1"/>
  <c r="AN234" i="1" s="1"/>
  <c r="AM226" i="1"/>
  <c r="AN226" i="1" s="1"/>
  <c r="AM218" i="1"/>
  <c r="AN218" i="1" s="1"/>
  <c r="AM210" i="1"/>
  <c r="AN210" i="1" s="1"/>
  <c r="AM202" i="1"/>
  <c r="AN202" i="1" s="1"/>
  <c r="AM194" i="1"/>
  <c r="AN194" i="1" s="1"/>
  <c r="AM178" i="1"/>
  <c r="AN178" i="1" s="1"/>
  <c r="AM170" i="1"/>
  <c r="AN170" i="1" s="1"/>
  <c r="AM162" i="1"/>
  <c r="AN162" i="1" s="1"/>
  <c r="AM154" i="1"/>
  <c r="AN154" i="1" s="1"/>
  <c r="AM146" i="1"/>
  <c r="AN146" i="1" s="1"/>
  <c r="AM138" i="1"/>
  <c r="AN138" i="1" s="1"/>
  <c r="AM130" i="1"/>
  <c r="AN130" i="1" s="1"/>
  <c r="AM122" i="1"/>
  <c r="AN122" i="1" s="1"/>
  <c r="AM114" i="1"/>
  <c r="AN114" i="1" s="1"/>
  <c r="AM106" i="1"/>
  <c r="AN106" i="1" s="1"/>
  <c r="AM98" i="1"/>
  <c r="AN98" i="1" s="1"/>
  <c r="AM90" i="1"/>
  <c r="AN90" i="1" s="1"/>
  <c r="AM82" i="1"/>
  <c r="AN82" i="1" s="1"/>
  <c r="AM74" i="1"/>
  <c r="AN74" i="1" s="1"/>
  <c r="AM66" i="1"/>
  <c r="AN66" i="1" s="1"/>
  <c r="AM58" i="1"/>
  <c r="AN58" i="1" s="1"/>
  <c r="AM50" i="1"/>
  <c r="AN50" i="1" s="1"/>
  <c r="AM42" i="1"/>
  <c r="AN42" i="1" s="1"/>
  <c r="AM34" i="1"/>
  <c r="AN34" i="1" s="1"/>
  <c r="AM26" i="1"/>
  <c r="AN26" i="1" s="1"/>
  <c r="AM18" i="1"/>
  <c r="AN18" i="1" s="1"/>
  <c r="AM10" i="1"/>
  <c r="AN10" i="1" s="1"/>
  <c r="AM2" i="1"/>
  <c r="AM633" i="1"/>
  <c r="AN633" i="1" s="1"/>
  <c r="AM625" i="1"/>
  <c r="AN625" i="1" s="1"/>
  <c r="AM609" i="1"/>
  <c r="AN609" i="1" s="1"/>
  <c r="AM601" i="1"/>
  <c r="AN601" i="1" s="1"/>
  <c r="AM593" i="1"/>
  <c r="AN593" i="1" s="1"/>
  <c r="AM585" i="1"/>
  <c r="AN585" i="1" s="1"/>
  <c r="AM577" i="1"/>
  <c r="AN577" i="1" s="1"/>
  <c r="AM561" i="1"/>
  <c r="AN561" i="1" s="1"/>
  <c r="AM553" i="1"/>
  <c r="AN553" i="1" s="1"/>
  <c r="AM545" i="1"/>
  <c r="AN545" i="1" s="1"/>
  <c r="AM537" i="1"/>
  <c r="AN537" i="1" s="1"/>
  <c r="AM529" i="1"/>
  <c r="AN529" i="1" s="1"/>
  <c r="AM521" i="1"/>
  <c r="AN521" i="1" s="1"/>
  <c r="AM513" i="1"/>
  <c r="AN513" i="1" s="1"/>
  <c r="AM497" i="1"/>
  <c r="AN497" i="1" s="1"/>
  <c r="AM489" i="1"/>
  <c r="AN489" i="1" s="1"/>
  <c r="AM481" i="1"/>
  <c r="AN481" i="1" s="1"/>
  <c r="AM473" i="1"/>
  <c r="AN473" i="1" s="1"/>
  <c r="AM465" i="1"/>
  <c r="AN465" i="1" s="1"/>
  <c r="AM457" i="1"/>
  <c r="AN457" i="1" s="1"/>
  <c r="AM449" i="1"/>
  <c r="AN449" i="1" s="1"/>
  <c r="AM433" i="1"/>
  <c r="AN433" i="1" s="1"/>
  <c r="AM425" i="1"/>
  <c r="AN425" i="1" s="1"/>
  <c r="AM417" i="1"/>
  <c r="AN417" i="1" s="1"/>
  <c r="AM409" i="1"/>
  <c r="AN409" i="1" s="1"/>
  <c r="AM401" i="1"/>
  <c r="AN401" i="1" s="1"/>
  <c r="AM393" i="1"/>
  <c r="AN393" i="1" s="1"/>
  <c r="AM385" i="1"/>
  <c r="AN385" i="1" s="1"/>
  <c r="AM369" i="1"/>
  <c r="AN369" i="1" s="1"/>
  <c r="AM361" i="1"/>
  <c r="AN361" i="1" s="1"/>
  <c r="AM353" i="1"/>
  <c r="AN353" i="1" s="1"/>
  <c r="AM345" i="1"/>
  <c r="AN345" i="1" s="1"/>
  <c r="AM337" i="1"/>
  <c r="AN337" i="1" s="1"/>
  <c r="AM329" i="1"/>
  <c r="AN329" i="1" s="1"/>
  <c r="AM321" i="1"/>
  <c r="AN321" i="1" s="1"/>
  <c r="AM305" i="1"/>
  <c r="AN305" i="1" s="1"/>
  <c r="AM297" i="1"/>
  <c r="AN297" i="1" s="1"/>
  <c r="AM289" i="1"/>
  <c r="AN289" i="1" s="1"/>
  <c r="AM281" i="1"/>
  <c r="AN281" i="1" s="1"/>
  <c r="AM273" i="1"/>
  <c r="AN273" i="1" s="1"/>
  <c r="AM265" i="1"/>
  <c r="AN265" i="1" s="1"/>
  <c r="AM257" i="1"/>
  <c r="AN257" i="1" s="1"/>
  <c r="AM249" i="1"/>
  <c r="AN249" i="1" s="1"/>
  <c r="AM241" i="1"/>
  <c r="AN241" i="1" s="1"/>
  <c r="AM233" i="1"/>
  <c r="AN233" i="1" s="1"/>
  <c r="AM225" i="1"/>
  <c r="AN225" i="1" s="1"/>
  <c r="AM217" i="1"/>
  <c r="AN217" i="1" s="1"/>
  <c r="AM209" i="1"/>
  <c r="AN209" i="1" s="1"/>
  <c r="AM201" i="1"/>
  <c r="AN201" i="1" s="1"/>
  <c r="AM193" i="1"/>
  <c r="AN193" i="1" s="1"/>
  <c r="AM185" i="1"/>
  <c r="AN185" i="1" s="1"/>
  <c r="AM177" i="1"/>
  <c r="AN177" i="1" s="1"/>
  <c r="AM169" i="1"/>
  <c r="AN169" i="1" s="1"/>
  <c r="AM161" i="1"/>
  <c r="AN161" i="1" s="1"/>
  <c r="AM153" i="1"/>
  <c r="AN153" i="1" s="1"/>
  <c r="AM137" i="1"/>
  <c r="AN137" i="1" s="1"/>
  <c r="AM129" i="1"/>
  <c r="AN129" i="1" s="1"/>
  <c r="AM121" i="1"/>
  <c r="AN121" i="1" s="1"/>
  <c r="AM113" i="1"/>
  <c r="AN113" i="1" s="1"/>
  <c r="AM97" i="1"/>
  <c r="AN97" i="1" s="1"/>
  <c r="AM89" i="1"/>
  <c r="AN89" i="1" s="1"/>
  <c r="AM81" i="1"/>
  <c r="AN81" i="1" s="1"/>
  <c r="AM73" i="1"/>
  <c r="AN73" i="1" s="1"/>
  <c r="AM57" i="1"/>
  <c r="AN57" i="1" s="1"/>
  <c r="AM33" i="1"/>
  <c r="AN33" i="1" s="1"/>
  <c r="AM25" i="1"/>
  <c r="AN25" i="1" s="1"/>
  <c r="AM17" i="1"/>
  <c r="AN17" i="1" s="1"/>
  <c r="AM9" i="1"/>
  <c r="AN9" i="1" s="1"/>
  <c r="AM632" i="1"/>
  <c r="AN632" i="1" s="1"/>
  <c r="AM624" i="1"/>
  <c r="AN624" i="1" s="1"/>
  <c r="AM616" i="1"/>
  <c r="AN616" i="1" s="1"/>
  <c r="AM608" i="1"/>
  <c r="AN608" i="1" s="1"/>
  <c r="AM600" i="1"/>
  <c r="AN600" i="1" s="1"/>
  <c r="AM592" i="1"/>
  <c r="AN592" i="1" s="1"/>
  <c r="AM584" i="1"/>
  <c r="AN584" i="1" s="1"/>
  <c r="AM576" i="1"/>
  <c r="AN576" i="1" s="1"/>
  <c r="AM568" i="1"/>
  <c r="AN568" i="1" s="1"/>
  <c r="AM560" i="1"/>
  <c r="AN560" i="1" s="1"/>
  <c r="AM552" i="1"/>
  <c r="AN552" i="1" s="1"/>
  <c r="AM536" i="1"/>
  <c r="AN536" i="1" s="1"/>
  <c r="AM528" i="1"/>
  <c r="AN528" i="1" s="1"/>
  <c r="AM520" i="1"/>
  <c r="AN520" i="1" s="1"/>
  <c r="AM512" i="1"/>
  <c r="AN512" i="1" s="1"/>
  <c r="AM504" i="1"/>
  <c r="AN504" i="1" s="1"/>
  <c r="AM496" i="1"/>
  <c r="AN496" i="1" s="1"/>
  <c r="AM488" i="1"/>
  <c r="AN488" i="1" s="1"/>
  <c r="AM472" i="1"/>
  <c r="AN472" i="1" s="1"/>
  <c r="AM464" i="1"/>
  <c r="AN464" i="1" s="1"/>
  <c r="AM456" i="1"/>
  <c r="AN456" i="1" s="1"/>
  <c r="AM448" i="1"/>
  <c r="AN448" i="1" s="1"/>
  <c r="AM440" i="1"/>
  <c r="AN440" i="1" s="1"/>
  <c r="AM432" i="1"/>
  <c r="AN432" i="1" s="1"/>
  <c r="AM424" i="1"/>
  <c r="AN424" i="1" s="1"/>
  <c r="AM408" i="1"/>
  <c r="AN408" i="1" s="1"/>
  <c r="AM400" i="1"/>
  <c r="AN400" i="1" s="1"/>
  <c r="AM392" i="1"/>
  <c r="AN392" i="1" s="1"/>
  <c r="AM384" i="1"/>
  <c r="AN384" i="1" s="1"/>
  <c r="AM376" i="1"/>
  <c r="AN376" i="1" s="1"/>
  <c r="AM368" i="1"/>
  <c r="AN368" i="1" s="1"/>
  <c r="AM360" i="1"/>
  <c r="AN360" i="1" s="1"/>
  <c r="AM344" i="1"/>
  <c r="AN344" i="1" s="1"/>
  <c r="AM336" i="1"/>
  <c r="AN336" i="1" s="1"/>
  <c r="AM328" i="1"/>
  <c r="AN328" i="1" s="1"/>
  <c r="AM320" i="1"/>
  <c r="AN320" i="1" s="1"/>
  <c r="AM312" i="1"/>
  <c r="AN312" i="1" s="1"/>
  <c r="AM304" i="1"/>
  <c r="AN304" i="1" s="1"/>
  <c r="AM296" i="1"/>
  <c r="AN296" i="1" s="1"/>
  <c r="AM280" i="1"/>
  <c r="AN280" i="1" s="1"/>
  <c r="AM272" i="1"/>
  <c r="AN272" i="1" s="1"/>
  <c r="AM264" i="1"/>
  <c r="AN264" i="1" s="1"/>
  <c r="AM256" i="1"/>
  <c r="AN256" i="1" s="1"/>
  <c r="AM248" i="1"/>
  <c r="AN248" i="1" s="1"/>
  <c r="AM240" i="1"/>
  <c r="AN240" i="1" s="1"/>
  <c r="AM232" i="1"/>
  <c r="AN232" i="1" s="1"/>
  <c r="AM224" i="1"/>
  <c r="AN224" i="1" s="1"/>
  <c r="AM216" i="1"/>
  <c r="AN216" i="1" s="1"/>
  <c r="AM208" i="1"/>
  <c r="AN208" i="1" s="1"/>
  <c r="AM200" i="1"/>
  <c r="AN200" i="1" s="1"/>
  <c r="AM192" i="1"/>
  <c r="AN192" i="1" s="1"/>
  <c r="AM184" i="1"/>
  <c r="AN184" i="1" s="1"/>
  <c r="AM176" i="1"/>
  <c r="AN176" i="1" s="1"/>
  <c r="AM168" i="1"/>
  <c r="AN168" i="1" s="1"/>
  <c r="AM152" i="1"/>
  <c r="AN152" i="1" s="1"/>
  <c r="AM144" i="1"/>
  <c r="AN144" i="1" s="1"/>
  <c r="AM136" i="1"/>
  <c r="AN136" i="1" s="1"/>
  <c r="AM128" i="1"/>
  <c r="AN128" i="1" s="1"/>
  <c r="AM120" i="1"/>
  <c r="AN120" i="1" s="1"/>
  <c r="AM112" i="1"/>
  <c r="AN112" i="1" s="1"/>
  <c r="AM104" i="1"/>
  <c r="AN104" i="1" s="1"/>
  <c r="AM96" i="1"/>
  <c r="AN96" i="1" s="1"/>
  <c r="AM88" i="1"/>
  <c r="AN88" i="1" s="1"/>
  <c r="AM80" i="1"/>
  <c r="AN80" i="1" s="1"/>
  <c r="AM72" i="1"/>
  <c r="AN72" i="1" s="1"/>
  <c r="AM64" i="1"/>
  <c r="AN64" i="1" s="1"/>
  <c r="AM56" i="1"/>
  <c r="AN56" i="1" s="1"/>
  <c r="AM48" i="1"/>
  <c r="AN48" i="1" s="1"/>
  <c r="AM40" i="1"/>
  <c r="AN40" i="1" s="1"/>
  <c r="AM32" i="1"/>
  <c r="AN32" i="1" s="1"/>
  <c r="AM24" i="1"/>
  <c r="AN24" i="1" s="1"/>
  <c r="AM16" i="1"/>
  <c r="AN16" i="1" s="1"/>
  <c r="AM8" i="1"/>
  <c r="AN8" i="1" s="1"/>
  <c r="AM631" i="1"/>
  <c r="AN631" i="1" s="1"/>
  <c r="AM623" i="1"/>
  <c r="AN623" i="1" s="1"/>
  <c r="AM615" i="1"/>
  <c r="AN615" i="1" s="1"/>
  <c r="AM599" i="1"/>
  <c r="AN599" i="1" s="1"/>
  <c r="AM591" i="1"/>
  <c r="AN591" i="1" s="1"/>
  <c r="AM575" i="1"/>
  <c r="AN575" i="1" s="1"/>
  <c r="AM567" i="1"/>
  <c r="AN567" i="1" s="1"/>
  <c r="AM559" i="1"/>
  <c r="AN559" i="1" s="1"/>
  <c r="AM551" i="1"/>
  <c r="AN551" i="1" s="1"/>
  <c r="AM543" i="1"/>
  <c r="AN543" i="1" s="1"/>
  <c r="AM535" i="1"/>
  <c r="AN535" i="1" s="1"/>
  <c r="AM527" i="1"/>
  <c r="AN527" i="1" s="1"/>
  <c r="AM511" i="1"/>
  <c r="AN511" i="1" s="1"/>
  <c r="AM503" i="1"/>
  <c r="AN503" i="1" s="1"/>
  <c r="AM495" i="1"/>
  <c r="AN495" i="1" s="1"/>
  <c r="AM487" i="1"/>
  <c r="AN487" i="1" s="1"/>
  <c r="AM479" i="1"/>
  <c r="AN479" i="1" s="1"/>
  <c r="AM471" i="1"/>
  <c r="AN471" i="1" s="1"/>
  <c r="AM463" i="1"/>
  <c r="AN463" i="1" s="1"/>
  <c r="AM447" i="1"/>
  <c r="AN447" i="1" s="1"/>
  <c r="AM439" i="1"/>
  <c r="AN439" i="1" s="1"/>
  <c r="AM431" i="1"/>
  <c r="AN431" i="1" s="1"/>
  <c r="AM423" i="1"/>
  <c r="AN423" i="1" s="1"/>
  <c r="AM415" i="1"/>
  <c r="AN415" i="1" s="1"/>
  <c r="AM407" i="1"/>
  <c r="AN407" i="1" s="1"/>
  <c r="AM399" i="1"/>
  <c r="AN399" i="1" s="1"/>
  <c r="AM383" i="1"/>
  <c r="AN383" i="1" s="1"/>
  <c r="AM375" i="1"/>
  <c r="AN375" i="1" s="1"/>
  <c r="AM367" i="1"/>
  <c r="AN367" i="1" s="1"/>
  <c r="AM359" i="1"/>
  <c r="AN359" i="1" s="1"/>
  <c r="AM351" i="1"/>
  <c r="AN351" i="1" s="1"/>
  <c r="AM343" i="1"/>
  <c r="AN343" i="1" s="1"/>
  <c r="AM335" i="1"/>
  <c r="AN335" i="1" s="1"/>
  <c r="AM319" i="1"/>
  <c r="AN319" i="1" s="1"/>
  <c r="AM311" i="1"/>
  <c r="AN311" i="1" s="1"/>
  <c r="AM303" i="1"/>
  <c r="AN303" i="1" s="1"/>
  <c r="AM295" i="1"/>
  <c r="AN295" i="1" s="1"/>
  <c r="AM287" i="1"/>
  <c r="AN287" i="1" s="1"/>
  <c r="AM279" i="1"/>
  <c r="AN279" i="1" s="1"/>
  <c r="AM263" i="1"/>
  <c r="AN263" i="1" s="1"/>
  <c r="AM247" i="1"/>
  <c r="AN247" i="1" s="1"/>
  <c r="AM239" i="1"/>
  <c r="AN239" i="1" s="1"/>
  <c r="AM231" i="1"/>
  <c r="AN231" i="1" s="1"/>
  <c r="AM223" i="1"/>
  <c r="AN223" i="1" s="1"/>
  <c r="AM215" i="1"/>
  <c r="AN215" i="1" s="1"/>
  <c r="AM207" i="1"/>
  <c r="AN207" i="1" s="1"/>
  <c r="AM199" i="1"/>
  <c r="AN199" i="1" s="1"/>
  <c r="AM191" i="1"/>
  <c r="AN191" i="1" s="1"/>
  <c r="AM183" i="1"/>
  <c r="AN183" i="1" s="1"/>
  <c r="AM175" i="1"/>
  <c r="AN175" i="1" s="1"/>
  <c r="AM159" i="1"/>
  <c r="AN159" i="1" s="1"/>
  <c r="AM151" i="1"/>
  <c r="AN151" i="1" s="1"/>
  <c r="AM143" i="1"/>
  <c r="AN143" i="1" s="1"/>
  <c r="AM135" i="1"/>
  <c r="AN135" i="1" s="1"/>
  <c r="AM127" i="1"/>
  <c r="AN127" i="1" s="1"/>
  <c r="AM119" i="1"/>
  <c r="AN119" i="1" s="1"/>
  <c r="AM111" i="1"/>
  <c r="AN111" i="1" s="1"/>
  <c r="AM103" i="1"/>
  <c r="AN103" i="1" s="1"/>
  <c r="AM95" i="1"/>
  <c r="AN95" i="1" s="1"/>
  <c r="AM87" i="1"/>
  <c r="AN87" i="1" s="1"/>
  <c r="AM79" i="1"/>
  <c r="AN79" i="1" s="1"/>
  <c r="AM71" i="1"/>
  <c r="AN71" i="1" s="1"/>
  <c r="AM63" i="1"/>
  <c r="AN63" i="1" s="1"/>
  <c r="AM55" i="1"/>
  <c r="AN55" i="1" s="1"/>
  <c r="AM47" i="1"/>
  <c r="AN47" i="1" s="1"/>
  <c r="AM39" i="1"/>
  <c r="AN39" i="1" s="1"/>
  <c r="AM31" i="1"/>
  <c r="AN31" i="1" s="1"/>
  <c r="AM23" i="1"/>
  <c r="AN23" i="1" s="1"/>
  <c r="AM15" i="1"/>
  <c r="AN15" i="1" s="1"/>
  <c r="AM7" i="1"/>
  <c r="AN7" i="1" s="1"/>
  <c r="W60" i="1"/>
  <c r="AD613" i="1"/>
  <c r="AE613" i="1" s="1"/>
  <c r="AE573" i="1"/>
  <c r="AD573" i="1"/>
  <c r="AE533" i="1"/>
  <c r="AD533" i="1"/>
  <c r="AD501" i="1"/>
  <c r="AE501" i="1" s="1"/>
  <c r="AD469" i="1"/>
  <c r="AE469" i="1" s="1"/>
  <c r="AD437" i="1"/>
  <c r="AE437" i="1" s="1"/>
  <c r="AE413" i="1"/>
  <c r="AD413" i="1"/>
  <c r="AD381" i="1"/>
  <c r="AE381" i="1" s="1"/>
  <c r="AD349" i="1"/>
  <c r="AE349" i="1" s="1"/>
  <c r="AD309" i="1"/>
  <c r="AE309" i="1" s="1"/>
  <c r="AD285" i="1"/>
  <c r="AE285" i="1" s="1"/>
  <c r="AD253" i="1"/>
  <c r="AE253" i="1" s="1"/>
  <c r="AD213" i="1"/>
  <c r="AE213" i="1" s="1"/>
  <c r="AD181" i="1"/>
  <c r="AE181" i="1" s="1"/>
  <c r="AD149" i="1"/>
  <c r="AE149" i="1" s="1"/>
  <c r="AD125" i="1"/>
  <c r="AE125" i="1" s="1"/>
  <c r="AD85" i="1"/>
  <c r="AE85" i="1" s="1"/>
  <c r="AD53" i="1"/>
  <c r="AE53" i="1" s="1"/>
  <c r="AE21" i="1"/>
  <c r="AD21" i="1"/>
  <c r="AD5" i="1"/>
  <c r="AE5" i="1" s="1"/>
  <c r="AB628" i="1"/>
  <c r="AB620" i="1"/>
  <c r="AB612" i="1"/>
  <c r="AB604" i="1"/>
  <c r="AB596" i="1"/>
  <c r="AB588" i="1"/>
  <c r="AB580" i="1"/>
  <c r="AB572" i="1"/>
  <c r="AB564" i="1"/>
  <c r="AB556" i="1"/>
  <c r="AB548" i="1"/>
  <c r="AB540" i="1"/>
  <c r="AB532" i="1"/>
  <c r="AB524" i="1"/>
  <c r="AB516" i="1"/>
  <c r="AB508" i="1"/>
  <c r="AB500" i="1"/>
  <c r="AB492" i="1"/>
  <c r="AB484" i="1"/>
  <c r="AB476" i="1"/>
  <c r="AB468" i="1"/>
  <c r="AB460" i="1"/>
  <c r="AB452" i="1"/>
  <c r="AB444" i="1"/>
  <c r="AB436" i="1"/>
  <c r="AB428" i="1"/>
  <c r="AB420" i="1"/>
  <c r="AB412" i="1"/>
  <c r="AB404" i="1"/>
  <c r="AB396" i="1"/>
  <c r="AB388" i="1"/>
  <c r="AB380" i="1"/>
  <c r="AB372" i="1"/>
  <c r="AB364" i="1"/>
  <c r="AB356" i="1"/>
  <c r="AB348" i="1"/>
  <c r="AB340" i="1"/>
  <c r="AB332" i="1"/>
  <c r="AB324" i="1"/>
  <c r="AB316" i="1"/>
  <c r="AB308" i="1"/>
  <c r="AB300" i="1"/>
  <c r="AB292" i="1"/>
  <c r="AB284" i="1"/>
  <c r="AB276" i="1"/>
  <c r="AB268" i="1"/>
  <c r="AB260" i="1"/>
  <c r="AB252" i="1"/>
  <c r="AB244" i="1"/>
  <c r="AB236" i="1"/>
  <c r="AB228" i="1"/>
  <c r="AB220" i="1"/>
  <c r="AB212" i="1"/>
  <c r="AB204" i="1"/>
  <c r="AB196" i="1"/>
  <c r="AB188" i="1"/>
  <c r="AB180" i="1"/>
  <c r="AB172" i="1"/>
  <c r="AB164" i="1"/>
  <c r="AD621" i="1"/>
  <c r="AE621" i="1" s="1"/>
  <c r="AD581" i="1"/>
  <c r="AE581" i="1" s="1"/>
  <c r="AE549" i="1"/>
  <c r="AD549" i="1"/>
  <c r="AD517" i="1"/>
  <c r="AE517" i="1" s="1"/>
  <c r="AD477" i="1"/>
  <c r="AE477" i="1" s="1"/>
  <c r="AD445" i="1"/>
  <c r="AE445" i="1" s="1"/>
  <c r="AD421" i="1"/>
  <c r="AE421" i="1" s="1"/>
  <c r="AD389" i="1"/>
  <c r="AE389" i="1" s="1"/>
  <c r="AD357" i="1"/>
  <c r="AE357" i="1" s="1"/>
  <c r="AD333" i="1"/>
  <c r="AE333" i="1" s="1"/>
  <c r="AE301" i="1"/>
  <c r="AD301" i="1"/>
  <c r="AD269" i="1"/>
  <c r="AE269" i="1" s="1"/>
  <c r="AD229" i="1"/>
  <c r="AE229" i="1" s="1"/>
  <c r="AD197" i="1"/>
  <c r="AE197" i="1" s="1"/>
  <c r="AD173" i="1"/>
  <c r="AE173" i="1" s="1"/>
  <c r="AD141" i="1"/>
  <c r="AE141" i="1" s="1"/>
  <c r="AD101" i="1"/>
  <c r="AE101" i="1" s="1"/>
  <c r="AD77" i="1"/>
  <c r="AE77" i="1"/>
  <c r="AD45" i="1"/>
  <c r="AE45" i="1" s="1"/>
  <c r="AD13" i="1"/>
  <c r="AE13" i="1" s="1"/>
  <c r="AD4" i="1"/>
  <c r="AE4" i="1" s="1"/>
  <c r="AD627" i="1"/>
  <c r="AE627" i="1" s="1"/>
  <c r="AE619" i="1"/>
  <c r="AD619" i="1"/>
  <c r="AD611" i="1"/>
  <c r="AE611" i="1" s="1"/>
  <c r="AD603" i="1"/>
  <c r="AE603" i="1" s="1"/>
  <c r="AD595" i="1"/>
  <c r="AE595" i="1" s="1"/>
  <c r="AD587" i="1"/>
  <c r="AE587" i="1" s="1"/>
  <c r="AD579" i="1"/>
  <c r="AE579" i="1" s="1"/>
  <c r="AD571" i="1"/>
  <c r="AE571" i="1" s="1"/>
  <c r="AD555" i="1"/>
  <c r="AE555" i="1" s="1"/>
  <c r="AD547" i="1"/>
  <c r="AE547" i="1" s="1"/>
  <c r="AD539" i="1"/>
  <c r="AE539" i="1" s="1"/>
  <c r="AD531" i="1"/>
  <c r="AE531" i="1" s="1"/>
  <c r="AD523" i="1"/>
  <c r="AE523" i="1" s="1"/>
  <c r="AD515" i="1"/>
  <c r="AE515" i="1" s="1"/>
  <c r="AD507" i="1"/>
  <c r="AE507" i="1" s="1"/>
  <c r="AD499" i="1"/>
  <c r="AE499" i="1" s="1"/>
  <c r="AE491" i="1"/>
  <c r="AD491" i="1"/>
  <c r="AD483" i="1"/>
  <c r="AE483" i="1" s="1"/>
  <c r="AD475" i="1"/>
  <c r="AE475" i="1" s="1"/>
  <c r="AD467" i="1"/>
  <c r="AE467" i="1" s="1"/>
  <c r="AD459" i="1"/>
  <c r="AE459" i="1" s="1"/>
  <c r="AD451" i="1"/>
  <c r="AE451" i="1" s="1"/>
  <c r="AD443" i="1"/>
  <c r="AE443" i="1" s="1"/>
  <c r="AD435" i="1"/>
  <c r="AE435" i="1" s="1"/>
  <c r="AE427" i="1"/>
  <c r="AD427" i="1"/>
  <c r="AD419" i="1"/>
  <c r="AE419" i="1" s="1"/>
  <c r="AD411" i="1"/>
  <c r="AE411" i="1" s="1"/>
  <c r="AD403" i="1"/>
  <c r="AE403" i="1" s="1"/>
  <c r="AD395" i="1"/>
  <c r="AE395" i="1" s="1"/>
  <c r="AD387" i="1"/>
  <c r="AE387" i="1" s="1"/>
  <c r="AD379" i="1"/>
  <c r="AE379" i="1" s="1"/>
  <c r="AD371" i="1"/>
  <c r="AE371" i="1" s="1"/>
  <c r="AD363" i="1"/>
  <c r="AE363" i="1" s="1"/>
  <c r="AD355" i="1"/>
  <c r="AE355" i="1" s="1"/>
  <c r="AD347" i="1"/>
  <c r="AE347" i="1" s="1"/>
  <c r="AD339" i="1"/>
  <c r="AE339" i="1" s="1"/>
  <c r="AD331" i="1"/>
  <c r="AE331" i="1" s="1"/>
  <c r="AD323" i="1"/>
  <c r="AE323" i="1" s="1"/>
  <c r="AD315" i="1"/>
  <c r="AE315" i="1"/>
  <c r="AD307" i="1"/>
  <c r="AE307" i="1" s="1"/>
  <c r="AE299" i="1"/>
  <c r="AD299" i="1"/>
  <c r="AD291" i="1"/>
  <c r="AE291" i="1" s="1"/>
  <c r="AD283" i="1"/>
  <c r="AE283" i="1" s="1"/>
  <c r="AD275" i="1"/>
  <c r="AE275" i="1" s="1"/>
  <c r="AD267" i="1"/>
  <c r="AE267" i="1" s="1"/>
  <c r="AD259" i="1"/>
  <c r="AE259" i="1" s="1"/>
  <c r="AD251" i="1"/>
  <c r="AE251" i="1" s="1"/>
  <c r="AD243" i="1"/>
  <c r="AE243" i="1"/>
  <c r="AD235" i="1"/>
  <c r="AE235" i="1" s="1"/>
  <c r="AD227" i="1"/>
  <c r="AE227" i="1" s="1"/>
  <c r="AD219" i="1"/>
  <c r="AE219" i="1" s="1"/>
  <c r="AD211" i="1"/>
  <c r="AE211" i="1" s="1"/>
  <c r="AE203" i="1"/>
  <c r="AD203" i="1"/>
  <c r="AD195" i="1"/>
  <c r="AE195" i="1" s="1"/>
  <c r="AD187" i="1"/>
  <c r="AE187" i="1" s="1"/>
  <c r="AD179" i="1"/>
  <c r="AE179" i="1"/>
  <c r="AE171" i="1"/>
  <c r="AD171" i="1"/>
  <c r="AD163" i="1"/>
  <c r="AE163" i="1" s="1"/>
  <c r="AD155" i="1"/>
  <c r="AE155" i="1" s="1"/>
  <c r="AD147" i="1"/>
  <c r="AE147" i="1" s="1"/>
  <c r="AD139" i="1"/>
  <c r="AE139" i="1" s="1"/>
  <c r="AD131" i="1"/>
  <c r="AE131" i="1" s="1"/>
  <c r="AD123" i="1"/>
  <c r="AE123" i="1" s="1"/>
  <c r="AD115" i="1"/>
  <c r="AE115" i="1" s="1"/>
  <c r="AD107" i="1"/>
  <c r="AE107" i="1" s="1"/>
  <c r="AD99" i="1"/>
  <c r="AE99" i="1" s="1"/>
  <c r="AD91" i="1"/>
  <c r="AE91" i="1" s="1"/>
  <c r="AD83" i="1"/>
  <c r="AE83" i="1" s="1"/>
  <c r="AD75" i="1"/>
  <c r="AE75" i="1" s="1"/>
  <c r="AD67" i="1"/>
  <c r="AE67" i="1" s="1"/>
  <c r="AD59" i="1"/>
  <c r="AE59" i="1"/>
  <c r="AD51" i="1"/>
  <c r="AE51" i="1" s="1"/>
  <c r="AE43" i="1"/>
  <c r="AD43" i="1"/>
  <c r="AD35" i="1"/>
  <c r="AE35" i="1" s="1"/>
  <c r="AD27" i="1"/>
  <c r="AE27" i="1" s="1"/>
  <c r="AD19" i="1"/>
  <c r="AE19" i="1" s="1"/>
  <c r="AD11" i="1"/>
  <c r="AE11" i="1" s="1"/>
  <c r="AD3" i="1"/>
  <c r="AE3" i="1" s="1"/>
  <c r="AD626" i="1"/>
  <c r="AE626" i="1" s="1"/>
  <c r="AD618" i="1"/>
  <c r="AE618" i="1"/>
  <c r="AD610" i="1"/>
  <c r="AE610" i="1" s="1"/>
  <c r="AD602" i="1"/>
  <c r="AE602" i="1" s="1"/>
  <c r="AD594" i="1"/>
  <c r="AE594" i="1" s="1"/>
  <c r="AD586" i="1"/>
  <c r="AE586" i="1" s="1"/>
  <c r="AE578" i="1"/>
  <c r="AD578" i="1"/>
  <c r="AD570" i="1"/>
  <c r="AE570" i="1" s="1"/>
  <c r="AD562" i="1"/>
  <c r="AE562" i="1" s="1"/>
  <c r="AD554" i="1"/>
  <c r="AE554" i="1" s="1"/>
  <c r="AD546" i="1"/>
  <c r="AE546" i="1" s="1"/>
  <c r="AD538" i="1"/>
  <c r="AE538" i="1" s="1"/>
  <c r="AD530" i="1"/>
  <c r="AE530" i="1" s="1"/>
  <c r="AD522" i="1"/>
  <c r="AE522" i="1" s="1"/>
  <c r="AD514" i="1"/>
  <c r="AE514" i="1" s="1"/>
  <c r="AD506" i="1"/>
  <c r="AE506" i="1" s="1"/>
  <c r="AD498" i="1"/>
  <c r="AE498" i="1" s="1"/>
  <c r="AD490" i="1"/>
  <c r="AE490" i="1" s="1"/>
  <c r="AE482" i="1"/>
  <c r="AD482" i="1"/>
  <c r="AD474" i="1"/>
  <c r="AE474" i="1" s="1"/>
  <c r="AD466" i="1"/>
  <c r="AE466" i="1" s="1"/>
  <c r="AD458" i="1"/>
  <c r="AE458" i="1" s="1"/>
  <c r="AD450" i="1"/>
  <c r="AE450" i="1" s="1"/>
  <c r="AD442" i="1"/>
  <c r="AE442" i="1" s="1"/>
  <c r="AD434" i="1"/>
  <c r="AE434" i="1" s="1"/>
  <c r="AD426" i="1"/>
  <c r="AE426" i="1" s="1"/>
  <c r="AE418" i="1"/>
  <c r="AD418" i="1"/>
  <c r="AD410" i="1"/>
  <c r="AE410" i="1" s="1"/>
  <c r="AD402" i="1"/>
  <c r="AE402" i="1"/>
  <c r="AD394" i="1"/>
  <c r="AE394" i="1" s="1"/>
  <c r="AE386" i="1"/>
  <c r="AD386" i="1"/>
  <c r="AD378" i="1"/>
  <c r="AE378" i="1" s="1"/>
  <c r="AD370" i="1"/>
  <c r="AE370" i="1" s="1"/>
  <c r="AD362" i="1"/>
  <c r="AE362" i="1" s="1"/>
  <c r="AD354" i="1"/>
  <c r="AE354" i="1" s="1"/>
  <c r="AD346" i="1"/>
  <c r="AE346" i="1" s="1"/>
  <c r="AD338" i="1"/>
  <c r="AE338" i="1"/>
  <c r="AD330" i="1"/>
  <c r="AE330" i="1" s="1"/>
  <c r="AE322" i="1"/>
  <c r="AD322" i="1"/>
  <c r="AD314" i="1"/>
  <c r="AE314" i="1" s="1"/>
  <c r="AD306" i="1"/>
  <c r="AE306" i="1"/>
  <c r="AD298" i="1"/>
  <c r="AE298" i="1" s="1"/>
  <c r="AD290" i="1"/>
  <c r="AE290" i="1" s="1"/>
  <c r="AD282" i="1"/>
  <c r="AE282" i="1" s="1"/>
  <c r="AD274" i="1"/>
  <c r="AE274" i="1" s="1"/>
  <c r="AD266" i="1"/>
  <c r="AE266" i="1" s="1"/>
  <c r="AD258" i="1"/>
  <c r="AE258" i="1" s="1"/>
  <c r="AE250" i="1"/>
  <c r="AD250" i="1"/>
  <c r="AD242" i="1"/>
  <c r="AE242" i="1" s="1"/>
  <c r="AD234" i="1"/>
  <c r="AE234" i="1" s="1"/>
  <c r="AD226" i="1"/>
  <c r="AE226" i="1" s="1"/>
  <c r="AD218" i="1"/>
  <c r="AE218" i="1" s="1"/>
  <c r="AD210" i="1"/>
  <c r="AE210" i="1" s="1"/>
  <c r="AD202" i="1"/>
  <c r="AE202" i="1" s="1"/>
  <c r="AD194" i="1"/>
  <c r="AE194" i="1" s="1"/>
  <c r="AD186" i="1"/>
  <c r="AE186" i="1" s="1"/>
  <c r="AD178" i="1"/>
  <c r="AE178" i="1" s="1"/>
  <c r="AD170" i="1"/>
  <c r="AE170" i="1" s="1"/>
  <c r="AE162" i="1"/>
  <c r="AD162" i="1"/>
  <c r="AD154" i="1"/>
  <c r="AE154" i="1" s="1"/>
  <c r="AD146" i="1"/>
  <c r="AE146" i="1" s="1"/>
  <c r="AD138" i="1"/>
  <c r="AE138" i="1" s="1"/>
  <c r="AD130" i="1"/>
  <c r="AE130" i="1" s="1"/>
  <c r="AD122" i="1"/>
  <c r="AE122" i="1" s="1"/>
  <c r="AD114" i="1"/>
  <c r="AE114" i="1" s="1"/>
  <c r="AD106" i="1"/>
  <c r="AE106" i="1" s="1"/>
  <c r="AD98" i="1"/>
  <c r="AE98" i="1" s="1"/>
  <c r="AD90" i="1"/>
  <c r="AE90" i="1" s="1"/>
  <c r="AD82" i="1"/>
  <c r="AE82" i="1" s="1"/>
  <c r="AD74" i="1"/>
  <c r="AE74" i="1" s="1"/>
  <c r="AD66" i="1"/>
  <c r="AE66" i="1" s="1"/>
  <c r="AE58" i="1"/>
  <c r="AD58" i="1"/>
  <c r="AD50" i="1"/>
  <c r="AE50" i="1" s="1"/>
  <c r="AD42" i="1"/>
  <c r="AE42" i="1"/>
  <c r="AD34" i="1"/>
  <c r="AE34" i="1" s="1"/>
  <c r="AD26" i="1"/>
  <c r="AE26" i="1" s="1"/>
  <c r="AD18" i="1"/>
  <c r="AE18" i="1" s="1"/>
  <c r="AD10" i="1"/>
  <c r="AE10" i="1" s="1"/>
  <c r="AE633" i="1"/>
  <c r="AD633" i="1"/>
  <c r="AD625" i="1"/>
  <c r="AE625" i="1" s="1"/>
  <c r="AD617" i="1"/>
  <c r="AE617" i="1" s="1"/>
  <c r="AD609" i="1"/>
  <c r="AE609" i="1" s="1"/>
  <c r="AD601" i="1"/>
  <c r="AE601" i="1" s="1"/>
  <c r="AD593" i="1"/>
  <c r="AE593" i="1" s="1"/>
  <c r="AD585" i="1"/>
  <c r="AE585" i="1" s="1"/>
  <c r="AD577" i="1"/>
  <c r="AE577" i="1" s="1"/>
  <c r="AE569" i="1"/>
  <c r="AD569" i="1"/>
  <c r="AD561" i="1"/>
  <c r="AE561" i="1" s="1"/>
  <c r="AD553" i="1"/>
  <c r="AE553" i="1" s="1"/>
  <c r="AD545" i="1"/>
  <c r="AE545" i="1" s="1"/>
  <c r="AD537" i="1"/>
  <c r="AE537" i="1" s="1"/>
  <c r="AD529" i="1"/>
  <c r="AE529" i="1" s="1"/>
  <c r="AD521" i="1"/>
  <c r="AE521" i="1" s="1"/>
  <c r="AD513" i="1"/>
  <c r="AE513" i="1" s="1"/>
  <c r="AD505" i="1"/>
  <c r="AE505" i="1" s="1"/>
  <c r="AD497" i="1"/>
  <c r="AE497" i="1" s="1"/>
  <c r="AD489" i="1"/>
  <c r="AE489" i="1" s="1"/>
  <c r="AD481" i="1"/>
  <c r="AE481" i="1" s="1"/>
  <c r="AD473" i="1"/>
  <c r="AE473" i="1" s="1"/>
  <c r="AD465" i="1"/>
  <c r="AE465" i="1" s="1"/>
  <c r="AD457" i="1"/>
  <c r="AE457" i="1" s="1"/>
  <c r="AD449" i="1"/>
  <c r="AE449" i="1" s="1"/>
  <c r="AE441" i="1"/>
  <c r="AD441" i="1"/>
  <c r="AD433" i="1"/>
  <c r="AE433" i="1" s="1"/>
  <c r="AD425" i="1"/>
  <c r="AE425" i="1" s="1"/>
  <c r="AD417" i="1"/>
  <c r="AE417" i="1" s="1"/>
  <c r="AD409" i="1"/>
  <c r="AE409" i="1" s="1"/>
  <c r="AD401" i="1"/>
  <c r="AE401" i="1" s="1"/>
  <c r="AD393" i="1"/>
  <c r="AE393" i="1" s="1"/>
  <c r="AD385" i="1"/>
  <c r="AE385" i="1" s="1"/>
  <c r="AE377" i="1"/>
  <c r="AD377" i="1"/>
  <c r="AE369" i="1"/>
  <c r="AD369" i="1"/>
  <c r="AD361" i="1"/>
  <c r="AE361" i="1" s="1"/>
  <c r="AD353" i="1"/>
  <c r="AE353" i="1" s="1"/>
  <c r="AE345" i="1"/>
  <c r="AD345" i="1"/>
  <c r="AD337" i="1"/>
  <c r="AE337" i="1" s="1"/>
  <c r="AD329" i="1"/>
  <c r="AE329" i="1" s="1"/>
  <c r="AD321" i="1"/>
  <c r="AE321" i="1" s="1"/>
  <c r="AD313" i="1"/>
  <c r="AE313" i="1" s="1"/>
  <c r="AD305" i="1"/>
  <c r="AE305" i="1" s="1"/>
  <c r="AD297" i="1"/>
  <c r="AE297" i="1" s="1"/>
  <c r="AD289" i="1"/>
  <c r="AE289" i="1"/>
  <c r="AD281" i="1"/>
  <c r="AE281" i="1" s="1"/>
  <c r="AD273" i="1"/>
  <c r="AE273" i="1" s="1"/>
  <c r="AD265" i="1"/>
  <c r="AE265" i="1" s="1"/>
  <c r="AD257" i="1"/>
  <c r="AE257" i="1" s="1"/>
  <c r="AE249" i="1"/>
  <c r="AD249" i="1"/>
  <c r="AD241" i="1"/>
  <c r="AE241" i="1" s="1"/>
  <c r="AD233" i="1"/>
  <c r="AE233" i="1"/>
  <c r="AD225" i="1"/>
  <c r="AE225" i="1"/>
  <c r="AD217" i="1"/>
  <c r="AE217" i="1" s="1"/>
  <c r="AD209" i="1"/>
  <c r="AE209" i="1" s="1"/>
  <c r="AD201" i="1"/>
  <c r="AE201" i="1" s="1"/>
  <c r="AD193" i="1"/>
  <c r="AE193" i="1" s="1"/>
  <c r="AD185" i="1"/>
  <c r="AE185" i="1" s="1"/>
  <c r="AD177" i="1"/>
  <c r="AE177" i="1" s="1"/>
  <c r="AD169" i="1"/>
  <c r="AE169" i="1" s="1"/>
  <c r="AD161" i="1"/>
  <c r="AE161" i="1" s="1"/>
  <c r="AD153" i="1"/>
  <c r="AE153" i="1" s="1"/>
  <c r="AD145" i="1"/>
  <c r="AE145" i="1" s="1"/>
  <c r="AD137" i="1"/>
  <c r="AE137" i="1" s="1"/>
  <c r="AD129" i="1"/>
  <c r="AE129" i="1" s="1"/>
  <c r="AE121" i="1"/>
  <c r="AD121" i="1"/>
  <c r="AD113" i="1"/>
  <c r="AE113" i="1" s="1"/>
  <c r="AD105" i="1"/>
  <c r="AE105" i="1" s="1"/>
  <c r="AD97" i="1"/>
  <c r="AE97" i="1" s="1"/>
  <c r="AD89" i="1"/>
  <c r="AE89" i="1" s="1"/>
  <c r="AD81" i="1"/>
  <c r="AE81" i="1" s="1"/>
  <c r="AD73" i="1"/>
  <c r="AE73" i="1" s="1"/>
  <c r="AD65" i="1"/>
  <c r="AE65" i="1" s="1"/>
  <c r="AD57" i="1"/>
  <c r="AE57" i="1" s="1"/>
  <c r="AD49" i="1"/>
  <c r="AE49" i="1" s="1"/>
  <c r="AD41" i="1"/>
  <c r="AE41" i="1" s="1"/>
  <c r="AD33" i="1"/>
  <c r="AE33" i="1"/>
  <c r="AD25" i="1"/>
  <c r="AE25" i="1" s="1"/>
  <c r="AD17" i="1"/>
  <c r="AE17" i="1" s="1"/>
  <c r="AD9" i="1"/>
  <c r="AE9" i="1" s="1"/>
  <c r="AB632" i="1"/>
  <c r="AB624" i="1"/>
  <c r="AB616" i="1"/>
  <c r="AB608" i="1"/>
  <c r="AB600" i="1"/>
  <c r="AB592" i="1"/>
  <c r="AB584" i="1"/>
  <c r="AB576" i="1"/>
  <c r="AB568" i="1"/>
  <c r="AB560" i="1"/>
  <c r="AB552" i="1"/>
  <c r="AB544" i="1"/>
  <c r="AB536" i="1"/>
  <c r="AB528" i="1"/>
  <c r="AB520" i="1"/>
  <c r="AB512" i="1"/>
  <c r="AB504" i="1"/>
  <c r="AB496" i="1"/>
  <c r="AB488" i="1"/>
  <c r="AB480" i="1"/>
  <c r="AB472" i="1"/>
  <c r="AB464" i="1"/>
  <c r="AB456" i="1"/>
  <c r="AB448" i="1"/>
  <c r="AB440" i="1"/>
  <c r="AB432" i="1"/>
  <c r="AB424" i="1"/>
  <c r="AB416" i="1"/>
  <c r="AB408" i="1"/>
  <c r="AB400" i="1"/>
  <c r="AB392" i="1"/>
  <c r="AB384" i="1"/>
  <c r="AB376" i="1"/>
  <c r="AB368" i="1"/>
  <c r="AB360" i="1"/>
  <c r="AB352" i="1"/>
  <c r="AD6" i="1"/>
  <c r="AE6" i="1" s="1"/>
  <c r="AD597" i="1"/>
  <c r="AE597" i="1"/>
  <c r="AD565" i="1"/>
  <c r="AE565" i="1"/>
  <c r="AD541" i="1"/>
  <c r="AE541" i="1" s="1"/>
  <c r="AD509" i="1"/>
  <c r="AE509" i="1" s="1"/>
  <c r="AD485" i="1"/>
  <c r="AE485" i="1" s="1"/>
  <c r="AD453" i="1"/>
  <c r="AE453" i="1" s="1"/>
  <c r="AE405" i="1"/>
  <c r="AD405" i="1"/>
  <c r="AD373" i="1"/>
  <c r="AE373" i="1" s="1"/>
  <c r="AD325" i="1"/>
  <c r="AE325" i="1"/>
  <c r="AD293" i="1"/>
  <c r="AE293" i="1" s="1"/>
  <c r="AD261" i="1"/>
  <c r="AE261" i="1" s="1"/>
  <c r="AD237" i="1"/>
  <c r="AE237" i="1" s="1"/>
  <c r="AD205" i="1"/>
  <c r="AE205" i="1" s="1"/>
  <c r="AD165" i="1"/>
  <c r="AE165" i="1" s="1"/>
  <c r="AD117" i="1"/>
  <c r="AE117" i="1" s="1"/>
  <c r="AD93" i="1"/>
  <c r="AE93" i="1" s="1"/>
  <c r="AD61" i="1"/>
  <c r="AE61" i="1" s="1"/>
  <c r="AD29" i="1"/>
  <c r="AE29" i="1" s="1"/>
  <c r="AD2" i="1"/>
  <c r="AD631" i="1"/>
  <c r="AE631" i="1" s="1"/>
  <c r="AD623" i="1"/>
  <c r="AE623" i="1" s="1"/>
  <c r="AD615" i="1"/>
  <c r="AE615" i="1" s="1"/>
  <c r="AD607" i="1"/>
  <c r="AE607" i="1" s="1"/>
  <c r="AD599" i="1"/>
  <c r="AE599" i="1" s="1"/>
  <c r="AD591" i="1"/>
  <c r="AE591" i="1" s="1"/>
  <c r="AD583" i="1"/>
  <c r="AE583" i="1" s="1"/>
  <c r="AD575" i="1"/>
  <c r="AE575" i="1" s="1"/>
  <c r="AD567" i="1"/>
  <c r="AE567" i="1" s="1"/>
  <c r="AD559" i="1"/>
  <c r="AE559" i="1" s="1"/>
  <c r="AD551" i="1"/>
  <c r="AE551" i="1" s="1"/>
  <c r="AE543" i="1"/>
  <c r="AD543" i="1"/>
  <c r="AE535" i="1"/>
  <c r="AD535" i="1"/>
  <c r="AD527" i="1"/>
  <c r="AE527" i="1" s="1"/>
  <c r="AD519" i="1"/>
  <c r="AE519" i="1" s="1"/>
  <c r="AD511" i="1"/>
  <c r="AE511" i="1" s="1"/>
  <c r="AD503" i="1"/>
  <c r="AE503" i="1" s="1"/>
  <c r="AD495" i="1"/>
  <c r="AE495" i="1" s="1"/>
  <c r="AD487" i="1"/>
  <c r="AE487" i="1" s="1"/>
  <c r="AD479" i="1"/>
  <c r="AE479" i="1" s="1"/>
  <c r="AD471" i="1"/>
  <c r="AE471" i="1" s="1"/>
  <c r="AD463" i="1"/>
  <c r="AE463" i="1" s="1"/>
  <c r="AD455" i="1"/>
  <c r="AE455" i="1" s="1"/>
  <c r="AE447" i="1"/>
  <c r="AD447" i="1"/>
  <c r="AD439" i="1"/>
  <c r="AE439" i="1" s="1"/>
  <c r="AD431" i="1"/>
  <c r="AE431" i="1" s="1"/>
  <c r="AD423" i="1"/>
  <c r="AE423" i="1" s="1"/>
  <c r="AD415" i="1"/>
  <c r="AE415" i="1" s="1"/>
  <c r="AD407" i="1"/>
  <c r="AE407" i="1" s="1"/>
  <c r="AD399" i="1"/>
  <c r="AE399" i="1" s="1"/>
  <c r="AD391" i="1"/>
  <c r="AE391" i="1" s="1"/>
  <c r="AD383" i="1"/>
  <c r="AE383" i="1" s="1"/>
  <c r="AD375" i="1"/>
  <c r="AE375" i="1" s="1"/>
  <c r="AD367" i="1"/>
  <c r="AE367" i="1" s="1"/>
  <c r="AD359" i="1"/>
  <c r="AE359" i="1" s="1"/>
  <c r="AD351" i="1"/>
  <c r="AE351" i="1" s="1"/>
  <c r="AD343" i="1"/>
  <c r="AE343" i="1" s="1"/>
  <c r="AD335" i="1"/>
  <c r="AE335" i="1" s="1"/>
  <c r="AD327" i="1"/>
  <c r="AE327" i="1" s="1"/>
  <c r="AD319" i="1"/>
  <c r="AE319" i="1" s="1"/>
  <c r="AD311" i="1"/>
  <c r="AE311" i="1" s="1"/>
  <c r="AD303" i="1"/>
  <c r="AE303" i="1" s="1"/>
  <c r="AD295" i="1"/>
  <c r="AE295" i="1" s="1"/>
  <c r="AD287" i="1"/>
  <c r="AE287" i="1" s="1"/>
  <c r="AD279" i="1"/>
  <c r="AE279" i="1" s="1"/>
  <c r="AD271" i="1"/>
  <c r="AE271" i="1" s="1"/>
  <c r="AD263" i="1"/>
  <c r="AE263" i="1" s="1"/>
  <c r="AE255" i="1"/>
  <c r="AD255" i="1"/>
  <c r="AD247" i="1"/>
  <c r="AE247" i="1" s="1"/>
  <c r="AD239" i="1"/>
  <c r="AE239" i="1" s="1"/>
  <c r="AD231" i="1"/>
  <c r="AE231" i="1" s="1"/>
  <c r="AD223" i="1"/>
  <c r="AE223" i="1" s="1"/>
  <c r="AD215" i="1"/>
  <c r="AE215" i="1" s="1"/>
  <c r="AD207" i="1"/>
  <c r="AE207" i="1" s="1"/>
  <c r="AD199" i="1"/>
  <c r="AE199" i="1" s="1"/>
  <c r="AD191" i="1"/>
  <c r="AE191" i="1" s="1"/>
  <c r="AD183" i="1"/>
  <c r="AE183" i="1" s="1"/>
  <c r="AD175" i="1"/>
  <c r="AE175" i="1" s="1"/>
  <c r="AD167" i="1"/>
  <c r="AE167" i="1" s="1"/>
  <c r="AD159" i="1"/>
  <c r="AE159" i="1" s="1"/>
  <c r="AD151" i="1"/>
  <c r="AE151" i="1" s="1"/>
  <c r="AD143" i="1"/>
  <c r="AE143" i="1" s="1"/>
  <c r="AD135" i="1"/>
  <c r="AE135" i="1" s="1"/>
  <c r="AD127" i="1"/>
  <c r="AE127" i="1" s="1"/>
  <c r="AD119" i="1"/>
  <c r="AE119" i="1" s="1"/>
  <c r="AD111" i="1"/>
  <c r="AE111" i="1" s="1"/>
  <c r="AD103" i="1"/>
  <c r="AE103" i="1" s="1"/>
  <c r="AD95" i="1"/>
  <c r="AE95" i="1" s="1"/>
  <c r="AD87" i="1"/>
  <c r="AE87" i="1" s="1"/>
  <c r="AD79" i="1"/>
  <c r="AE79" i="1" s="1"/>
  <c r="AD71" i="1"/>
  <c r="AE71" i="1" s="1"/>
  <c r="AE63" i="1"/>
  <c r="AD63" i="1"/>
  <c r="AD55" i="1"/>
  <c r="AE55" i="1" s="1"/>
  <c r="AD47" i="1"/>
  <c r="AE47" i="1" s="1"/>
  <c r="AD39" i="1"/>
  <c r="AE39" i="1" s="1"/>
  <c r="AD31" i="1"/>
  <c r="AE31" i="1" s="1"/>
  <c r="AD23" i="1"/>
  <c r="AE23" i="1" s="1"/>
  <c r="AD15" i="1"/>
  <c r="AE15" i="1" s="1"/>
  <c r="AD629" i="1"/>
  <c r="AE629" i="1" s="1"/>
  <c r="AE605" i="1"/>
  <c r="AD605" i="1"/>
  <c r="AD589" i="1"/>
  <c r="AE589" i="1" s="1"/>
  <c r="AD557" i="1"/>
  <c r="AE557" i="1" s="1"/>
  <c r="AD525" i="1"/>
  <c r="AE525" i="1" s="1"/>
  <c r="AD493" i="1"/>
  <c r="AE493" i="1" s="1"/>
  <c r="AD461" i="1"/>
  <c r="AE461" i="1" s="1"/>
  <c r="AD429" i="1"/>
  <c r="AE429" i="1" s="1"/>
  <c r="AD397" i="1"/>
  <c r="AE397" i="1" s="1"/>
  <c r="AD365" i="1"/>
  <c r="AE365" i="1" s="1"/>
  <c r="AD341" i="1"/>
  <c r="AE341" i="1" s="1"/>
  <c r="AD317" i="1"/>
  <c r="AE317" i="1" s="1"/>
  <c r="AD277" i="1"/>
  <c r="AE277" i="1" s="1"/>
  <c r="AE245" i="1"/>
  <c r="AD245" i="1"/>
  <c r="AD221" i="1"/>
  <c r="AE221" i="1" s="1"/>
  <c r="AD189" i="1"/>
  <c r="AE189" i="1" s="1"/>
  <c r="AD157" i="1"/>
  <c r="AE157" i="1" s="1"/>
  <c r="AD133" i="1"/>
  <c r="AE133" i="1" s="1"/>
  <c r="AD109" i="1"/>
  <c r="AE109" i="1" s="1"/>
  <c r="AD69" i="1"/>
  <c r="AE69" i="1"/>
  <c r="AD37" i="1"/>
  <c r="AE37" i="1" s="1"/>
  <c r="AE7" i="1"/>
  <c r="AD7" i="1"/>
  <c r="AD630" i="1"/>
  <c r="AE630" i="1" s="1"/>
  <c r="AD622" i="1"/>
  <c r="AE622" i="1" s="1"/>
  <c r="AD614" i="1"/>
  <c r="AE614" i="1" s="1"/>
  <c r="AD606" i="1"/>
  <c r="AE606" i="1" s="1"/>
  <c r="AD598" i="1"/>
  <c r="AE598" i="1" s="1"/>
  <c r="AD590" i="1"/>
  <c r="AE590" i="1" s="1"/>
  <c r="AD582" i="1"/>
  <c r="AE582" i="1"/>
  <c r="AD574" i="1"/>
  <c r="AE574" i="1" s="1"/>
  <c r="AD566" i="1"/>
  <c r="AE566" i="1" s="1"/>
  <c r="AD558" i="1"/>
  <c r="AE558" i="1" s="1"/>
  <c r="AD550" i="1"/>
  <c r="AE550" i="1"/>
  <c r="AD542" i="1"/>
  <c r="AE542" i="1" s="1"/>
  <c r="AD534" i="1"/>
  <c r="AE534" i="1" s="1"/>
  <c r="AD526" i="1"/>
  <c r="AE526" i="1" s="1"/>
  <c r="AD518" i="1"/>
  <c r="AE518" i="1"/>
  <c r="AD510" i="1"/>
  <c r="AE510" i="1" s="1"/>
  <c r="AD502" i="1"/>
  <c r="AE502" i="1"/>
  <c r="AD494" i="1"/>
  <c r="AE494" i="1" s="1"/>
  <c r="AD486" i="1"/>
  <c r="AE486" i="1" s="1"/>
  <c r="AD478" i="1"/>
  <c r="AE478" i="1" s="1"/>
  <c r="AD470" i="1"/>
  <c r="AE470" i="1" s="1"/>
  <c r="AD462" i="1"/>
  <c r="AE462" i="1" s="1"/>
  <c r="AD454" i="1"/>
  <c r="AE454" i="1" s="1"/>
  <c r="AD446" i="1"/>
  <c r="AE446" i="1" s="1"/>
  <c r="AD438" i="1"/>
  <c r="AE438" i="1" s="1"/>
  <c r="AD430" i="1"/>
  <c r="AE430" i="1" s="1"/>
  <c r="AD422" i="1"/>
  <c r="AE422" i="1"/>
  <c r="AD414" i="1"/>
  <c r="AE414" i="1" s="1"/>
  <c r="AD406" i="1"/>
  <c r="AE406" i="1" s="1"/>
  <c r="AD398" i="1"/>
  <c r="AE398" i="1"/>
  <c r="AD390" i="1"/>
  <c r="AE390" i="1"/>
  <c r="AD382" i="1"/>
  <c r="AE382" i="1" s="1"/>
  <c r="AD374" i="1"/>
  <c r="AE374" i="1" s="1"/>
  <c r="AD366" i="1"/>
  <c r="AE366" i="1" s="1"/>
  <c r="AD358" i="1"/>
  <c r="AE358" i="1"/>
  <c r="AD350" i="1"/>
  <c r="AE350" i="1" s="1"/>
  <c r="AD342" i="1"/>
  <c r="AE342" i="1"/>
  <c r="AD334" i="1"/>
  <c r="AE334" i="1" s="1"/>
  <c r="AD326" i="1"/>
  <c r="AE326" i="1" s="1"/>
  <c r="AD318" i="1"/>
  <c r="AE318" i="1" s="1"/>
  <c r="AD310" i="1"/>
  <c r="AE310" i="1" s="1"/>
  <c r="AD302" i="1"/>
  <c r="AE302" i="1" s="1"/>
  <c r="AD294" i="1"/>
  <c r="AE294" i="1"/>
  <c r="AD286" i="1"/>
  <c r="AE286" i="1" s="1"/>
  <c r="AD278" i="1"/>
  <c r="AE278" i="1" s="1"/>
  <c r="AD270" i="1"/>
  <c r="AE270" i="1"/>
  <c r="AD262" i="1"/>
  <c r="AE262" i="1"/>
  <c r="AD254" i="1"/>
  <c r="AE254" i="1" s="1"/>
  <c r="AD246" i="1"/>
  <c r="AE246" i="1" s="1"/>
  <c r="AD238" i="1"/>
  <c r="AE238" i="1" s="1"/>
  <c r="AD230" i="1"/>
  <c r="AE230" i="1" s="1"/>
  <c r="AD222" i="1"/>
  <c r="AE222" i="1" s="1"/>
  <c r="AD214" i="1"/>
  <c r="AE214" i="1" s="1"/>
  <c r="AD206" i="1"/>
  <c r="AE206" i="1"/>
  <c r="AD198" i="1"/>
  <c r="AE198" i="1" s="1"/>
  <c r="AD190" i="1"/>
  <c r="AE190" i="1" s="1"/>
  <c r="AD182" i="1"/>
  <c r="AE182" i="1" s="1"/>
  <c r="AD174" i="1"/>
  <c r="AE174" i="1" s="1"/>
  <c r="AD166" i="1"/>
  <c r="AE166" i="1"/>
  <c r="AD158" i="1"/>
  <c r="AE158" i="1" s="1"/>
  <c r="AD150" i="1"/>
  <c r="AE150" i="1" s="1"/>
  <c r="AD142" i="1"/>
  <c r="AE142" i="1"/>
  <c r="AD134" i="1"/>
  <c r="AE134" i="1"/>
  <c r="AD126" i="1"/>
  <c r="AE126" i="1" s="1"/>
  <c r="AD118" i="1"/>
  <c r="AE118" i="1" s="1"/>
  <c r="AD110" i="1"/>
  <c r="AE110" i="1" s="1"/>
  <c r="AD102" i="1"/>
  <c r="AE102" i="1" s="1"/>
  <c r="AD94" i="1"/>
  <c r="AE94" i="1" s="1"/>
  <c r="AD86" i="1"/>
  <c r="AE86" i="1" s="1"/>
  <c r="AD78" i="1"/>
  <c r="AE78" i="1" s="1"/>
  <c r="AD70" i="1"/>
  <c r="AE70" i="1"/>
  <c r="AD62" i="1"/>
  <c r="AE62" i="1" s="1"/>
  <c r="AD54" i="1"/>
  <c r="AE54" i="1" s="1"/>
  <c r="AD46" i="1"/>
  <c r="AE46" i="1" s="1"/>
  <c r="AD38" i="1"/>
  <c r="AE38" i="1" s="1"/>
  <c r="AD30" i="1"/>
  <c r="AE30" i="1" s="1"/>
  <c r="AD22" i="1"/>
  <c r="AE22" i="1" s="1"/>
  <c r="AD14" i="1"/>
  <c r="AE14" i="1" s="1"/>
  <c r="AB344" i="1"/>
  <c r="AB336" i="1"/>
  <c r="AB328" i="1"/>
  <c r="AB320" i="1"/>
  <c r="AB312" i="1"/>
  <c r="AB304" i="1"/>
  <c r="AB296" i="1"/>
  <c r="AB288" i="1"/>
  <c r="AB280" i="1"/>
  <c r="AB272" i="1"/>
  <c r="AB264" i="1"/>
  <c r="AB256" i="1"/>
  <c r="AB248" i="1"/>
  <c r="AB240" i="1"/>
  <c r="AB232" i="1"/>
  <c r="AB224" i="1"/>
  <c r="AB216" i="1"/>
  <c r="AB208" i="1"/>
  <c r="AB200" i="1"/>
  <c r="AB192" i="1"/>
  <c r="AB184" i="1"/>
  <c r="AB176" i="1"/>
  <c r="AB168" i="1"/>
  <c r="AB160" i="1"/>
  <c r="AB152" i="1"/>
  <c r="AB144" i="1"/>
  <c r="AB136" i="1"/>
  <c r="AB128" i="1"/>
  <c r="AB120" i="1"/>
  <c r="AB112" i="1"/>
  <c r="AB104" i="1"/>
  <c r="AB96" i="1"/>
  <c r="AB88" i="1"/>
  <c r="AB80" i="1"/>
  <c r="AB72" i="1"/>
  <c r="AB64" i="1"/>
  <c r="AB56" i="1"/>
  <c r="AB48" i="1"/>
  <c r="AB40" i="1"/>
  <c r="AB32" i="1"/>
  <c r="AB24" i="1"/>
  <c r="AB16" i="1"/>
  <c r="AB8" i="1"/>
  <c r="H598" i="1"/>
  <c r="H94" i="1"/>
  <c r="H269" i="1"/>
  <c r="H85" i="1"/>
  <c r="H22" i="1"/>
  <c r="H452" i="1"/>
  <c r="H324" i="1"/>
  <c r="H292" i="1"/>
  <c r="H76" i="1"/>
  <c r="H21" i="1"/>
  <c r="H611" i="1"/>
  <c r="H323" i="1"/>
  <c r="H219" i="1"/>
  <c r="H147" i="1"/>
  <c r="H99" i="1"/>
  <c r="AB156" i="1"/>
  <c r="AB148" i="1"/>
  <c r="AB140" i="1"/>
  <c r="AB132" i="1"/>
  <c r="AB124" i="1"/>
  <c r="AB116" i="1"/>
  <c r="AB108" i="1"/>
  <c r="AB100" i="1"/>
  <c r="AB92" i="1"/>
  <c r="AB84" i="1"/>
  <c r="AB76" i="1"/>
  <c r="AB68" i="1"/>
  <c r="AB60" i="1"/>
  <c r="AB52" i="1"/>
  <c r="AB44" i="1"/>
  <c r="AB36" i="1"/>
  <c r="AB28" i="1"/>
  <c r="AB20" i="1"/>
  <c r="AB12" i="1"/>
  <c r="H36" i="1"/>
  <c r="H626" i="1"/>
  <c r="H594" i="1"/>
  <c r="H346" i="1"/>
  <c r="H330" i="1"/>
  <c r="H314" i="1"/>
  <c r="D87" i="9" l="1"/>
  <c r="D11" i="9"/>
  <c r="D46" i="9"/>
  <c r="D69" i="9"/>
  <c r="D20" i="9"/>
  <c r="D51" i="9"/>
  <c r="D74" i="9"/>
  <c r="D25" i="9"/>
  <c r="D33" i="9"/>
  <c r="D79" i="9"/>
  <c r="D3" i="9"/>
  <c r="D38" i="9"/>
  <c r="D61" i="9"/>
  <c r="D84" i="9"/>
  <c r="D8" i="9"/>
  <c r="D43" i="9"/>
  <c r="D66" i="9"/>
  <c r="D17" i="9"/>
  <c r="D13" i="9"/>
  <c r="D71" i="9"/>
  <c r="D22" i="9"/>
  <c r="D30" i="9"/>
  <c r="D53" i="9"/>
  <c r="D76" i="9"/>
  <c r="D27" i="9"/>
  <c r="D35" i="9"/>
  <c r="D58" i="9"/>
  <c r="D81" i="9"/>
  <c r="D5" i="9"/>
  <c r="D63" i="9"/>
  <c r="D86" i="9"/>
  <c r="D10" i="9"/>
  <c r="D45" i="9"/>
  <c r="D68" i="9"/>
  <c r="D19" i="9"/>
  <c r="D15" i="9"/>
  <c r="D50" i="9"/>
  <c r="D73" i="9"/>
  <c r="D24" i="9"/>
  <c r="AE2" i="1"/>
  <c r="D55" i="9"/>
  <c r="D78" i="9"/>
  <c r="D2" i="9"/>
  <c r="D37" i="9"/>
  <c r="D60" i="9"/>
  <c r="D83" i="9"/>
  <c r="D7" i="9"/>
  <c r="D42" i="9"/>
  <c r="D65" i="9"/>
  <c r="AM634" i="1"/>
  <c r="AN2" i="1"/>
  <c r="D23" i="9"/>
  <c r="D72" i="9"/>
  <c r="D4" i="9"/>
  <c r="D80" i="9"/>
  <c r="D12" i="9"/>
  <c r="D88" i="9"/>
  <c r="D40" i="9"/>
  <c r="D32" i="9"/>
  <c r="D48" i="9"/>
  <c r="D64" i="9"/>
  <c r="D47" i="9"/>
  <c r="D70" i="9"/>
  <c r="D21" i="9"/>
  <c r="D29" i="9"/>
  <c r="D52" i="9"/>
  <c r="D75" i="9"/>
  <c r="D26" i="9"/>
  <c r="D34" i="9"/>
  <c r="D57" i="9"/>
  <c r="AB634" i="1"/>
  <c r="D39" i="9"/>
  <c r="D62" i="9"/>
  <c r="D85" i="9"/>
  <c r="D9" i="9"/>
  <c r="D44" i="9"/>
  <c r="D67" i="9"/>
  <c r="D18" i="9"/>
  <c r="D14" i="9"/>
  <c r="D49" i="9"/>
  <c r="D56" i="9"/>
  <c r="D31" i="9"/>
  <c r="D54" i="9"/>
  <c r="D77" i="9"/>
  <c r="D28" i="9"/>
  <c r="D36" i="9"/>
  <c r="D59" i="9"/>
  <c r="D82" i="9"/>
  <c r="D6" i="9"/>
  <c r="D41" i="9"/>
  <c r="AD136" i="1"/>
  <c r="AE136" i="1" s="1"/>
  <c r="AD424" i="1"/>
  <c r="AE424" i="1" s="1"/>
  <c r="AE316" i="1"/>
  <c r="AD316" i="1"/>
  <c r="AD572" i="1"/>
  <c r="AE572" i="1" s="1"/>
  <c r="AD36" i="1"/>
  <c r="AE36" i="1" s="1"/>
  <c r="AE16" i="1"/>
  <c r="AD16" i="1"/>
  <c r="AD144" i="1"/>
  <c r="AE144" i="1" s="1"/>
  <c r="AD272" i="1"/>
  <c r="AE272" i="1" s="1"/>
  <c r="AD368" i="1"/>
  <c r="AE368" i="1" s="1"/>
  <c r="AE432" i="1"/>
  <c r="AD432" i="1"/>
  <c r="AD496" i="1"/>
  <c r="AE496" i="1" s="1"/>
  <c r="AD560" i="1"/>
  <c r="AE560" i="1" s="1"/>
  <c r="AD624" i="1"/>
  <c r="AE624" i="1" s="1"/>
  <c r="AD196" i="1"/>
  <c r="AE196" i="1" s="1"/>
  <c r="AE260" i="1"/>
  <c r="AD260" i="1"/>
  <c r="AD324" i="1"/>
  <c r="AE324" i="1" s="1"/>
  <c r="AD388" i="1"/>
  <c r="AE388" i="1" s="1"/>
  <c r="AE452" i="1"/>
  <c r="AD452" i="1"/>
  <c r="AD516" i="1"/>
  <c r="AE516" i="1" s="1"/>
  <c r="AD580" i="1"/>
  <c r="AE580" i="1" s="1"/>
  <c r="AD8" i="1"/>
  <c r="AE8" i="1" s="1"/>
  <c r="AD360" i="1"/>
  <c r="AE360" i="1" s="1"/>
  <c r="AD252" i="1"/>
  <c r="AE252" i="1" s="1"/>
  <c r="AD508" i="1"/>
  <c r="AE508" i="1" s="1"/>
  <c r="AD80" i="1"/>
  <c r="AE80" i="1" s="1"/>
  <c r="AD208" i="1"/>
  <c r="AE208" i="1" s="1"/>
  <c r="AE336" i="1"/>
  <c r="AD336" i="1"/>
  <c r="AD44" i="1"/>
  <c r="AE44" i="1"/>
  <c r="AD108" i="1"/>
  <c r="AE108" i="1" s="1"/>
  <c r="AD24" i="1"/>
  <c r="AE24" i="1" s="1"/>
  <c r="AD88" i="1"/>
  <c r="AE88" i="1" s="1"/>
  <c r="AD152" i="1"/>
  <c r="AE152" i="1" s="1"/>
  <c r="AD216" i="1"/>
  <c r="AE216" i="1" s="1"/>
  <c r="AE280" i="1"/>
  <c r="AD280" i="1"/>
  <c r="AD344" i="1"/>
  <c r="AE344" i="1" s="1"/>
  <c r="AD376" i="1"/>
  <c r="AE376" i="1" s="1"/>
  <c r="AD440" i="1"/>
  <c r="AE440" i="1" s="1"/>
  <c r="AD504" i="1"/>
  <c r="AE504" i="1" s="1"/>
  <c r="AE568" i="1"/>
  <c r="AD568" i="1"/>
  <c r="AD632" i="1"/>
  <c r="AE632" i="1" s="1"/>
  <c r="AD204" i="1"/>
  <c r="AE204" i="1" s="1"/>
  <c r="AD268" i="1"/>
  <c r="AE268" i="1" s="1"/>
  <c r="AE332" i="1"/>
  <c r="AD332" i="1"/>
  <c r="AD396" i="1"/>
  <c r="AE396" i="1" s="1"/>
  <c r="AD460" i="1"/>
  <c r="AE460" i="1" s="1"/>
  <c r="AD524" i="1"/>
  <c r="AE524" i="1" s="1"/>
  <c r="AD588" i="1"/>
  <c r="AE588" i="1" s="1"/>
  <c r="AD264" i="1"/>
  <c r="AE264" i="1" s="1"/>
  <c r="AD188" i="1"/>
  <c r="AE188" i="1" s="1"/>
  <c r="AD224" i="1"/>
  <c r="AE224" i="1" s="1"/>
  <c r="AE384" i="1"/>
  <c r="AD384" i="1"/>
  <c r="AD124" i="1"/>
  <c r="AE124" i="1"/>
  <c r="AD168" i="1"/>
  <c r="AE168" i="1" s="1"/>
  <c r="AD456" i="1"/>
  <c r="AE456" i="1" s="1"/>
  <c r="AD220" i="1"/>
  <c r="AE220" i="1" s="1"/>
  <c r="AD284" i="1"/>
  <c r="AE284" i="1" s="1"/>
  <c r="AD348" i="1"/>
  <c r="AE348" i="1" s="1"/>
  <c r="AD412" i="1"/>
  <c r="AE412" i="1" s="1"/>
  <c r="AD476" i="1"/>
  <c r="AE476" i="1" s="1"/>
  <c r="AD540" i="1"/>
  <c r="AE540" i="1" s="1"/>
  <c r="AD604" i="1"/>
  <c r="AE604" i="1" s="1"/>
  <c r="AD28" i="1"/>
  <c r="AE28" i="1" s="1"/>
  <c r="AE328" i="1"/>
  <c r="AD328" i="1"/>
  <c r="AD488" i="1"/>
  <c r="AE488" i="1"/>
  <c r="AD380" i="1"/>
  <c r="AE380" i="1" s="1"/>
  <c r="AD32" i="1"/>
  <c r="AE32" i="1" s="1"/>
  <c r="AD160" i="1"/>
  <c r="AE160" i="1" s="1"/>
  <c r="AD576" i="1"/>
  <c r="AE576" i="1" s="1"/>
  <c r="AD276" i="1"/>
  <c r="AE276" i="1" s="1"/>
  <c r="AD340" i="1"/>
  <c r="AE340" i="1" s="1"/>
  <c r="AD468" i="1"/>
  <c r="AE468" i="1" s="1"/>
  <c r="AD596" i="1"/>
  <c r="AE596" i="1" s="1"/>
  <c r="AD296" i="1"/>
  <c r="AE296" i="1" s="1"/>
  <c r="AD520" i="1"/>
  <c r="AE520" i="1" s="1"/>
  <c r="AD68" i="1"/>
  <c r="AE68" i="1" s="1"/>
  <c r="AD132" i="1"/>
  <c r="AE132" i="1" s="1"/>
  <c r="AD48" i="1"/>
  <c r="AE48" i="1" s="1"/>
  <c r="AD112" i="1"/>
  <c r="AE112" i="1" s="1"/>
  <c r="AE176" i="1"/>
  <c r="AD176" i="1"/>
  <c r="AD240" i="1"/>
  <c r="AE240" i="1" s="1"/>
  <c r="AD304" i="1"/>
  <c r="AE304" i="1" s="1"/>
  <c r="AD400" i="1"/>
  <c r="AE400" i="1" s="1"/>
  <c r="AD464" i="1"/>
  <c r="AE464" i="1" s="1"/>
  <c r="AD528" i="1"/>
  <c r="AE528" i="1" s="1"/>
  <c r="AD592" i="1"/>
  <c r="AE592" i="1" s="1"/>
  <c r="AD164" i="1"/>
  <c r="AE164" i="1" s="1"/>
  <c r="AD228" i="1"/>
  <c r="AE228" i="1" s="1"/>
  <c r="AD292" i="1"/>
  <c r="AE292" i="1" s="1"/>
  <c r="AD356" i="1"/>
  <c r="AE356" i="1" s="1"/>
  <c r="AD420" i="1"/>
  <c r="AE420" i="1" s="1"/>
  <c r="AD484" i="1"/>
  <c r="AE484" i="1" s="1"/>
  <c r="AD548" i="1"/>
  <c r="AE548" i="1"/>
  <c r="AD612" i="1"/>
  <c r="AE612" i="1" s="1"/>
  <c r="AD156" i="1"/>
  <c r="AE156" i="1" s="1"/>
  <c r="AD200" i="1"/>
  <c r="AE200" i="1" s="1"/>
  <c r="AD552" i="1"/>
  <c r="AE552" i="1" s="1"/>
  <c r="AD444" i="1"/>
  <c r="AE444" i="1" s="1"/>
  <c r="AD100" i="1"/>
  <c r="AE100" i="1" s="1"/>
  <c r="AE52" i="1"/>
  <c r="AD52" i="1"/>
  <c r="AD288" i="1"/>
  <c r="AE288" i="1" s="1"/>
  <c r="AD448" i="1"/>
  <c r="AE448" i="1" s="1"/>
  <c r="AD212" i="1"/>
  <c r="AE212" i="1" s="1"/>
  <c r="AD404" i="1"/>
  <c r="AE404" i="1" s="1"/>
  <c r="AD532" i="1"/>
  <c r="AE532" i="1" s="1"/>
  <c r="AD104" i="1"/>
  <c r="AE104" i="1" s="1"/>
  <c r="AD392" i="1"/>
  <c r="AE392" i="1" s="1"/>
  <c r="AD584" i="1"/>
  <c r="AE584" i="1" s="1"/>
  <c r="AD12" i="1"/>
  <c r="AE12" i="1" s="1"/>
  <c r="AD76" i="1"/>
  <c r="AE76" i="1" s="1"/>
  <c r="AD140" i="1"/>
  <c r="AE140" i="1" s="1"/>
  <c r="AD56" i="1"/>
  <c r="AE56" i="1" s="1"/>
  <c r="AD120" i="1"/>
  <c r="AE120" i="1" s="1"/>
  <c r="AD184" i="1"/>
  <c r="AE184" i="1" s="1"/>
  <c r="AD248" i="1"/>
  <c r="AE248" i="1" s="1"/>
  <c r="AE312" i="1"/>
  <c r="AD312" i="1"/>
  <c r="AD408" i="1"/>
  <c r="AE408" i="1" s="1"/>
  <c r="AD472" i="1"/>
  <c r="AE472" i="1"/>
  <c r="AD536" i="1"/>
  <c r="AE536" i="1" s="1"/>
  <c r="AD600" i="1"/>
  <c r="AE600" i="1" s="1"/>
  <c r="AD172" i="1"/>
  <c r="AE172" i="1" s="1"/>
  <c r="AD236" i="1"/>
  <c r="AE236" i="1" s="1"/>
  <c r="AD300" i="1"/>
  <c r="AE300" i="1" s="1"/>
  <c r="AD364" i="1"/>
  <c r="AE364" i="1" s="1"/>
  <c r="AD428" i="1"/>
  <c r="AE428" i="1" s="1"/>
  <c r="AD492" i="1"/>
  <c r="AE492" i="1" s="1"/>
  <c r="AD556" i="1"/>
  <c r="AE556" i="1" s="1"/>
  <c r="AD620" i="1"/>
  <c r="AE620" i="1" s="1"/>
  <c r="AD92" i="1"/>
  <c r="AE92" i="1" s="1"/>
  <c r="AD72" i="1"/>
  <c r="AE72" i="1"/>
  <c r="AD616" i="1"/>
  <c r="AE616" i="1" s="1"/>
  <c r="AE116" i="1"/>
  <c r="AD116" i="1"/>
  <c r="AD96" i="1"/>
  <c r="AE96" i="1"/>
  <c r="AD512" i="1"/>
  <c r="AE512" i="1" s="1"/>
  <c r="AD60" i="1"/>
  <c r="AE60" i="1" s="1"/>
  <c r="AD40" i="1"/>
  <c r="AE40" i="1" s="1"/>
  <c r="AD232" i="1"/>
  <c r="AE232" i="1" s="1"/>
  <c r="AD20" i="1"/>
  <c r="AE20" i="1" s="1"/>
  <c r="AD84" i="1"/>
  <c r="AE84" i="1" s="1"/>
  <c r="AD148" i="1"/>
  <c r="AE148" i="1" s="1"/>
  <c r="AD64" i="1"/>
  <c r="AE64" i="1" s="1"/>
  <c r="AD128" i="1"/>
  <c r="AE128" i="1" s="1"/>
  <c r="AD192" i="1"/>
  <c r="AE192" i="1" s="1"/>
  <c r="AD256" i="1"/>
  <c r="AE256" i="1" s="1"/>
  <c r="AD320" i="1"/>
  <c r="AE320" i="1" s="1"/>
  <c r="AD352" i="1"/>
  <c r="AE352" i="1" s="1"/>
  <c r="AD416" i="1"/>
  <c r="AE416" i="1" s="1"/>
  <c r="AD480" i="1"/>
  <c r="AE480" i="1" s="1"/>
  <c r="AD544" i="1"/>
  <c r="AE544" i="1" s="1"/>
  <c r="AD608" i="1"/>
  <c r="AE608" i="1" s="1"/>
  <c r="AD180" i="1"/>
  <c r="AE180" i="1" s="1"/>
  <c r="AD244" i="1"/>
  <c r="AE244" i="1" s="1"/>
  <c r="AD308" i="1"/>
  <c r="AE308" i="1" s="1"/>
  <c r="AD372" i="1"/>
  <c r="AE372" i="1" s="1"/>
  <c r="AD436" i="1"/>
  <c r="AE436" i="1" s="1"/>
  <c r="AD500" i="1"/>
  <c r="AE500" i="1" s="1"/>
  <c r="AD564" i="1"/>
  <c r="AE564" i="1" s="1"/>
  <c r="AD628" i="1"/>
  <c r="AE628" i="1" s="1"/>
  <c r="AN634" i="1"/>
  <c r="AD634" i="1" l="1"/>
  <c r="B6" i="18"/>
</calcChain>
</file>

<file path=xl/sharedStrings.xml><?xml version="1.0" encoding="utf-8"?>
<sst xmlns="http://schemas.openxmlformats.org/spreadsheetml/2006/main" count="6765" uniqueCount="1547">
  <si>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</si>
  <si>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</si>
  <si>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</si>
  <si>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</si>
  <si>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</si>
  <si>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</si>
  <si>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</si>
  <si>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</si>
  <si>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</si>
  <si>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</si>
  <si>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</si>
  <si>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</si>
  <si>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</si>
  <si>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</si>
  <si>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</si>
  <si>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</si>
  <si>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</si>
  <si>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</si>
  <si>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</si>
  <si>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</si>
  <si>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</si>
  <si>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</si>
  <si>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</si>
  <si>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</si>
  <si>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</si>
  <si>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</si>
  <si>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</si>
  <si>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</si>
  <si>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</si>
  <si>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</si>
  <si>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</si>
  <si>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</si>
  <si>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</si>
  <si>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</si>
  <si>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</si>
  <si>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</si>
  <si>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</si>
  <si>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</si>
  <si>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</si>
  <si>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</si>
  <si>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</si>
  <si>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</si>
  <si>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</si>
  <si>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</si>
  <si>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</si>
  <si>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</si>
  <si>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</si>
  <si>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</si>
  <si>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</si>
  <si>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</si>
  <si>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</si>
  <si>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</si>
  <si>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</si>
  <si>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</si>
  <si>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</si>
  <si>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</si>
  <si>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</si>
  <si>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</si>
  <si>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</si>
  <si>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</si>
  <si>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</si>
  <si>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</si>
  <si>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</si>
  <si>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</si>
  <si>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</si>
  <si>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</si>
  <si>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</si>
  <si>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</si>
  <si>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</si>
  <si>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</si>
  <si>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</si>
  <si>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</si>
  <si>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</si>
  <si>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</si>
  <si>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</si>
  <si>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</si>
  <si>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</si>
  <si>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</si>
  <si>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</si>
  <si>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</si>
  <si>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</si>
  <si>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</si>
  <si>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</si>
  <si>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</si>
  <si>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</si>
  <si>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</si>
  <si>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</si>
  <si>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</si>
  <si>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</si>
  <si>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</si>
  <si>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</si>
  <si>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</si>
  <si>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</si>
  <si>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</si>
  <si>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</si>
  <si>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</si>
  <si>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</si>
  <si>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</si>
  <si>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</si>
  <si>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</si>
  <si>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</si>
  <si>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</si>
  <si>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</si>
  <si>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</si>
  <si>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</si>
  <si>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</si>
  <si>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</si>
  <si>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</si>
  <si>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</si>
  <si>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</si>
  <si>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</si>
  <si>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</si>
  <si>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</si>
  <si>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</si>
  <si>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</si>
  <si>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</si>
  <si>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</si>
  <si>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</si>
  <si>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</si>
  <si>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</si>
  <si>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</si>
  <si>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</si>
  <si>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</si>
  <si>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</si>
  <si>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</si>
  <si>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</si>
  <si>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</si>
  <si>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</si>
  <si>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</si>
  <si>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</si>
  <si>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</si>
  <si>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</si>
  <si>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</si>
  <si>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</si>
  <si>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</si>
  <si>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</si>
  <si>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</si>
  <si>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</si>
  <si>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</si>
  <si>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</si>
  <si>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</si>
  <si>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</si>
  <si>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</si>
  <si>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</si>
  <si>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</si>
  <si>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</si>
  <si>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</si>
  <si>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</si>
  <si>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</si>
  <si>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</si>
  <si>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</si>
  <si>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</si>
  <si>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</si>
  <si>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</si>
  <si>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</si>
  <si>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</si>
  <si>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</si>
  <si>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</si>
  <si>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</si>
  <si>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</si>
  <si>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</si>
  <si>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</si>
  <si>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</si>
  <si>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</si>
  <si>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</si>
  <si>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</si>
  <si>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</si>
  <si>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</si>
  <si>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</si>
  <si>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</si>
  <si>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</si>
  <si>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</si>
  <si>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</si>
  <si>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</si>
  <si>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</si>
  <si>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</si>
  <si>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</si>
  <si>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</si>
  <si>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</si>
  <si>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</si>
  <si>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</si>
  <si>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</si>
  <si>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</si>
  <si>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</si>
  <si>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</si>
  <si>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</si>
  <si>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</si>
  <si>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</si>
  <si>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</si>
  <si>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</si>
  <si>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</si>
  <si>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</si>
  <si>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</si>
  <si>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</si>
  <si>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</si>
  <si>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</si>
  <si>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</si>
  <si>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</si>
  <si>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</si>
  <si>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</si>
  <si>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</si>
  <si>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</si>
  <si>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</si>
  <si>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</si>
  <si>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</si>
  <si>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</si>
  <si>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</si>
  <si>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</si>
  <si>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</si>
  <si>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</si>
  <si>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</si>
  <si>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</si>
  <si>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</si>
  <si>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</si>
  <si>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</si>
  <si>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</si>
  <si>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</si>
  <si>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</si>
  <si>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</si>
  <si>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</si>
  <si>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</si>
  <si>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</si>
  <si>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</si>
  <si>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</si>
  <si>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</si>
  <si>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</si>
  <si>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</si>
  <si>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</si>
  <si>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</si>
  <si>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</si>
  <si>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</si>
  <si>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</si>
  <si>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</si>
  <si>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</si>
  <si>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</si>
  <si>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</si>
  <si>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</si>
  <si>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</si>
  <si>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</si>
  <si>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</si>
  <si>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</si>
  <si>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</si>
  <si>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</si>
  <si>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</si>
  <si>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</si>
  <si>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</si>
  <si>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</si>
  <si>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</si>
  <si>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</si>
  <si>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</si>
  <si>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</si>
  <si>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</si>
  <si>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</si>
  <si>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</si>
  <si>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</si>
  <si>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</si>
  <si>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</si>
  <si>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</si>
  <si>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</si>
  <si>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</si>
  <si>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</si>
  <si>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</si>
  <si>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</si>
  <si>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</si>
  <si>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</si>
  <si>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</si>
  <si>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</si>
  <si>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</si>
  <si>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</si>
  <si>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</si>
  <si>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</si>
  <si>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</si>
  <si>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</si>
  <si>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</si>
  <si>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</si>
  <si>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</si>
  <si>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</si>
  <si>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</si>
  <si>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</si>
  <si>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</si>
  <si>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</si>
  <si>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</si>
  <si>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</si>
  <si>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</si>
  <si>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</si>
  <si>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</si>
  <si>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</si>
  <si>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</si>
  <si>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</si>
  <si>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</si>
  <si>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</si>
  <si>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</si>
  <si>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</si>
  <si>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</si>
  <si>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</si>
  <si>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</si>
  <si>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</si>
  <si>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</si>
  <si>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</si>
  <si>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</si>
  <si>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</si>
  <si>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</si>
  <si>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</si>
  <si>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</si>
  <si>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</si>
  <si>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</si>
  <si>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</si>
  <si>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</si>
  <si>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</si>
  <si>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</si>
  <si>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</si>
  <si>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</si>
  <si>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</si>
  <si>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</si>
  <si>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</si>
  <si>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</si>
  <si>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</si>
  <si>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</si>
  <si>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</si>
  <si>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</si>
  <si>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</si>
  <si>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</si>
  <si>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</si>
  <si>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</si>
  <si>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</si>
  <si>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</si>
  <si>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</si>
  <si>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</si>
  <si>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</si>
  <si>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</si>
  <si>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</si>
  <si>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</si>
  <si>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</si>
  <si>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</si>
  <si>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</si>
  <si>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</si>
  <si>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</si>
  <si>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</si>
  <si>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</si>
  <si>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</si>
  <si>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</si>
  <si>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</si>
  <si>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</si>
  <si>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</si>
  <si>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</si>
  <si>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</si>
  <si>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</si>
  <si>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</si>
  <si>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</si>
  <si>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</si>
  <si>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</si>
  <si>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</si>
  <si>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</si>
  <si>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</si>
  <si>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</si>
  <si>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</si>
  <si>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</si>
  <si>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</si>
  <si>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</si>
  <si>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</si>
  <si>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</si>
  <si>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</si>
  <si>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</si>
  <si>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</si>
  <si>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</si>
  <si>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</si>
  <si>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</si>
  <si>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</si>
  <si>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</si>
  <si>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</si>
  <si>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</si>
  <si>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</si>
  <si>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</si>
  <si>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</si>
  <si>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</si>
  <si>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</si>
  <si>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</si>
  <si>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</si>
  <si>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</si>
  <si>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</si>
  <si>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</si>
  <si>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</si>
  <si>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</si>
  <si>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</si>
  <si>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</si>
  <si>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</si>
  <si>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</si>
  <si>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</si>
  <si>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</si>
  <si>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</si>
  <si>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</si>
  <si>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</si>
  <si>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</si>
  <si>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</si>
  <si>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</si>
  <si>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</si>
  <si>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</si>
  <si>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</si>
  <si>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</si>
  <si>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</si>
  <si>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</si>
  <si>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</si>
  <si>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</si>
  <si>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</si>
  <si>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</si>
  <si>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</si>
  <si>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</si>
  <si>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</si>
  <si>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</si>
  <si>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</si>
  <si>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</si>
  <si>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</si>
  <si>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</si>
  <si>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</si>
  <si>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</si>
  <si>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</si>
  <si>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</si>
  <si>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</si>
  <si>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</si>
  <si>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</si>
  <si>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</si>
  <si>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</si>
  <si>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</si>
  <si>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</si>
  <si>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</si>
  <si>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</si>
  <si>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</si>
  <si>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</si>
  <si>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</si>
  <si>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</si>
  <si>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</si>
  <si>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</si>
  <si>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</si>
  <si>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</si>
  <si>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</si>
  <si>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</si>
  <si>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</si>
  <si>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</si>
  <si>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</si>
  <si>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</si>
  <si>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</si>
  <si>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</si>
  <si>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</si>
  <si>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</si>
  <si>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</si>
  <si>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</si>
  <si>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</si>
  <si>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</si>
  <si>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</si>
  <si>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</si>
  <si>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</si>
  <si>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</si>
  <si>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</si>
  <si>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</si>
  <si>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</si>
  <si>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</si>
  <si>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</si>
  <si>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</si>
  <si>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</si>
  <si>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</si>
  <si>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</si>
  <si>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</si>
  <si>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</si>
  <si>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</si>
  <si>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</si>
  <si>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</si>
  <si>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</si>
  <si>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</si>
  <si>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</si>
  <si>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</si>
  <si>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</si>
  <si>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</si>
  <si>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</si>
  <si>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</si>
  <si>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</si>
  <si>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</si>
  <si>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</si>
  <si>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</si>
  <si>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</si>
  <si>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</si>
  <si>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</si>
  <si>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</si>
  <si>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</si>
  <si>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</si>
  <si>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</si>
  <si>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</si>
  <si>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</si>
  <si>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</si>
  <si>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</si>
  <si>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</si>
  <si>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</si>
  <si>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</si>
  <si>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</si>
  <si>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</si>
  <si>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</si>
  <si>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</si>
  <si>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</si>
  <si>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</si>
  <si>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</si>
  <si>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</si>
  <si>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</si>
  <si>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</si>
  <si>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</si>
  <si>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</si>
  <si>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</si>
  <si>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</si>
  <si>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</si>
  <si>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</si>
  <si>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</si>
  <si>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</si>
  <si>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</si>
  <si>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</si>
  <si>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</si>
  <si>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</si>
  <si>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</si>
  <si>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</si>
  <si>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</si>
  <si>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</si>
  <si>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</si>
  <si>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</si>
  <si>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</si>
  <si>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</si>
  <si>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</si>
  <si>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</si>
  <si>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</si>
  <si>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</si>
  <si>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</si>
  <si>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</si>
  <si>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</si>
  <si>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</si>
  <si>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</si>
  <si>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</si>
  <si>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</si>
  <si>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</si>
  <si>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</si>
  <si>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</si>
  <si>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</si>
  <si>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</si>
  <si>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</si>
  <si>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</si>
  <si>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</si>
  <si>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</si>
  <si>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</si>
  <si>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</si>
  <si>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</si>
  <si>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</si>
  <si>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</si>
  <si>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</si>
  <si>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</si>
  <si>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</si>
  <si>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</si>
  <si>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</si>
  <si>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</si>
  <si>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</si>
  <si>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</si>
  <si>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</si>
  <si>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</si>
  <si>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</si>
  <si>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</si>
  <si>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</si>
  <si>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</si>
  <si>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</si>
  <si>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</si>
  <si>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</si>
  <si>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</si>
  <si>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</si>
  <si>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</si>
  <si>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</si>
  <si>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</si>
  <si>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</si>
  <si>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</si>
  <si>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</si>
  <si>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</si>
  <si>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</si>
  <si>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</si>
  <si>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</si>
  <si>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</si>
  <si>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</si>
  <si>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</si>
  <si>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</si>
  <si>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</si>
  <si>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</si>
  <si>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</si>
  <si>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</si>
  <si>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</si>
  <si>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</si>
  <si>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</si>
  <si>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</si>
  <si>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</si>
  <si>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</si>
  <si>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</si>
  <si>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</si>
  <si>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</si>
  <si>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</si>
  <si>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</si>
  <si>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</si>
  <si>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</si>
  <si>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</si>
  <si>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</si>
  <si>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</si>
  <si>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</si>
  <si>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</si>
  <si>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</si>
  <si>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</si>
  <si>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</si>
  <si>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</si>
  <si>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</si>
  <si>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</si>
  <si>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</si>
  <si>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</si>
  <si>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</si>
  <si>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</si>
  <si>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</si>
  <si>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</si>
  <si>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</si>
  <si>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</si>
  <si>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</si>
  <si>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</si>
  <si>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</si>
  <si>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</si>
  <si>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</si>
  <si>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</si>
  <si>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</si>
  <si>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</si>
  <si>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</si>
  <si>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</si>
  <si>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</si>
  <si>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</si>
  <si>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</si>
  <si>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</si>
  <si>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</si>
  <si>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</si>
  <si>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</si>
  <si>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</si>
  <si>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</si>
  <si>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</si>
  <si>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</si>
  <si>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</si>
  <si>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</si>
  <si>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</si>
  <si>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</si>
  <si>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</si>
  <si>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</si>
  <si>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</si>
  <si>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</si>
  <si>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</si>
  <si>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</si>
  <si>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</si>
  <si>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</si>
  <si>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</si>
  <si>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</si>
  <si>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</si>
  <si>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</si>
  <si>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</si>
  <si>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</si>
  <si>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</si>
  <si>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</si>
  <si>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</si>
  <si>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</si>
  <si>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</si>
  <si>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</si>
  <si>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</si>
  <si>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</si>
  <si>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</si>
  <si>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</si>
  <si>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</si>
  <si>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</si>
  <si>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</si>
  <si>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</si>
  <si>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</si>
  <si>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</si>
  <si>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</si>
  <si>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</si>
  <si>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</si>
  <si>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</si>
  <si>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</si>
  <si>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</si>
  <si>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</si>
  <si>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</si>
  <si>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</si>
  <si>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</si>
  <si>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</si>
  <si>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</si>
  <si>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</si>
  <si>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</si>
  <si>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</si>
  <si>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</si>
  <si>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</si>
  <si>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</si>
  <si>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</si>
  <si>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</si>
  <si>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</si>
  <si>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</si>
  <si>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</si>
  <si>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</si>
  <si>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</si>
  <si>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</si>
  <si>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</si>
  <si>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</si>
  <si>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</si>
  <si>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</si>
  <si>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</si>
  <si>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</si>
  <si>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</si>
  <si>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</si>
  <si>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</si>
  <si>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</si>
  <si>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</si>
  <si>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</si>
  <si>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</si>
  <si>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</si>
  <si>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</si>
  <si>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</si>
  <si>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</si>
  <si>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</si>
  <si>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</si>
  <si>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</si>
  <si>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</si>
  <si>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</si>
  <si>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</si>
  <si>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</si>
  <si>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</si>
  <si>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</si>
  <si>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</si>
  <si>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</si>
  <si>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</si>
  <si>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</si>
  <si>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</si>
  <si>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</si>
  <si>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</si>
  <si>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</si>
  <si>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</si>
  <si>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</si>
  <si>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</si>
  <si>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</si>
  <si>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</si>
  <si>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</si>
  <si>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</si>
  <si>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</si>
  <si>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</si>
  <si>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</si>
  <si>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</si>
  <si>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</si>
  <si>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</si>
  <si>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</si>
  <si>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</si>
  <si>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</si>
  <si>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</si>
  <si>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</si>
  <si>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</si>
  <si>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</si>
  <si>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</si>
  <si>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</si>
  <si>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</si>
  <si>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</si>
  <si>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</si>
  <si>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</si>
  <si>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</si>
  <si>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</si>
  <si>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</si>
  <si>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</si>
  <si>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</si>
  <si>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</si>
  <si>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</si>
  <si>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</si>
  <si>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</si>
  <si>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</si>
  <si>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</si>
  <si>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</si>
  <si>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</si>
  <si>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</si>
  <si>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</si>
  <si>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</si>
  <si>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</si>
  <si>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</si>
  <si>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</si>
  <si>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</si>
  <si>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</si>
  <si>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</si>
  <si>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</si>
  <si>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</si>
  <si>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</si>
  <si>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</si>
  <si>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</si>
  <si>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</si>
  <si>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</si>
  <si>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</si>
  <si>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</si>
  <si>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</si>
  <si>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</si>
  <si>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</si>
  <si>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</si>
  <si>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</si>
  <si>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</si>
  <si>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</si>
  <si>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</si>
  <si>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</si>
  <si>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</si>
  <si>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</si>
  <si>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</si>
  <si>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</si>
  <si>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</si>
  <si>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</si>
  <si>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</si>
  <si>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</si>
  <si>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</si>
  <si>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</si>
  <si>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</si>
  <si>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</si>
  <si>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</si>
  <si>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</si>
  <si>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</si>
  <si>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</si>
  <si>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</si>
  <si>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</si>
  <si>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</si>
  <si>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</si>
  <si>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</si>
  <si>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</si>
  <si>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</si>
  <si>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</si>
  <si>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</si>
  <si>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</si>
  <si>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</si>
  <si>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</si>
  <si>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</si>
  <si>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</si>
  <si>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</si>
  <si>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</si>
  <si>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</si>
  <si>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</si>
  <si>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</si>
  <si>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</si>
  <si>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</si>
  <si>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</si>
  <si>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</si>
  <si>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</si>
  <si>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</si>
  <si>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</si>
  <si>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</si>
  <si>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</si>
  <si>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</si>
  <si>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</si>
  <si>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</si>
  <si>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</si>
  <si>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</si>
  <si>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</si>
  <si>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</si>
  <si>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</si>
  <si>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</si>
  <si>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</si>
  <si>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</si>
  <si>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</si>
  <si>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</si>
  <si>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</si>
  <si>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</si>
  <si>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</si>
  <si>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</si>
  <si>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</si>
  <si>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</si>
  <si>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</si>
  <si>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</si>
  <si>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</si>
  <si>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</si>
  <si>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</si>
  <si>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</si>
  <si>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</si>
  <si>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</si>
  <si>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</si>
  <si>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</si>
  <si>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</si>
  <si>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</si>
  <si>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</si>
  <si>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</si>
  <si>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</si>
  <si>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</si>
  <si>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</si>
  <si>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</si>
  <si>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</si>
  <si>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</si>
  <si>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</si>
  <si>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</si>
  <si>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</si>
  <si>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</si>
  <si>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</si>
  <si>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</si>
  <si>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</si>
  <si>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</si>
  <si>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</si>
  <si>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</si>
  <si>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</si>
  <si>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</si>
  <si>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</si>
  <si>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</si>
  <si>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</si>
  <si>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</si>
  <si>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</si>
  <si>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</si>
  <si>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</si>
  <si>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</si>
  <si>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</si>
  <si>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</si>
  <si>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</si>
  <si>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</si>
  <si>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</si>
  <si>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</si>
  <si>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</si>
  <si>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</si>
  <si>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</si>
  <si>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</si>
  <si>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</si>
  <si>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</si>
  <si>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</si>
  <si>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</si>
  <si>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</si>
  <si>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</si>
  <si>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</si>
  <si>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</si>
  <si>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</si>
  <si>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</si>
  <si>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</si>
  <si>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</si>
  <si>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</si>
  <si>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</si>
  <si>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</si>
  <si>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</si>
  <si>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</si>
  <si>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</si>
  <si>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</si>
  <si>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</si>
  <si>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</si>
  <si>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</si>
  <si>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</si>
  <si>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</si>
  <si>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</si>
  <si>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</si>
  <si>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</si>
  <si>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</si>
  <si>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</si>
  <si>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</si>
  <si>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</si>
  <si>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</si>
  <si>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</si>
  <si>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</si>
  <si>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</si>
  <si>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</si>
  <si>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</si>
  <si>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</si>
  <si>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</si>
  <si>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</si>
  <si>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</si>
  <si>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</si>
  <si>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</si>
  <si>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</si>
  <si>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</si>
  <si>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</si>
  <si>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</si>
  <si>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</si>
  <si>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</si>
  <si>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</si>
  <si>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</si>
  <si>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</si>
  <si>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</si>
  <si>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</si>
  <si>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</si>
  <si>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</si>
  <si>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</si>
  <si>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</si>
  <si>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</si>
  <si>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</si>
  <si>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</si>
  <si>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</si>
  <si>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</si>
  <si>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</si>
  <si>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</si>
  <si>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</si>
  <si>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</si>
  <si>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</si>
  <si>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</si>
  <si>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</si>
  <si>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</si>
  <si>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</si>
  <si>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</si>
  <si>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</si>
  <si>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</si>
  <si>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</si>
  <si>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</si>
  <si>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</si>
  <si>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</si>
  <si>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</si>
  <si>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</si>
  <si>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</si>
  <si>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</si>
  <si>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</si>
  <si>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</si>
  <si>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</si>
  <si>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</si>
  <si>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</si>
  <si>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</si>
  <si>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</si>
  <si>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</si>
  <si>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</si>
  <si>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</si>
  <si>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</si>
  <si>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</si>
  <si>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</si>
  <si>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</si>
  <si>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</si>
  <si>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</si>
  <si>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</si>
  <si>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</si>
  <si>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</si>
  <si>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</si>
  <si>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</si>
  <si>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</si>
  <si>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</si>
  <si>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</si>
  <si>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</si>
  <si>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</si>
  <si>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</si>
  <si>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</si>
  <si>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</si>
  <si>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</si>
  <si>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</si>
  <si>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</si>
  <si>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</si>
  <si>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</si>
  <si>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</si>
  <si>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</si>
  <si>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</si>
  <si>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</si>
  <si>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</si>
  <si>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</si>
  <si>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</si>
  <si>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</si>
  <si>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</si>
  <si>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</si>
  <si>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</si>
  <si>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</si>
  <si>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</si>
  <si>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</si>
  <si>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</si>
  <si>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</si>
  <si>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</si>
  <si>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</si>
  <si>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</si>
  <si>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</si>
  <si>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</si>
  <si>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</si>
  <si>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</si>
  <si>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</si>
  <si>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</si>
  <si>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</si>
  <si>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</si>
  <si>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</si>
  <si>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</si>
  <si>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</si>
  <si>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</si>
  <si>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</si>
  <si>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</si>
  <si>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</si>
  <si>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</si>
  <si>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</si>
  <si>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</si>
  <si>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</si>
  <si>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</si>
  <si>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</si>
  <si>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</si>
  <si>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</si>
  <si>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</si>
  <si>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</si>
  <si>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</si>
  <si>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</si>
  <si>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</si>
  <si>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</si>
  <si>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</si>
  <si>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</si>
  <si>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</si>
  <si>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</si>
  <si>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</si>
  <si>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</si>
  <si>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</si>
  <si>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</si>
  <si>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</si>
  <si>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</si>
  <si>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</si>
  <si>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</si>
  <si>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</si>
  <si>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</si>
  <si>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</si>
  <si>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</si>
  <si>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</si>
  <si>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</si>
  <si>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</si>
  <si>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</si>
  <si>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</si>
  <si>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</si>
  <si>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</si>
  <si>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</si>
  <si>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</si>
  <si>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</si>
  <si>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</si>
  <si>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</si>
  <si>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</si>
  <si>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</si>
  <si>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</si>
  <si>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</si>
  <si>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</si>
  <si>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</si>
  <si>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</si>
  <si>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</si>
  <si>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</si>
  <si>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</si>
  <si>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</si>
  <si>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</si>
  <si>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</si>
  <si>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</si>
  <si>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</si>
  <si>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</si>
  <si>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</si>
  <si>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</si>
  <si>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</si>
  <si>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</si>
  <si>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</si>
  <si>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</si>
  <si>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</si>
  <si>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</si>
  <si>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</si>
  <si>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</si>
  <si>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</si>
  <si>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</si>
  <si>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</si>
  <si>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</si>
  <si>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</si>
  <si>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</si>
  <si>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</si>
  <si>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</si>
  <si>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</si>
  <si>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</si>
  <si>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</si>
  <si>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</si>
  <si>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</si>
  <si>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</si>
  <si>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</si>
  <si>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</si>
  <si>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</si>
  <si>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</si>
  <si>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</si>
  <si>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</si>
  <si>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</si>
  <si>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</si>
  <si>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</si>
  <si>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</si>
  <si>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</si>
  <si>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</si>
  <si>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</si>
  <si>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</si>
  <si>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</si>
  <si>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</si>
  <si>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</si>
  <si>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</si>
  <si>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</si>
  <si>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</si>
  <si>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</si>
  <si>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</si>
  <si>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</si>
  <si>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</si>
  <si>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</si>
  <si>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</si>
  <si>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</si>
  <si>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</si>
  <si>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</si>
  <si>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</si>
  <si>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</si>
  <si>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</si>
  <si>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</si>
  <si>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</si>
  <si>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</si>
  <si>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</si>
  <si>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</si>
  <si>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</si>
  <si>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</si>
  <si>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</si>
  <si>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</si>
  <si>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</si>
  <si>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</si>
  <si>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</si>
  <si>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</si>
  <si>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</si>
  <si>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</si>
  <si>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</si>
  <si>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</si>
  <si>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</si>
  <si>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</si>
  <si>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</si>
  <si>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</si>
  <si>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</si>
  <si>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</si>
  <si>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</si>
  <si>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</si>
  <si>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</si>
  <si>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</si>
  <si>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</si>
  <si>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</si>
  <si>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</si>
  <si>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</si>
  <si>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</si>
  <si>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</si>
  <si>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</si>
  <si>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</si>
  <si>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</si>
  <si>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</si>
  <si>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</si>
  <si>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</si>
  <si>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</si>
  <si>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</si>
  <si>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</si>
  <si>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</si>
  <si>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</si>
  <si>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</si>
  <si>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</si>
  <si>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</si>
  <si>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</si>
  <si>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</si>
  <si>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</si>
  <si>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</si>
  <si>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</si>
  <si>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</si>
  <si>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</si>
  <si>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</si>
  <si>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</si>
  <si>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</si>
  <si>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</si>
  <si>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</si>
  <si>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</si>
  <si>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</si>
  <si>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</si>
  <si>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</si>
  <si>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</si>
  <si>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</si>
  <si>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</si>
  <si>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</si>
  <si>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</si>
  <si>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</si>
  <si>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</si>
  <si>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</si>
  <si>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</si>
  <si>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</si>
  <si>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</si>
  <si>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</si>
  <si>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</si>
  <si>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</si>
  <si>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</si>
  <si>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</si>
  <si>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</si>
  <si>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</si>
  <si>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</si>
  <si>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</si>
  <si>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</si>
  <si>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</si>
  <si>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</si>
  <si>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</si>
  <si>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</si>
  <si>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</si>
  <si>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</si>
  <si>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</si>
  <si>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</si>
  <si>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</si>
  <si>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</si>
  <si>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</si>
  <si>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</si>
  <si>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</si>
  <si>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</si>
  <si>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</si>
  <si>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</si>
  <si>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</si>
  <si>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</si>
  <si>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</si>
  <si>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</si>
  <si>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</si>
  <si>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</si>
  <si>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</si>
  <si>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</si>
  <si>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</si>
  <si>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</si>
  <si>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</si>
  <si>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</si>
  <si>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</si>
  <si>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</si>
  <si>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</si>
  <si>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</si>
  <si>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</si>
  <si>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</si>
  <si>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</si>
  <si>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</si>
  <si>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</si>
  <si>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</si>
  <si>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</si>
  <si>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</si>
  <si>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</si>
  <si>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</si>
  <si>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</si>
  <si>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</si>
  <si>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</si>
  <si>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</si>
  <si>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</si>
  <si>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</si>
  <si>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</si>
  <si>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</si>
  <si>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</si>
  <si>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</si>
  <si>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</si>
  <si>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</si>
  <si>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</si>
  <si>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</si>
  <si>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</si>
  <si>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</si>
  <si>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</si>
  <si>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</si>
  <si>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</si>
  <si>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</si>
  <si>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</si>
  <si>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</si>
  <si>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</si>
  <si>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</si>
  <si>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</si>
  <si>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</si>
  <si>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</si>
  <si>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</si>
  <si>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</si>
  <si>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</si>
  <si>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</si>
  <si>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</si>
  <si>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</si>
  <si>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</si>
  <si>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</si>
  <si>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</si>
  <si>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</si>
  <si>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</si>
  <si>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</si>
  <si>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</si>
  <si>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</si>
  <si>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</si>
  <si>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</si>
  <si>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</si>
  <si>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</si>
  <si>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</si>
  <si>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</si>
  <si>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</si>
  <si>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</si>
  <si>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</si>
  <si>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</si>
  <si>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</si>
  <si>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</si>
  <si>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</si>
  <si>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</si>
  <si>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</si>
  <si>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</si>
  <si>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</si>
  <si>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</si>
  <si>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</si>
  <si>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</si>
  <si>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</si>
  <si>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</si>
  <si>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</si>
  <si>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</si>
  <si>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</si>
  <si>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</si>
  <si>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</si>
  <si>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</si>
  <si>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</si>
  <si>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</si>
  <si>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</si>
  <si>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</si>
  <si>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</si>
  <si>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</si>
  <si>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</si>
  <si>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</si>
  <si>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</si>
  <si>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</si>
  <si>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</si>
  <si>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</si>
  <si>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</si>
  <si>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</si>
  <si>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</si>
  <si>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</si>
  <si>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</si>
  <si>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</si>
  <si>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</si>
  <si>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</si>
  <si>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</si>
  <si>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</si>
  <si>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</si>
  <si>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</si>
  <si>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</si>
  <si>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</si>
  <si>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</si>
  <si>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</si>
  <si>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</si>
  <si>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</si>
  <si>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</si>
  <si>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</si>
  <si>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</si>
  <si>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</si>
  <si>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</si>
  <si>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</si>
  <si>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</si>
  <si>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</si>
  <si>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</si>
  <si>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</si>
  <si>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</si>
  <si>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</si>
  <si>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</si>
  <si>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</si>
  <si>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</si>
  <si>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</si>
  <si>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</si>
  <si>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</si>
  <si>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</si>
  <si>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</si>
  <si>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</si>
  <si>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</si>
  <si>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unknown</t>
  </si>
  <si>
    <t>Unassigned</t>
  </si>
  <si>
    <t>Unknown</t>
  </si>
  <si>
    <t>Issue</t>
  </si>
  <si>
    <t>Missing City</t>
  </si>
  <si>
    <t>Reviewed using Region and Country information. Records where city could not be confidently determined were labelled "Unknown".</t>
  </si>
  <si>
    <t>Missing Salesperson</t>
  </si>
  <si>
    <t>Replaced with "Unassigned" because transactions should remain in analysis without incorrectly assigning ownership.</t>
  </si>
  <si>
    <t>Missing Channel</t>
  </si>
  <si>
    <t>Filled using the most common channel for similar Region/ProductCategory combinations. Where unavailable, labelled "Unknown".</t>
  </si>
  <si>
    <t>Missing Value Handling Rules</t>
  </si>
  <si>
    <t>Suspicious Price and Discount Handling</t>
  </si>
  <si>
    <t>UnitPrice:</t>
  </si>
  <si>
    <t>Negative UnitPrice values were flagged as invalid because selling prices cannot be below zero. Invalid prices were corrected using the median valid UnitPrice within the same ProductCategory to maintain realistic pricing patterns.</t>
  </si>
  <si>
    <t>DiscountPct:</t>
  </si>
  <si>
    <t>Discount values above 30% were flagged as suspicious. These values were capped at 30%, based on the assumption that discounts above this level represent data entry errors or exceptional cases requiring correction.</t>
  </si>
  <si>
    <t>Discount_Tag</t>
  </si>
  <si>
    <t>Clean_DiscountPct</t>
  </si>
  <si>
    <t>Date_Check</t>
  </si>
  <si>
    <t>RequiredDate Correction Approach:</t>
  </si>
  <si>
    <t>The dataset was checked to ensure that RequiredDate was not earlier than OrderDate. Any records where RequiredDate occurred before OrderDate were flagged as invalid because they represented unrealistic delivery timelines.</t>
  </si>
  <si>
    <t>To correct these records, the normal delivery duration was calculated from valid transactions only by finding the difference between RequiredDate and OrderDate. The median of these valid lead times was calculated to represent the typical delivery period in the dataset.</t>
  </si>
  <si>
    <r>
      <t xml:space="preserve">The calculated median lead time was </t>
    </r>
    <r>
      <rPr>
        <b/>
        <sz val="11"/>
        <color theme="1"/>
        <rFont val="Calibri"/>
        <family val="2"/>
        <scheme val="minor"/>
      </rPr>
      <t>26 days</t>
    </r>
    <r>
      <rPr>
        <sz val="11"/>
        <color theme="1"/>
        <rFont val="Calibri"/>
        <family val="2"/>
        <scheme val="minor"/>
      </rPr>
      <t>. For invalid records, the original RequiredDate was replaced by adding the 26-day median lead time to the OrderDate. Valid RequiredDate values were retained without changes.</t>
    </r>
  </si>
  <si>
    <t>Formula logic used:</t>
  </si>
  <si>
    <t>If RequiredDate &lt; OrderDate → Clean RequiredDate = OrderDate + Median Lead Time</t>
  </si>
  <si>
    <t>Otherwise → Clean RequiredDate = Original RequiredDate</t>
  </si>
  <si>
    <t>This approach preserves the overall delivery pattern in the data while correcting unrealistic dates without using arbitrary assumptions.</t>
  </si>
  <si>
    <t>LeadTimeDays</t>
  </si>
  <si>
    <t>GrossRevenue</t>
  </si>
  <si>
    <t>CostofGoods</t>
  </si>
  <si>
    <t>GrossProfit</t>
  </si>
  <si>
    <t>OrderMonth</t>
  </si>
  <si>
    <t>OrderQuarter</t>
  </si>
  <si>
    <t>RegionHierarchy</t>
  </si>
  <si>
    <t>UnitPrice_Tag</t>
  </si>
  <si>
    <t>PriceBand</t>
  </si>
  <si>
    <t>QUARTILES</t>
  </si>
  <si>
    <t>CleanedRequiredDates</t>
  </si>
  <si>
    <t>Country_First SalesDate</t>
  </si>
  <si>
    <t>Row Labels</t>
  </si>
  <si>
    <t>(blank)</t>
  </si>
  <si>
    <t>Grand Total</t>
  </si>
  <si>
    <t>Column Labels</t>
  </si>
  <si>
    <t>Apr-2023</t>
  </si>
  <si>
    <t>Apr-2024</t>
  </si>
  <si>
    <t>Apr-2025</t>
  </si>
  <si>
    <t>Aug-2023</t>
  </si>
  <si>
    <t>Aug-2024</t>
  </si>
  <si>
    <t>Aug-2025</t>
  </si>
  <si>
    <t>Dec-2023</t>
  </si>
  <si>
    <t>Dec-2024</t>
  </si>
  <si>
    <t>Feb-2023</t>
  </si>
  <si>
    <t>Feb-2024</t>
  </si>
  <si>
    <t>Feb-2025</t>
  </si>
  <si>
    <t>Jan-2023</t>
  </si>
  <si>
    <t>Jan-2024</t>
  </si>
  <si>
    <t>Jan-2025</t>
  </si>
  <si>
    <t>Jul-2023</t>
  </si>
  <si>
    <t>Jul-2024</t>
  </si>
  <si>
    <t>Jul-2025</t>
  </si>
  <si>
    <t>Jun-2023</t>
  </si>
  <si>
    <t>Jun-2024</t>
  </si>
  <si>
    <t>Jun-2025</t>
  </si>
  <si>
    <t>Mar-2023</t>
  </si>
  <si>
    <t>Mar-2024</t>
  </si>
  <si>
    <t>Mar-2025</t>
  </si>
  <si>
    <t>May-2023</t>
  </si>
  <si>
    <t>May-2024</t>
  </si>
  <si>
    <t>May-2025</t>
  </si>
  <si>
    <t>Nov-2023</t>
  </si>
  <si>
    <t>Nov-2024</t>
  </si>
  <si>
    <t>Oct-2023</t>
  </si>
  <si>
    <t>Oct-2024</t>
  </si>
  <si>
    <t>Sep-2023</t>
  </si>
  <si>
    <t>Sep-2024</t>
  </si>
  <si>
    <t>Sep-2025</t>
  </si>
  <si>
    <t>Sum of GrossRevenue</t>
  </si>
  <si>
    <t>Count of OrderID</t>
  </si>
  <si>
    <t>Sum of GrossProfit</t>
  </si>
  <si>
    <t>Channel mix varies significantly across regions. Africa and Asia remain predominantly offline-driven, with Distributor and Retail channels contributing the majority of revenue. In contrast, Americas shows a strong digital shift, where Online revenue (689K) significantly exceeds Retail (302K), suggesting potential cannibalization of retail by online channels. Europe exhibits a balanced channel distribution, with Direct and Marketplace channels leading, and only mild substitution effects between Online and Retail.</t>
  </si>
  <si>
    <t>CHANNEL MIX AND CANNIBALIZATION</t>
  </si>
  <si>
    <t>OnTime_7Days</t>
  </si>
  <si>
    <t>Count of OnTime_7Days</t>
  </si>
  <si>
    <t>HighDiscount</t>
  </si>
  <si>
    <t>Average of HighDiscount</t>
  </si>
  <si>
    <t>Price compliance varies significantly across regions and salespeople. Certain salespeople in the Americas and Europe exhibit high proportions of orders with discounts above 20%, exceeding 30% in some cases, indicating potential pricing leakage or aggressive discounting behavior. In contrast, Africa shows relatively lower incidence of high discounts, suggesting stronger pricing discipline. These patterns highlight inconsistency in discount control across the salesforce.</t>
  </si>
  <si>
    <t xml:space="preserve">PRICE  COMPLIANCE </t>
  </si>
  <si>
    <t>Clean Unit Price</t>
  </si>
  <si>
    <t>MarginPct</t>
  </si>
  <si>
    <t>Order Percentage</t>
  </si>
  <si>
    <t>Global Discount Cap</t>
  </si>
  <si>
    <t>Unit Cost Inflation</t>
  </si>
  <si>
    <t>Quantity Uplift</t>
  </si>
  <si>
    <t>What_if Control Panel</t>
  </si>
  <si>
    <t>Baseline Revenue</t>
  </si>
  <si>
    <t>Baseline Profit</t>
  </si>
  <si>
    <t>ScenarioQty</t>
  </si>
  <si>
    <t>ScenarioDiscount</t>
  </si>
  <si>
    <t>ScenarioRevenue</t>
  </si>
  <si>
    <t>ScenarioProfit</t>
  </si>
  <si>
    <t>Scenario Modeling Results</t>
  </si>
  <si>
    <t>The What-If analysis was conducted using the following assumptions:</t>
  </si>
  <si>
    <r>
      <t xml:space="preserve">Global Discount Cap = </t>
    </r>
    <r>
      <rPr>
        <b/>
        <sz val="11"/>
        <color theme="1"/>
        <rFont val="Calibri"/>
        <family val="2"/>
        <scheme val="minor"/>
      </rPr>
      <t>5%</t>
    </r>
  </si>
  <si>
    <r>
      <t xml:space="preserve">Unit Cost Inflation = </t>
    </r>
    <r>
      <rPr>
        <b/>
        <sz val="11"/>
        <color theme="1"/>
        <rFont val="Calibri"/>
        <family val="2"/>
        <scheme val="minor"/>
      </rPr>
      <t>10%</t>
    </r>
  </si>
  <si>
    <r>
      <t xml:space="preserve">Quantity Uplift = </t>
    </r>
    <r>
      <rPr>
        <b/>
        <sz val="11"/>
        <color theme="1"/>
        <rFont val="Calibri"/>
        <family val="2"/>
        <scheme val="minor"/>
      </rPr>
      <t>20%</t>
    </r>
  </si>
  <si>
    <t>The recalculated Revenue and Profit metrics were compared with the baseline values as shown below:</t>
  </si>
  <si>
    <t>Metric</t>
  </si>
  <si>
    <t>Baseline</t>
  </si>
  <si>
    <t>Scenario</t>
  </si>
  <si>
    <t>Difference</t>
  </si>
  <si>
    <t>% Change</t>
  </si>
  <si>
    <t>Revenue</t>
  </si>
  <si>
    <t>Profit</t>
  </si>
  <si>
    <t>Interpretation</t>
  </si>
  <si>
    <r>
      <t xml:space="preserve">Under the scenario assumptions, revenue increased from </t>
    </r>
    <r>
      <rPr>
        <b/>
        <sz val="11"/>
        <color theme="1"/>
        <rFont val="Calibri"/>
        <family val="2"/>
        <scheme val="minor"/>
      </rPr>
      <t>7.53 million</t>
    </r>
    <r>
      <rPr>
        <sz val="11"/>
        <color theme="1"/>
        <rFont val="Calibri"/>
        <family val="2"/>
        <scheme val="minor"/>
      </rPr>
      <t xml:space="preserve"> to </t>
    </r>
    <r>
      <rPr>
        <b/>
        <sz val="11"/>
        <color theme="1"/>
        <rFont val="Calibri"/>
        <family val="2"/>
        <scheme val="minor"/>
      </rPr>
      <t>14.47 million</t>
    </r>
    <r>
      <rPr>
        <sz val="11"/>
        <color theme="1"/>
        <rFont val="Calibri"/>
        <family val="2"/>
        <scheme val="minor"/>
      </rPr>
      <t xml:space="preserve">, representing a </t>
    </r>
    <r>
      <rPr>
        <b/>
        <sz val="11"/>
        <color theme="1"/>
        <rFont val="Calibri"/>
        <family val="2"/>
        <scheme val="minor"/>
      </rPr>
      <t>92.23% increase</t>
    </r>
    <r>
      <rPr>
        <sz val="11"/>
        <color theme="1"/>
        <rFont val="Calibri"/>
        <family val="2"/>
        <scheme val="minor"/>
      </rPr>
      <t xml:space="preserve"> compared to the baseline. However, profit declined from </t>
    </r>
    <r>
      <rPr>
        <b/>
        <sz val="11"/>
        <color theme="1"/>
        <rFont val="Calibri"/>
        <family val="2"/>
        <scheme val="minor"/>
      </rPr>
      <t>3.53 million</t>
    </r>
    <r>
      <rPr>
        <sz val="11"/>
        <color theme="1"/>
        <rFont val="Calibri"/>
        <family val="2"/>
        <scheme val="minor"/>
      </rPr>
      <t xml:space="preserve"> to a </t>
    </r>
    <r>
      <rPr>
        <b/>
        <sz val="11"/>
        <color theme="1"/>
        <rFont val="Calibri"/>
        <family val="2"/>
        <scheme val="minor"/>
      </rPr>
      <t>loss of 2.01 million</t>
    </r>
    <r>
      <rPr>
        <sz val="11"/>
        <color theme="1"/>
        <rFont val="Calibri"/>
        <family val="2"/>
        <scheme val="minor"/>
      </rPr>
      <t xml:space="preserve">, representing a </t>
    </r>
    <r>
      <rPr>
        <b/>
        <sz val="11"/>
        <color theme="1"/>
        <rFont val="Calibri"/>
        <family val="2"/>
        <scheme val="minor"/>
      </rPr>
      <t>157.10% decrease</t>
    </r>
    <r>
      <rPr>
        <sz val="11"/>
        <color theme="1"/>
        <rFont val="Calibri"/>
        <family val="2"/>
        <scheme val="minor"/>
      </rPr>
      <t>. This indicates that although sales revenue improved significantly under the scenario, the increase in operating costs outweighed the revenue gains, resulting in a substantial reduction in profitability.</t>
    </r>
  </si>
  <si>
    <t>Scenario analysis showed that increasing sales volume by 20% while costs rose by 10% generated higher revenue (+92.23%) but reduced profitability, leading to a net loss of KES 2.01 million.</t>
  </si>
  <si>
    <r>
      <t xml:space="preserve">One note: before submitting, I would still verify the </t>
    </r>
    <r>
      <rPr>
        <b/>
        <sz val="11"/>
        <color theme="1"/>
        <rFont val="Calibri"/>
        <family val="2"/>
        <scheme val="minor"/>
      </rPr>
      <t>ScenarioRevenue formula</t>
    </r>
    <r>
      <rPr>
        <sz val="11"/>
        <color theme="1"/>
        <rFont val="Calibri"/>
        <family val="2"/>
        <scheme val="minor"/>
      </rPr>
      <t xml:space="preserve"> because a 20% quantity uplift producing a 92% revenue increase is unusual. If your instructor checks the numbers, it is worth confirming that the scenario formulas are behaving as intended.</t>
    </r>
  </si>
  <si>
    <t>Average of Clean_DiscountPct</t>
  </si>
  <si>
    <t>Executive Sales Performance Insights</t>
  </si>
  <si>
    <r>
      <t>Europe</t>
    </r>
    <r>
      <rPr>
        <sz val="11"/>
        <color theme="1"/>
        <rFont val="Calibri"/>
        <family val="2"/>
        <scheme val="minor"/>
      </rPr>
      <t xml:space="preserve"> delivers the strongest overall performance, generating the highest gross profit relative to its sales volume. This suggests effective pricing strategies and strong cost control compared to other regions.</t>
    </r>
  </si>
  <si>
    <r>
      <t>The Americas</t>
    </r>
    <r>
      <rPr>
        <sz val="11"/>
        <color theme="1"/>
        <rFont val="Calibri"/>
        <family val="2"/>
        <scheme val="minor"/>
      </rPr>
      <t xml:space="preserve"> contribute the largest share of total gross profit across all sales channels, with </t>
    </r>
    <r>
      <rPr>
        <b/>
        <sz val="11"/>
        <color theme="1"/>
        <rFont val="Calibri"/>
        <family val="2"/>
        <scheme val="minor"/>
      </rPr>
      <t>Direct</t>
    </r>
    <r>
      <rPr>
        <sz val="11"/>
        <color theme="1"/>
        <rFont val="Calibri"/>
        <family val="2"/>
        <scheme val="minor"/>
      </rPr>
      <t xml:space="preserve"> and </t>
    </r>
    <r>
      <rPr>
        <b/>
        <sz val="11"/>
        <color theme="1"/>
        <rFont val="Calibri"/>
        <family val="2"/>
        <scheme val="minor"/>
      </rPr>
      <t>Online</t>
    </r>
    <r>
      <rPr>
        <sz val="11"/>
        <color theme="1"/>
        <rFont val="Calibri"/>
        <family val="2"/>
        <scheme val="minor"/>
      </rPr>
      <t xml:space="preserve"> channels accounting for most of the region's profitability. This indicates a well-diversified sales strategy.</t>
    </r>
  </si>
  <si>
    <r>
      <t>Asia</t>
    </r>
    <r>
      <rPr>
        <sz val="11"/>
        <color theme="1"/>
        <rFont val="Calibri"/>
        <family val="2"/>
        <scheme val="minor"/>
      </rPr>
      <t xml:space="preserve"> records moderate gross profit but trails behind the Americas. The region relies heavily on the </t>
    </r>
    <r>
      <rPr>
        <b/>
        <sz val="11"/>
        <color theme="1"/>
        <rFont val="Calibri"/>
        <family val="2"/>
        <scheme val="minor"/>
      </rPr>
      <t>Direct</t>
    </r>
    <r>
      <rPr>
        <sz val="11"/>
        <color theme="1"/>
        <rFont val="Calibri"/>
        <family val="2"/>
        <scheme val="minor"/>
      </rPr>
      <t xml:space="preserve"> and </t>
    </r>
    <r>
      <rPr>
        <b/>
        <sz val="11"/>
        <color theme="1"/>
        <rFont val="Calibri"/>
        <family val="2"/>
        <scheme val="minor"/>
      </rPr>
      <t>Distributor</t>
    </r>
    <r>
      <rPr>
        <sz val="11"/>
        <color theme="1"/>
        <rFont val="Calibri"/>
        <family val="2"/>
        <scheme val="minor"/>
      </rPr>
      <t xml:space="preserve"> channels, highlighting an opportunity to expand Marketplace and Retail sales.</t>
    </r>
  </si>
  <si>
    <r>
      <t>Africa</t>
    </r>
    <r>
      <rPr>
        <sz val="11"/>
        <color theme="1"/>
        <rFont val="Calibri"/>
        <family val="2"/>
        <scheme val="minor"/>
      </rPr>
      <t xml:space="preserve"> has the lowest gross profit among the four regions, suggesting either lower sales volumes or limited market penetration. Increasing investment in high-performing channels could improve regional performance.</t>
    </r>
  </si>
  <si>
    <r>
      <t>Product revenue is concentrated in a few SKUs.</t>
    </r>
    <r>
      <rPr>
        <sz val="11"/>
        <color theme="1"/>
        <rFont val="Calibri"/>
        <family val="2"/>
        <scheme val="minor"/>
      </rPr>
      <t xml:space="preserve"> The highest-performing products generate over </t>
    </r>
    <r>
      <rPr>
        <b/>
        <sz val="11"/>
        <color theme="1"/>
        <rFont val="Calibri"/>
        <family val="2"/>
        <scheme val="minor"/>
      </rPr>
      <t>40,000</t>
    </r>
    <r>
      <rPr>
        <sz val="11"/>
        <color theme="1"/>
        <rFont val="Calibri"/>
        <family val="2"/>
        <scheme val="minor"/>
      </rPr>
      <t xml:space="preserve"> in revenue, while the lowest-performing products contribute less than </t>
    </r>
    <r>
      <rPr>
        <b/>
        <sz val="11"/>
        <color theme="1"/>
        <rFont val="Calibri"/>
        <family val="2"/>
        <scheme val="minor"/>
      </rPr>
      <t>20,000</t>
    </r>
    <r>
      <rPr>
        <sz val="11"/>
        <color theme="1"/>
        <rFont val="Calibri"/>
        <family val="2"/>
        <scheme val="minor"/>
      </rPr>
      <t>, indicating that a small number of products drive a significant portion of sales.</t>
    </r>
  </si>
  <si>
    <r>
      <t>Discount levels vary considerably across products.</t>
    </r>
    <r>
      <rPr>
        <sz val="11"/>
        <color theme="1"/>
        <rFont val="Calibri"/>
        <family val="2"/>
        <scheme val="minor"/>
      </rPr>
      <t xml:space="preserve"> Some SKUs receive discounts exceeding </t>
    </r>
    <r>
      <rPr>
        <b/>
        <sz val="11"/>
        <color theme="1"/>
        <rFont val="Calibri"/>
        <family val="2"/>
        <scheme val="minor"/>
      </rPr>
      <t>25%</t>
    </r>
    <r>
      <rPr>
        <sz val="11"/>
        <color theme="1"/>
        <rFont val="Calibri"/>
        <family val="2"/>
        <scheme val="minor"/>
      </rPr>
      <t xml:space="preserve">, while others receive less than </t>
    </r>
    <r>
      <rPr>
        <b/>
        <sz val="11"/>
        <color theme="1"/>
        <rFont val="Calibri"/>
        <family val="2"/>
        <scheme val="minor"/>
      </rPr>
      <t>5%</t>
    </r>
    <r>
      <rPr>
        <sz val="11"/>
        <color theme="1"/>
        <rFont val="Calibri"/>
        <family val="2"/>
        <scheme val="minor"/>
      </rPr>
      <t>. Evaluating whether these higher discounts translate into increased sales or reduced profitability could improve pricing decisions.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</si>
</sst>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9C0006"/>
      <name val="Calibri"/>
      <family val="2"/>
      <scheme val="minor"/>
    </font>
    <font>
      <b/>
      <sz val="13.5"/>
      <color theme="1"/>
      <name val="Calibri"/>
      <family val="2"/>
      <scheme val="minor"/>
    </font>
  </fonts>
  <fills count="8">
    <fill>
      <patternFill patternType="none"/>
    </fill>
    <fill>
      <patternFill patternType="gray125"/>
    </fill>
    <fill>
      <patternFill patternType="solid">
        <fgColor rgb="FFFFC7CE"/>
      </patternFill>
    </fill>
    <fill>
      <patternFill patternType="solid">
        <fgColor theme="4" tint="0.79998168889431442"/>
        <bgColor indexed="64"/>
      </patternFill>
    </fill>
    <fill>
      <patternFill patternType="solid">
        <fgColor theme="6"/>
        <bgColor indexed="64"/>
      </patternFill>
    </fill>
    <fill>
      <patternFill patternType="solid">
        <fgColor theme="5"/>
        <bgColor indexed="64"/>
      </patternFill>
    </fill>
    <fill>
      <patternFill patternType="solid">
        <fgColor theme="4"/>
        <bgColor indexed="64"/>
      </patternFill>
    </fill>
    <fill>
      <patternFill patternType="solid">
        <fgColor theme="6"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2" borderId="0" applyNumberFormat="0" applyBorder="0" applyAlignment="0" applyProtection="0"/>
  </cellStyleXfs>
  <cellXfs count="33">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2" fontId="1" fillId="0" borderId="1" xfId="0" applyNumberFormat="1" applyFont="1" applyBorder="1" applyAlignment="1">
      <alignment horizontal="center" vertical="top"/>
    </xf>
    <xf numFmtId="2"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2" fontId="1" fillId="0" borderId="2" xfId="0" applyNumberFormat="1" applyFont="1" applyFill="1" applyBorder="1" applyAlignment="1">
      <alignment horizontal="center" vertical="top"/>
    </xf>
    <xf numFmtId="0" fontId="3" fillId="0" borderId="0" xfId="0" applyFont="1" applyAlignment="1">
      <alignment vertical="center"/>
    </xf>
    <xf numFmtId="0" fontId="1" fillId="0" borderId="0" xfId="0" applyFont="1"/>
    <xf numFmtId="1" fontId="1" fillId="0" borderId="1" xfId="0" applyNumberFormat="1" applyFont="1" applyBorder="1" applyAlignment="1">
      <alignment horizontal="center" vertical="top"/>
    </xf>
    <xf numFmtId="1" fontId="0" fillId="0" borderId="0" xfId="0" applyNumberFormat="1"/>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2" fontId="1"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2" fillId="2" borderId="0" xfId="1"/>
    <xf numFmtId="0" fontId="0" fillId="0" borderId="0" xfId="0" applyAlignment="1">
      <alignment horizontal="left" indent="1"/>
    </xf>
    <xf numFmtId="10" fontId="0" fillId="0" borderId="0" xfId="0" applyNumberFormat="1"/>
    <xf numFmtId="10" fontId="0" fillId="0" borderId="0" xfId="0" applyNumberFormat="1" applyFont="1"/>
    <xf numFmtId="0" fontId="0" fillId="3" borderId="0" xfId="0" applyFill="1"/>
    <xf numFmtId="0" fontId="0" fillId="4" borderId="0" xfId="0" applyFill="1"/>
    <xf numFmtId="0" fontId="0" fillId="5" borderId="0" xfId="0" applyNumberFormat="1" applyFill="1"/>
    <xf numFmtId="0" fontId="0" fillId="6" borderId="0" xfId="0" applyNumberFormat="1" applyFill="1"/>
    <xf numFmtId="9" fontId="0" fillId="0" borderId="0" xfId="0" applyNumberFormat="1" applyAlignment="1">
      <alignment vertical="center" wrapText="1"/>
    </xf>
    <xf numFmtId="2" fontId="0" fillId="0" borderId="0" xfId="0" applyNumberFormat="1" applyAlignment="1">
      <alignment vertical="center" wrapText="1"/>
    </xf>
    <xf numFmtId="4" fontId="0" fillId="0" borderId="0" xfId="0" applyNumberFormat="1" applyAlignment="1">
      <alignment vertical="center" wrapText="1"/>
    </xf>
    <xf numFmtId="10" fontId="0" fillId="0" borderId="0" xfId="0" applyNumberFormat="1" applyAlignment="1">
      <alignment vertical="center" wrapText="1"/>
    </xf>
    <xf numFmtId="0" fontId="0" fillId="7" borderId="0" xfId="0" applyFill="1"/>
  </cellXfs>
  <cellStyles count="2">
    <cellStyle name="Bad" xfId="1" builtinId="27"/>
    <cellStyle name="Normal" xfId="0" builtinId="0"/>
  </cellStyles>
  <dxfs count="10">
    <dxf>
      <numFmt numFmtId="14" formatCode="0.00%"/>
    </dxf>
    <dxf>
      <numFmt numFmtId="14" formatCode="0.00%"/>
    </dxf>
    <dxf>
      <fill>
        <patternFill patternType="solid">
          <bgColor theme="4"/>
        </patternFill>
      </fill>
    </dxf>
    <dxf>
      <fill>
        <patternFill patternType="solid">
          <bgColor theme="4"/>
        </patternFill>
      </fill>
    </dxf>
    <dxf>
      <fill>
        <patternFill patternType="solid">
          <bgColor theme="4"/>
        </patternFill>
      </fill>
    </dxf>
    <dxf>
      <fill>
        <patternFill>
          <bgColor theme="5"/>
        </patternFill>
      </fill>
    </dxf>
    <dxf>
      <fill>
        <patternFill>
          <bgColor theme="5"/>
        </patternFill>
      </fill>
    </dxf>
    <dxf>
      <fill>
        <patternFill patternType="solid">
          <bgColor theme="4" tint="0.39997558519241921"/>
        </patternFill>
      </fill>
    </dxf>
    <dxf>
      <fill>
        <patternFill patternType="solid">
          <bgColor theme="5"/>
        </patternFill>
      </fill>
    </dxf>
    <dxf>
      <fill>
        <patternFill patternType="solid">
          <bgColor theme="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microsoft.com/office/2007/relationships/slicerCache" Target="slicerCaches/slicerCache5.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1.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4.xml"/><Relationship Id="rId30" Type="http://schemas.microsoft.com/office/2007/relationships/slicerCache" Target="slicerCaches/slicerCache3.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Brief1.xlsx]Sheet5!PivotTable41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multiLvlStrRef>
              <c:f>Sheet5!$A$4:$A$382</c:f>
              <c:multiLvlStrCache>
                <c:ptCount val="373"/>
                <c:lvl>
                  <c:pt idx="0">
                    <c:v>ACC-6626</c:v>
                  </c:pt>
                  <c:pt idx="1">
                    <c:v>ACC-1770</c:v>
                  </c:pt>
                  <c:pt idx="2">
                    <c:v>ACC-2988</c:v>
                  </c:pt>
                  <c:pt idx="3">
                    <c:v>ACC-9283</c:v>
                  </c:pt>
                  <c:pt idx="4">
                    <c:v>ACC-9533</c:v>
                  </c:pt>
                  <c:pt idx="5">
                    <c:v>ACC-8098</c:v>
                  </c:pt>
                  <c:pt idx="6">
                    <c:v>ACC-4490</c:v>
                  </c:pt>
                  <c:pt idx="7">
                    <c:v>ACC-7838</c:v>
                  </c:pt>
                  <c:pt idx="8">
                    <c:v>ACC-5177</c:v>
                  </c:pt>
                  <c:pt idx="9">
                    <c:v>ACC-9162</c:v>
                  </c:pt>
                  <c:pt idx="10">
                    <c:v>ACC-7078</c:v>
                  </c:pt>
                  <c:pt idx="11">
                    <c:v>ACC-1375</c:v>
                  </c:pt>
                  <c:pt idx="12">
                    <c:v>ACC-1659</c:v>
                  </c:pt>
                  <c:pt idx="13">
                    <c:v>ACC-1238</c:v>
                  </c:pt>
                  <c:pt idx="14">
                    <c:v>ACC-6223</c:v>
                  </c:pt>
                  <c:pt idx="15">
                    <c:v>ACC-4631</c:v>
                  </c:pt>
                  <c:pt idx="16">
                    <c:v>ACC-5334</c:v>
                  </c:pt>
                  <c:pt idx="17">
                    <c:v>ACC-6594</c:v>
                  </c:pt>
                  <c:pt idx="18">
                    <c:v>ACC-9644</c:v>
                  </c:pt>
                  <c:pt idx="19">
                    <c:v>ACC-8557</c:v>
                  </c:pt>
                  <c:pt idx="20">
                    <c:v>ACC-3103</c:v>
                  </c:pt>
                  <c:pt idx="21">
                    <c:v>ACC-1731</c:v>
                  </c:pt>
                  <c:pt idx="22">
                    <c:v>ACC-3721</c:v>
                  </c:pt>
                  <c:pt idx="23">
                    <c:v>ACC-9445</c:v>
                  </c:pt>
                  <c:pt idx="24">
                    <c:v>ACC-5150</c:v>
                  </c:pt>
                  <c:pt idx="25">
                    <c:v>ACC-9038</c:v>
                  </c:pt>
                  <c:pt idx="26">
                    <c:v>ACC-3645</c:v>
                  </c:pt>
                  <c:pt idx="27">
                    <c:v>ACC-4483</c:v>
                  </c:pt>
                  <c:pt idx="28">
                    <c:v>ACC-1882</c:v>
                  </c:pt>
                  <c:pt idx="29">
                    <c:v>ACC-8999</c:v>
                  </c:pt>
                  <c:pt idx="30">
                    <c:v>ACC-9150</c:v>
                  </c:pt>
                  <c:pt idx="31">
                    <c:v>ACC-7938</c:v>
                  </c:pt>
                  <c:pt idx="32">
                    <c:v>ACC-5144</c:v>
                  </c:pt>
                  <c:pt idx="33">
                    <c:v>ACC-3415</c:v>
                  </c:pt>
                  <c:pt idx="34">
                    <c:v>ACC-6348</c:v>
                  </c:pt>
                  <c:pt idx="35">
                    <c:v>ACC-8620</c:v>
                  </c:pt>
                  <c:pt idx="36">
                    <c:v>ACC-2735</c:v>
                  </c:pt>
                  <c:pt idx="37">
                    <c:v>ACC-1249</c:v>
                  </c:pt>
                  <c:pt idx="38">
                    <c:v>ACC-7713</c:v>
                  </c:pt>
                  <c:pt idx="39">
                    <c:v>ACC-6543</c:v>
                  </c:pt>
                  <c:pt idx="40">
                    <c:v>ACC-7354</c:v>
                  </c:pt>
                  <c:pt idx="41">
                    <c:v>ACC-5422</c:v>
                  </c:pt>
                  <c:pt idx="42">
                    <c:v>ACC-1604</c:v>
                  </c:pt>
                  <c:pt idx="43">
                    <c:v>ACC-7240</c:v>
                  </c:pt>
                  <c:pt idx="44">
                    <c:v>ACC-2903</c:v>
                  </c:pt>
                  <c:pt idx="45">
                    <c:v>ACC-4124</c:v>
                  </c:pt>
                  <c:pt idx="46">
                    <c:v>ACC-3961</c:v>
                  </c:pt>
                  <c:pt idx="47">
                    <c:v>ACC-1075</c:v>
                  </c:pt>
                  <c:pt idx="48">
                    <c:v>ACC-1028</c:v>
                  </c:pt>
                  <c:pt idx="49">
                    <c:v>ACC-2761</c:v>
                  </c:pt>
                  <c:pt idx="50">
                    <c:v>ACC-3385</c:v>
                  </c:pt>
                  <c:pt idx="51">
                    <c:v>ACC-3989</c:v>
                  </c:pt>
                  <c:pt idx="52">
                    <c:v>ACC-2364</c:v>
                  </c:pt>
                  <c:pt idx="53">
                    <c:v>ACC-4815</c:v>
                  </c:pt>
                  <c:pt idx="54">
                    <c:v>ACC-2867</c:v>
                  </c:pt>
                  <c:pt idx="55">
                    <c:v>ACC-8683</c:v>
                  </c:pt>
                  <c:pt idx="56">
                    <c:v>ACC-7906</c:v>
                  </c:pt>
                  <c:pt idx="57">
                    <c:v>ACC-2902</c:v>
                  </c:pt>
                  <c:pt idx="58">
                    <c:v>ACC-5260</c:v>
                  </c:pt>
                  <c:pt idx="59">
                    <c:v>ACC-9591</c:v>
                  </c:pt>
                  <c:pt idx="60">
                    <c:v>ACC-1663</c:v>
                  </c:pt>
                  <c:pt idx="61">
                    <c:v>ACC-3567</c:v>
                  </c:pt>
                  <c:pt idx="62">
                    <c:v>ACC-1596</c:v>
                  </c:pt>
                  <c:pt idx="63">
                    <c:v>ACC-1492</c:v>
                  </c:pt>
                  <c:pt idx="64">
                    <c:v>ACC-3951</c:v>
                  </c:pt>
                  <c:pt idx="65">
                    <c:v>ACC-3068</c:v>
                  </c:pt>
                  <c:pt idx="66">
                    <c:v>ACC-3833</c:v>
                  </c:pt>
                  <c:pt idx="67">
                    <c:v>ACC-8094</c:v>
                  </c:pt>
                  <c:pt idx="68">
                    <c:v>ACC-2386</c:v>
                  </c:pt>
                  <c:pt idx="69">
                    <c:v>ACC-1060</c:v>
                  </c:pt>
                  <c:pt idx="70">
                    <c:v>ACC-5079</c:v>
                  </c:pt>
                  <c:pt idx="71">
                    <c:v>ACC-5780</c:v>
                  </c:pt>
                  <c:pt idx="72">
                    <c:v>ACC-8242</c:v>
                  </c:pt>
                  <c:pt idx="73">
                    <c:v>ACC-4587</c:v>
                  </c:pt>
                  <c:pt idx="74">
                    <c:v>ACC-2252</c:v>
                  </c:pt>
                  <c:pt idx="75">
                    <c:v>ACC-4056</c:v>
                  </c:pt>
                  <c:pt idx="76">
                    <c:v>ACC-7047</c:v>
                  </c:pt>
                  <c:pt idx="77">
                    <c:v>ACC-8178</c:v>
                  </c:pt>
                  <c:pt idx="78">
                    <c:v>ACC-7671</c:v>
                  </c:pt>
                  <c:pt idx="79">
                    <c:v>ACC-4511</c:v>
                  </c:pt>
                  <c:pt idx="80">
                    <c:v>ACC-2990</c:v>
                  </c:pt>
                  <c:pt idx="81">
                    <c:v>ACC-1021</c:v>
                  </c:pt>
                  <c:pt idx="82">
                    <c:v>ACC-4766</c:v>
                  </c:pt>
                  <c:pt idx="83">
                    <c:v>ACC-3349</c:v>
                  </c:pt>
                  <c:pt idx="84">
                    <c:v>ACC-5206</c:v>
                  </c:pt>
                  <c:pt idx="85">
                    <c:v>ACC-3551</c:v>
                  </c:pt>
                  <c:pt idx="86">
                    <c:v>ACC-9820</c:v>
                  </c:pt>
                  <c:pt idx="87">
                    <c:v>ACC-6777</c:v>
                  </c:pt>
                  <c:pt idx="88">
                    <c:v>CMP-8851</c:v>
                  </c:pt>
                  <c:pt idx="89">
                    <c:v>CMP-3938</c:v>
                  </c:pt>
                  <c:pt idx="90">
                    <c:v>CMP-2040</c:v>
                  </c:pt>
                  <c:pt idx="91">
                    <c:v>CMP-3731</c:v>
                  </c:pt>
                  <c:pt idx="92">
                    <c:v>CMP-2096</c:v>
                  </c:pt>
                  <c:pt idx="93">
                    <c:v>CMP-8127</c:v>
                  </c:pt>
                  <c:pt idx="94">
                    <c:v>CMP-5006</c:v>
                  </c:pt>
                  <c:pt idx="95">
                    <c:v>CMP-1940</c:v>
                  </c:pt>
                  <c:pt idx="96">
                    <c:v>CMP-8002</c:v>
                  </c:pt>
                  <c:pt idx="97">
                    <c:v>CMP-1156</c:v>
                  </c:pt>
                  <c:pt idx="98">
                    <c:v>CMP-6529</c:v>
                  </c:pt>
                  <c:pt idx="99">
                    <c:v>CMP-6971</c:v>
                  </c:pt>
                  <c:pt idx="100">
                    <c:v>CMP-6392</c:v>
                  </c:pt>
                  <c:pt idx="101">
                    <c:v>CMP-1559</c:v>
                  </c:pt>
                  <c:pt idx="102">
                    <c:v>CMP-4792</c:v>
                  </c:pt>
                  <c:pt idx="103">
                    <c:v>CMP-3093</c:v>
                  </c:pt>
                  <c:pt idx="104">
                    <c:v>CMP-9307</c:v>
                  </c:pt>
                  <c:pt idx="105">
                    <c:v>CMP-4159</c:v>
                  </c:pt>
                  <c:pt idx="106">
                    <c:v>CMP-9001</c:v>
                  </c:pt>
                  <c:pt idx="107">
                    <c:v>CMP-2693</c:v>
                  </c:pt>
                  <c:pt idx="108">
                    <c:v>CMP-3313</c:v>
                  </c:pt>
                  <c:pt idx="109">
                    <c:v>CMP-3875</c:v>
                  </c:pt>
                  <c:pt idx="110">
                    <c:v>CMP-6811</c:v>
                  </c:pt>
                  <c:pt idx="111">
                    <c:v>CMP-4630</c:v>
                  </c:pt>
                  <c:pt idx="112">
                    <c:v>CMP-5820</c:v>
                  </c:pt>
                  <c:pt idx="113">
                    <c:v>CMP-7055</c:v>
                  </c:pt>
                  <c:pt idx="114">
                    <c:v>CMP-8545</c:v>
                  </c:pt>
                  <c:pt idx="115">
                    <c:v>CMP-4807</c:v>
                  </c:pt>
                  <c:pt idx="116">
                    <c:v>CMP-7617</c:v>
                  </c:pt>
                  <c:pt idx="117">
                    <c:v>CMP-3259</c:v>
                  </c:pt>
                  <c:pt idx="118">
                    <c:v>CMP-3978</c:v>
                  </c:pt>
                  <c:pt idx="119">
                    <c:v>CMP-5946</c:v>
                  </c:pt>
                  <c:pt idx="120">
                    <c:v>CMP-9392</c:v>
                  </c:pt>
                  <c:pt idx="121">
                    <c:v>CMP-5911</c:v>
                  </c:pt>
                  <c:pt idx="122">
                    <c:v>CMP-2015</c:v>
                  </c:pt>
                  <c:pt idx="123">
                    <c:v>CMP-1220</c:v>
                  </c:pt>
                  <c:pt idx="124">
                    <c:v>CMP-2574</c:v>
                  </c:pt>
                  <c:pt idx="125">
                    <c:v>CMP-8230</c:v>
                  </c:pt>
                  <c:pt idx="126">
                    <c:v>CMP-8196</c:v>
                  </c:pt>
                  <c:pt idx="127">
                    <c:v>CMP-1555</c:v>
                  </c:pt>
                  <c:pt idx="128">
                    <c:v>CMP-4970</c:v>
                  </c:pt>
                  <c:pt idx="129">
                    <c:v>CMP-6898</c:v>
                  </c:pt>
                  <c:pt idx="130">
                    <c:v>CMP-4531</c:v>
                  </c:pt>
                  <c:pt idx="131">
                    <c:v>CMP-7563</c:v>
                  </c:pt>
                  <c:pt idx="132">
                    <c:v>CMP-8101</c:v>
                  </c:pt>
                  <c:pt idx="133">
                    <c:v>CMP-8390</c:v>
                  </c:pt>
                  <c:pt idx="134">
                    <c:v>CMP-5311</c:v>
                  </c:pt>
                  <c:pt idx="135">
                    <c:v>CMP-8659</c:v>
                  </c:pt>
                  <c:pt idx="136">
                    <c:v>CMP-6919</c:v>
                  </c:pt>
                  <c:pt idx="137">
                    <c:v>CMP-3720</c:v>
                  </c:pt>
                  <c:pt idx="138">
                    <c:v>CMP-7371</c:v>
                  </c:pt>
                  <c:pt idx="139">
                    <c:v>CMP-5211</c:v>
                  </c:pt>
                  <c:pt idx="140">
                    <c:v>CMP-6352</c:v>
                  </c:pt>
                  <c:pt idx="141">
                    <c:v>CMP-3743</c:v>
                  </c:pt>
                  <c:pt idx="142">
                    <c:v>CMP-4093</c:v>
                  </c:pt>
                  <c:pt idx="143">
                    <c:v>CMP-5065</c:v>
                  </c:pt>
                  <c:pt idx="144">
                    <c:v>CMP-8658</c:v>
                  </c:pt>
                  <c:pt idx="145">
                    <c:v>CMP-5825</c:v>
                  </c:pt>
                  <c:pt idx="146">
                    <c:v>CMP-8604</c:v>
                  </c:pt>
                  <c:pt idx="147">
                    <c:v>CMP-1009</c:v>
                  </c:pt>
                  <c:pt idx="148">
                    <c:v>CMP-9498</c:v>
                  </c:pt>
                  <c:pt idx="149">
                    <c:v>CMP-7256</c:v>
                  </c:pt>
                  <c:pt idx="150">
                    <c:v>CMP-5435</c:v>
                  </c:pt>
                  <c:pt idx="151">
                    <c:v>CMP-2410</c:v>
                  </c:pt>
                  <c:pt idx="152">
                    <c:v>CMP-8141</c:v>
                  </c:pt>
                  <c:pt idx="153">
                    <c:v>CMP-1223</c:v>
                  </c:pt>
                  <c:pt idx="154">
                    <c:v>CMP-2335</c:v>
                  </c:pt>
                  <c:pt idx="155">
                    <c:v>CMP-4610</c:v>
                  </c:pt>
                  <c:pt idx="156">
                    <c:v>CMP-2865</c:v>
                  </c:pt>
                  <c:pt idx="157">
                    <c:v>CMP-3693</c:v>
                  </c:pt>
                  <c:pt idx="158">
                    <c:v>CMP-8270</c:v>
                  </c:pt>
                  <c:pt idx="159">
                    <c:v>CMP-5208</c:v>
                  </c:pt>
                  <c:pt idx="160">
                    <c:v>CMP-7063</c:v>
                  </c:pt>
                  <c:pt idx="161">
                    <c:v>CMP-8675</c:v>
                  </c:pt>
                  <c:pt idx="162">
                    <c:v>CMP-3223</c:v>
                  </c:pt>
                  <c:pt idx="163">
                    <c:v>CMP-6495</c:v>
                  </c:pt>
                  <c:pt idx="164">
                    <c:v>CMP-5138</c:v>
                  </c:pt>
                  <c:pt idx="165">
                    <c:v>CMP-1072</c:v>
                  </c:pt>
                  <c:pt idx="166">
                    <c:v>CMP-1470</c:v>
                  </c:pt>
                  <c:pt idx="167">
                    <c:v>CMP-2136</c:v>
                  </c:pt>
                  <c:pt idx="168">
                    <c:v>CMP-5658</c:v>
                  </c:pt>
                  <c:pt idx="169">
                    <c:v>CMP-6649</c:v>
                  </c:pt>
                  <c:pt idx="170">
                    <c:v>CMP-2854</c:v>
                  </c:pt>
                  <c:pt idx="171">
                    <c:v>CMP-5633</c:v>
                  </c:pt>
                  <c:pt idx="172">
                    <c:v>CMP-6346</c:v>
                  </c:pt>
                  <c:pt idx="173">
                    <c:v>CMP-9801</c:v>
                  </c:pt>
                  <c:pt idx="174">
                    <c:v>CMP-6925</c:v>
                  </c:pt>
                  <c:pt idx="175">
                    <c:v>CMP-4945</c:v>
                  </c:pt>
                  <c:pt idx="176">
                    <c:v>CMP-9264</c:v>
                  </c:pt>
                  <c:pt idx="177">
                    <c:v>CMP-1632</c:v>
                  </c:pt>
                  <c:pt idx="181">
                    <c:v>PHN-9677</c:v>
                  </c:pt>
                  <c:pt idx="182">
                    <c:v>PHN-8368</c:v>
                  </c:pt>
                  <c:pt idx="183">
                    <c:v>PHN-4568</c:v>
                  </c:pt>
                  <c:pt idx="184">
                    <c:v>PHN-7488</c:v>
                  </c:pt>
                  <c:pt idx="185">
                    <c:v>PHN-5683</c:v>
                  </c:pt>
                  <c:pt idx="186">
                    <c:v>PHN-4915</c:v>
                  </c:pt>
                  <c:pt idx="187">
                    <c:v>PHN-8804</c:v>
                  </c:pt>
                  <c:pt idx="188">
                    <c:v>PHN-1197</c:v>
                  </c:pt>
                  <c:pt idx="189">
                    <c:v>PHN-6832</c:v>
                  </c:pt>
                  <c:pt idx="190">
                    <c:v>PHN-8776</c:v>
                  </c:pt>
                  <c:pt idx="191">
                    <c:v>PHN-6111</c:v>
                  </c:pt>
                  <c:pt idx="192">
                    <c:v>PHN-1919</c:v>
                  </c:pt>
                  <c:pt idx="193">
                    <c:v>PHN-4677</c:v>
                  </c:pt>
                  <c:pt idx="194">
                    <c:v>PHN-7974</c:v>
                  </c:pt>
                  <c:pt idx="195">
                    <c:v>PHN-2859</c:v>
                  </c:pt>
                  <c:pt idx="196">
                    <c:v>PHN-9234</c:v>
                  </c:pt>
                  <c:pt idx="197">
                    <c:v>PHN-7379</c:v>
                  </c:pt>
                  <c:pt idx="198">
                    <c:v>PHN-7815</c:v>
                  </c:pt>
                  <c:pt idx="199">
                    <c:v>PHN-8891</c:v>
                  </c:pt>
                  <c:pt idx="200">
                    <c:v>PHN-4854</c:v>
                  </c:pt>
                  <c:pt idx="201">
                    <c:v>PHN-2013</c:v>
                  </c:pt>
                  <c:pt idx="202">
                    <c:v>PHN-1671</c:v>
                  </c:pt>
                  <c:pt idx="203">
                    <c:v>PHN-2341</c:v>
                  </c:pt>
                  <c:pt idx="204">
                    <c:v>PHN-4566</c:v>
                  </c:pt>
                  <c:pt idx="205">
                    <c:v>PHN-9399</c:v>
                  </c:pt>
                  <c:pt idx="206">
                    <c:v>PHN-9789</c:v>
                  </c:pt>
                  <c:pt idx="207">
                    <c:v>PHN-7274</c:v>
                  </c:pt>
                  <c:pt idx="208">
                    <c:v>PHN-5887</c:v>
                  </c:pt>
                  <c:pt idx="209">
                    <c:v>PHN-6506</c:v>
                  </c:pt>
                  <c:pt idx="210">
                    <c:v>PHN-3077</c:v>
                  </c:pt>
                  <c:pt idx="211">
                    <c:v>PHN-6866</c:v>
                  </c:pt>
                  <c:pt idx="212">
                    <c:v>PHN-3482</c:v>
                  </c:pt>
                  <c:pt idx="213">
                    <c:v>PHN-9465</c:v>
                  </c:pt>
                  <c:pt idx="214">
                    <c:v>PHN-2036</c:v>
                  </c:pt>
                  <c:pt idx="215">
                    <c:v>PHN-3971</c:v>
                  </c:pt>
                  <c:pt idx="216">
                    <c:v>PHN-7924</c:v>
                  </c:pt>
                  <c:pt idx="217">
                    <c:v>PHN-3159</c:v>
                  </c:pt>
                  <c:pt idx="218">
                    <c:v>PHN-8478</c:v>
                  </c:pt>
                  <c:pt idx="219">
                    <c:v>PHN-9184</c:v>
                  </c:pt>
                  <c:pt idx="220">
                    <c:v>PHN-4346</c:v>
                  </c:pt>
                  <c:pt idx="221">
                    <c:v>PHN-2436</c:v>
                  </c:pt>
                  <c:pt idx="222">
                    <c:v>PHN-7132</c:v>
                  </c:pt>
                  <c:pt idx="223">
                    <c:v>PHN-4644</c:v>
                  </c:pt>
                  <c:pt idx="224">
                    <c:v>PHN-5675</c:v>
                  </c:pt>
                  <c:pt idx="225">
                    <c:v>PHN-8072</c:v>
                  </c:pt>
                  <c:pt idx="226">
                    <c:v>PHN-5082</c:v>
                  </c:pt>
                  <c:pt idx="227">
                    <c:v>PHN-3398</c:v>
                  </c:pt>
                  <c:pt idx="228">
                    <c:v>PHN-8350</c:v>
                  </c:pt>
                  <c:pt idx="229">
                    <c:v>PHN-7019</c:v>
                  </c:pt>
                  <c:pt idx="230">
                    <c:v>PHN-1044</c:v>
                  </c:pt>
                  <c:pt idx="231">
                    <c:v>PHN-3800</c:v>
                  </c:pt>
                  <c:pt idx="232">
                    <c:v>PHN-6480</c:v>
                  </c:pt>
                  <c:pt idx="233">
                    <c:v>PHN-6131</c:v>
                  </c:pt>
                  <c:pt idx="234">
                    <c:v>PHN-1717</c:v>
                  </c:pt>
                  <c:pt idx="235">
                    <c:v>PHN-8057</c:v>
                  </c:pt>
                  <c:pt idx="236">
                    <c:v>PHN-5445</c:v>
                  </c:pt>
                  <c:pt idx="237">
                    <c:v>PHN-5316</c:v>
                  </c:pt>
                  <c:pt idx="238">
                    <c:v>PHN-9107</c:v>
                  </c:pt>
                  <c:pt idx="239">
                    <c:v>PHN-7636</c:v>
                  </c:pt>
                  <c:pt idx="240">
                    <c:v>PHN-3014</c:v>
                  </c:pt>
                  <c:pt idx="241">
                    <c:v>PHN-2447</c:v>
                  </c:pt>
                  <c:pt idx="242">
                    <c:v>PHN-2787</c:v>
                  </c:pt>
                  <c:pt idx="243">
                    <c:v>PHN-6954</c:v>
                  </c:pt>
                  <c:pt idx="244">
                    <c:v>PHN-4556</c:v>
                  </c:pt>
                  <c:pt idx="245">
                    <c:v>PHN-1924</c:v>
                  </c:pt>
                  <c:pt idx="246">
                    <c:v>PHN-5938</c:v>
                  </c:pt>
                  <c:pt idx="247">
                    <c:v>PHN-2462</c:v>
                  </c:pt>
                  <c:pt idx="248">
                    <c:v>PHN-3854</c:v>
                  </c:pt>
                  <c:pt idx="249">
                    <c:v>PHN-5383</c:v>
                  </c:pt>
                  <c:pt idx="250">
                    <c:v>PHN-8014</c:v>
                  </c:pt>
                  <c:pt idx="251">
                    <c:v>PHN-6854</c:v>
                  </c:pt>
                  <c:pt idx="252">
                    <c:v>PHN-6818</c:v>
                  </c:pt>
                  <c:pt idx="253">
                    <c:v>PHN-1784</c:v>
                  </c:pt>
                  <c:pt idx="254">
                    <c:v>PHN-2337</c:v>
                  </c:pt>
                  <c:pt idx="255">
                    <c:v>PHN-2875</c:v>
                  </c:pt>
                  <c:pt idx="256">
                    <c:v>PHN-4741</c:v>
                  </c:pt>
                  <c:pt idx="257">
                    <c:v>PHN-4356</c:v>
                  </c:pt>
                  <c:pt idx="258">
                    <c:v>PHN-6307</c:v>
                  </c:pt>
                  <c:pt idx="259">
                    <c:v>PHN-1670</c:v>
                  </c:pt>
                  <c:pt idx="260">
                    <c:v>PHN-8483</c:v>
                  </c:pt>
                  <c:pt idx="261">
                    <c:v>PHN-4395</c:v>
                  </c:pt>
                  <c:pt idx="262">
                    <c:v>PHN-1234</c:v>
                  </c:pt>
                  <c:pt idx="263">
                    <c:v>PHN-3007</c:v>
                  </c:pt>
                  <c:pt idx="264">
                    <c:v>PHN-3819</c:v>
                  </c:pt>
                  <c:pt idx="265">
                    <c:v>PHN-8970</c:v>
                  </c:pt>
                  <c:pt idx="266">
                    <c:v>PHN-5366</c:v>
                  </c:pt>
                  <c:pt idx="267">
                    <c:v>PHN-7852</c:v>
                  </c:pt>
                  <c:pt idx="268">
                    <c:v>PHN-3803</c:v>
                  </c:pt>
                  <c:pt idx="269">
                    <c:v>PRN-1654</c:v>
                  </c:pt>
                  <c:pt idx="270">
                    <c:v>PRN-6308</c:v>
                  </c:pt>
                  <c:pt idx="271">
                    <c:v>PRN-7019</c:v>
                  </c:pt>
                  <c:pt idx="272">
                    <c:v>PRN-2407</c:v>
                  </c:pt>
                  <c:pt idx="273">
                    <c:v>PRN-9490</c:v>
                  </c:pt>
                  <c:pt idx="274">
                    <c:v>PRN-8970</c:v>
                  </c:pt>
                  <c:pt idx="275">
                    <c:v>PRN-2293</c:v>
                  </c:pt>
                  <c:pt idx="276">
                    <c:v>PRN-6131</c:v>
                  </c:pt>
                  <c:pt idx="277">
                    <c:v>PRN-5384</c:v>
                  </c:pt>
                  <c:pt idx="278">
                    <c:v>PRN-5876</c:v>
                  </c:pt>
                  <c:pt idx="279">
                    <c:v>PRN-7079</c:v>
                  </c:pt>
                  <c:pt idx="280">
                    <c:v>PRN-4911</c:v>
                  </c:pt>
                  <c:pt idx="281">
                    <c:v>PRN-1504</c:v>
                  </c:pt>
                  <c:pt idx="282">
                    <c:v>PRN-4732</c:v>
                  </c:pt>
                  <c:pt idx="283">
                    <c:v>PRN-9624</c:v>
                  </c:pt>
                  <c:pt idx="284">
                    <c:v>PRN-3143</c:v>
                  </c:pt>
                  <c:pt idx="285">
                    <c:v>PRN-7089</c:v>
                  </c:pt>
                  <c:pt idx="286">
                    <c:v>PRN-1371</c:v>
                  </c:pt>
                  <c:pt idx="287">
                    <c:v>PRN-2749</c:v>
                  </c:pt>
                  <c:pt idx="288">
                    <c:v>PRN-1271</c:v>
                  </c:pt>
                  <c:pt idx="289">
                    <c:v>PRN-6791</c:v>
                  </c:pt>
                  <c:pt idx="290">
                    <c:v>PRN-2829</c:v>
                  </c:pt>
                  <c:pt idx="291">
                    <c:v>PRN-5753</c:v>
                  </c:pt>
                  <c:pt idx="292">
                    <c:v>PRN-9378</c:v>
                  </c:pt>
                  <c:pt idx="293">
                    <c:v>PRN-1786</c:v>
                  </c:pt>
                  <c:pt idx="294">
                    <c:v>PRN-9557</c:v>
                  </c:pt>
                  <c:pt idx="295">
                    <c:v>PRN-8392</c:v>
                  </c:pt>
                  <c:pt idx="296">
                    <c:v>PRN-1923</c:v>
                  </c:pt>
                  <c:pt idx="297">
                    <c:v>PRN-4893</c:v>
                  </c:pt>
                  <c:pt idx="298">
                    <c:v>PRN-9975</c:v>
                  </c:pt>
                  <c:pt idx="299">
                    <c:v>PRN-9669</c:v>
                  </c:pt>
                  <c:pt idx="300">
                    <c:v>PRN-4906</c:v>
                  </c:pt>
                  <c:pt idx="301">
                    <c:v>PRN-9322</c:v>
                  </c:pt>
                  <c:pt idx="302">
                    <c:v>PRN-5591</c:v>
                  </c:pt>
                  <c:pt idx="303">
                    <c:v>PRN-7816</c:v>
                  </c:pt>
                  <c:pt idx="304">
                    <c:v>PRN-2098</c:v>
                  </c:pt>
                  <c:pt idx="305">
                    <c:v>PRN-3159</c:v>
                  </c:pt>
                  <c:pt idx="306">
                    <c:v>PRN-1086</c:v>
                  </c:pt>
                  <c:pt idx="307">
                    <c:v>PRN-6068</c:v>
                  </c:pt>
                  <c:pt idx="308">
                    <c:v>PRN-5107</c:v>
                  </c:pt>
                  <c:pt idx="309">
                    <c:v>PRN-7303</c:v>
                  </c:pt>
                  <c:pt idx="310">
                    <c:v>PRN-4432</c:v>
                  </c:pt>
                  <c:pt idx="311">
                    <c:v>PRN-6660</c:v>
                  </c:pt>
                  <c:pt idx="312">
                    <c:v>PRN-6585</c:v>
                  </c:pt>
                  <c:pt idx="313">
                    <c:v>PRN-2409</c:v>
                  </c:pt>
                  <c:pt idx="314">
                    <c:v>PRN-3690</c:v>
                  </c:pt>
                  <c:pt idx="315">
                    <c:v>PRN-1276</c:v>
                  </c:pt>
                  <c:pt idx="316">
                    <c:v>PRN-2301</c:v>
                  </c:pt>
                  <c:pt idx="317">
                    <c:v>PRN-4788</c:v>
                  </c:pt>
                  <c:pt idx="318">
                    <c:v>PRN-4097</c:v>
                  </c:pt>
                  <c:pt idx="319">
                    <c:v>PRN-8758</c:v>
                  </c:pt>
                  <c:pt idx="320">
                    <c:v>PRN-1641</c:v>
                  </c:pt>
                  <c:pt idx="321">
                    <c:v>PRN-8041</c:v>
                  </c:pt>
                  <c:pt idx="322">
                    <c:v>PRN-1060</c:v>
                  </c:pt>
                  <c:pt idx="323">
                    <c:v>PRN-9787</c:v>
                  </c:pt>
                  <c:pt idx="324">
                    <c:v>PRN-5264</c:v>
                  </c:pt>
                  <c:pt idx="325">
                    <c:v>PRN-9488</c:v>
                  </c:pt>
                  <c:pt idx="326">
                    <c:v>PRN-9249</c:v>
                  </c:pt>
                  <c:pt idx="327">
                    <c:v>PRN-6490</c:v>
                  </c:pt>
                  <c:pt idx="328">
                    <c:v>PRN-4453</c:v>
                  </c:pt>
                  <c:pt idx="329">
                    <c:v>PRN-6520</c:v>
                  </c:pt>
                  <c:pt idx="330">
                    <c:v>PRN-8850</c:v>
                  </c:pt>
                  <c:pt idx="331">
                    <c:v>PRN-2641</c:v>
                  </c:pt>
                  <c:pt idx="332">
                    <c:v>PRN-6178</c:v>
                  </c:pt>
                  <c:pt idx="333">
                    <c:v>PRN-6776</c:v>
                  </c:pt>
                  <c:pt idx="334">
                    <c:v>PRN-9793</c:v>
                  </c:pt>
                  <c:pt idx="335">
                    <c:v>PRN-7049</c:v>
                  </c:pt>
                  <c:pt idx="336">
                    <c:v>PRN-2542</c:v>
                  </c:pt>
                  <c:pt idx="337">
                    <c:v>PRN-3014</c:v>
                  </c:pt>
                  <c:pt idx="338">
                    <c:v>PRN-1725</c:v>
                  </c:pt>
                  <c:pt idx="339">
                    <c:v>PRN-4506</c:v>
                  </c:pt>
                  <c:pt idx="340">
                    <c:v>PRN-5666</c:v>
                  </c:pt>
                  <c:pt idx="341">
                    <c:v>PRN-4892</c:v>
                  </c:pt>
                  <c:pt idx="342">
                    <c:v>PRN-5067</c:v>
                  </c:pt>
                  <c:pt idx="343">
                    <c:v>PRN-2991</c:v>
                  </c:pt>
                  <c:pt idx="344">
                    <c:v>PRN-3917</c:v>
                  </c:pt>
                  <c:pt idx="345">
                    <c:v>PRN-8604</c:v>
                  </c:pt>
                  <c:pt idx="346">
                    <c:v>PRN-3775</c:v>
                  </c:pt>
                  <c:pt idx="347">
                    <c:v>PRN-5005</c:v>
                  </c:pt>
                  <c:pt idx="348">
                    <c:v>PRN-8137</c:v>
                  </c:pt>
                  <c:pt idx="349">
                    <c:v>PRN-9867</c:v>
                  </c:pt>
                  <c:pt idx="350">
                    <c:v>PRN-4983</c:v>
                  </c:pt>
                  <c:pt idx="351">
                    <c:v>PRN-7976</c:v>
                  </c:pt>
                  <c:pt idx="352">
                    <c:v>PRN-8175</c:v>
                  </c:pt>
                  <c:pt idx="353">
                    <c:v>PRN-7410</c:v>
                  </c:pt>
                  <c:pt idx="354">
                    <c:v>PRN-8657</c:v>
                  </c:pt>
                  <c:pt idx="355">
                    <c:v>PRN-6911</c:v>
                  </c:pt>
                  <c:pt idx="356">
                    <c:v>PRN-5813</c:v>
                  </c:pt>
                  <c:pt idx="357">
                    <c:v>PRN-6536</c:v>
                  </c:pt>
                  <c:pt idx="358">
                    <c:v>PRN-4787</c:v>
                  </c:pt>
                  <c:pt idx="359">
                    <c:v>PRN-1141</c:v>
                  </c:pt>
                  <c:pt idx="360">
                    <c:v>PRN-5569</c:v>
                  </c:pt>
                  <c:pt idx="361">
                    <c:v>PRN-1183</c:v>
                  </c:pt>
                  <c:pt idx="362">
                    <c:v>PRN-1882</c:v>
                  </c:pt>
                  <c:pt idx="363">
                    <c:v>PRN-3785</c:v>
                  </c:pt>
                  <c:pt idx="364">
                    <c:v>PRN-8008</c:v>
                  </c:pt>
                  <c:pt idx="365">
                    <c:v>PRN-4170</c:v>
                  </c:pt>
                  <c:pt idx="366">
                    <c:v>PRN-9960</c:v>
                  </c:pt>
                  <c:pt idx="367">
                    <c:v>PRN-8763</c:v>
                  </c:pt>
                  <c:pt idx="368">
                    <c:v>PRN-6429</c:v>
                  </c:pt>
                  <c:pt idx="369">
                    <c:v>PRN-5492</c:v>
                  </c:pt>
                  <c:pt idx="370">
                    <c:v>PRN-5815</c:v>
                  </c:pt>
                  <c:pt idx="371">
                    <c:v>PRN-6276</c:v>
                  </c:pt>
                  <c:pt idx="372">
                    <c:v>(blank)</c:v>
                  </c:pt>
                </c:lvl>
                <c:lvl>
                  <c:pt idx="0">
                    <c:v>Accessories</c:v>
                  </c:pt>
                  <c:pt idx="88">
                    <c:v>Components</c:v>
                  </c:pt>
                  <c:pt idx="178">
                    <c:v>Laptops</c:v>
                  </c:pt>
                  <c:pt idx="179">
                    <c:v>Monitors</c:v>
                  </c:pt>
                  <c:pt idx="180">
                    <c:v>Networking</c:v>
                  </c:pt>
                  <c:pt idx="181">
                    <c:v>Phones</c:v>
                  </c:pt>
                  <c:pt idx="269">
                    <c:v>Printers</c:v>
                  </c:pt>
                  <c:pt idx="372">
                    <c:v>(blank)</c:v>
                  </c:pt>
                </c:lvl>
              </c:multiLvlStrCache>
            </c:multiLvlStrRef>
          </c:cat>
          <c:val>
            <c:numRef>
              <c:f>Sheet5!$B$4:$B$382</c:f>
              <c:numCache>
                <c:formatCode>0.00%</c:formatCode>
                <c:ptCount val="373"/>
                <c:pt idx="0">
                  <c:v>5.6242052208963757E-2</c:v>
                </c:pt>
                <c:pt idx="1">
                  <c:v>0.10199684744593</c:v>
                </c:pt>
                <c:pt idx="2">
                  <c:v>0.13971393039644781</c:v>
                </c:pt>
                <c:pt idx="3">
                  <c:v>0.17274851727050322</c:v>
                </c:pt>
                <c:pt idx="4">
                  <c:v>0.20338970091601041</c:v>
                </c:pt>
                <c:pt idx="5">
                  <c:v>0.23048301970260224</c:v>
                </c:pt>
                <c:pt idx="6">
                  <c:v>0.2556562138677651</c:v>
                </c:pt>
                <c:pt idx="7">
                  <c:v>0.28066687948643354</c:v>
                </c:pt>
                <c:pt idx="8">
                  <c:v>0.30494603415267818</c:v>
                </c:pt>
                <c:pt idx="9">
                  <c:v>0.32845930024094389</c:v>
                </c:pt>
                <c:pt idx="10">
                  <c:v>0.35127855186237211</c:v>
                </c:pt>
                <c:pt idx="11">
                  <c:v>0.37369008937437614</c:v>
                </c:pt>
                <c:pt idx="12">
                  <c:v>0.39387771171007013</c:v>
                </c:pt>
                <c:pt idx="13">
                  <c:v>0.41341078504288309</c:v>
                </c:pt>
                <c:pt idx="14">
                  <c:v>0.43244559877688304</c:v>
                </c:pt>
                <c:pt idx="15">
                  <c:v>0.45147632144377925</c:v>
                </c:pt>
                <c:pt idx="16">
                  <c:v>0.47036005363117955</c:v>
                </c:pt>
                <c:pt idx="17">
                  <c:v>0.48762673320934025</c:v>
                </c:pt>
                <c:pt idx="18">
                  <c:v>0.50445938606217244</c:v>
                </c:pt>
                <c:pt idx="19">
                  <c:v>0.5210836868240567</c:v>
                </c:pt>
                <c:pt idx="20">
                  <c:v>0.53757956534908458</c:v>
                </c:pt>
                <c:pt idx="21">
                  <c:v>0.55366711272188573</c:v>
                </c:pt>
                <c:pt idx="22">
                  <c:v>0.56968766689644379</c:v>
                </c:pt>
                <c:pt idx="23">
                  <c:v>0.58421766305414413</c:v>
                </c:pt>
                <c:pt idx="24">
                  <c:v>0.59855751589661543</c:v>
                </c:pt>
                <c:pt idx="25">
                  <c:v>0.61283758281527001</c:v>
                </c:pt>
                <c:pt idx="26">
                  <c:v>0.62679700152814466</c:v>
                </c:pt>
                <c:pt idx="27">
                  <c:v>0.64035642897738221</c:v>
                </c:pt>
                <c:pt idx="28">
                  <c:v>0.65313238885299341</c:v>
                </c:pt>
                <c:pt idx="29">
                  <c:v>0.66582549844847216</c:v>
                </c:pt>
                <c:pt idx="30">
                  <c:v>0.67721413988963231</c:v>
                </c:pt>
                <c:pt idx="31">
                  <c:v>0.68859742032740101</c:v>
                </c:pt>
                <c:pt idx="32">
                  <c:v>0.69987732238849221</c:v>
                </c:pt>
                <c:pt idx="33">
                  <c:v>0.71092263954445878</c:v>
                </c:pt>
                <c:pt idx="34">
                  <c:v>0.72151562654105938</c:v>
                </c:pt>
                <c:pt idx="35">
                  <c:v>0.73200748494243673</c:v>
                </c:pt>
                <c:pt idx="36">
                  <c:v>0.74235449196452452</c:v>
                </c:pt>
                <c:pt idx="37">
                  <c:v>0.75261808395688645</c:v>
                </c:pt>
                <c:pt idx="38">
                  <c:v>0.76247259390977462</c:v>
                </c:pt>
                <c:pt idx="39">
                  <c:v>0.77194634834282738</c:v>
                </c:pt>
                <c:pt idx="40">
                  <c:v>0.78126908032850118</c:v>
                </c:pt>
                <c:pt idx="41">
                  <c:v>0.79030057914891594</c:v>
                </c:pt>
                <c:pt idx="42">
                  <c:v>0.79886366758762362</c:v>
                </c:pt>
                <c:pt idx="43">
                  <c:v>0.8072980687888538</c:v>
                </c:pt>
                <c:pt idx="44">
                  <c:v>0.81532261986698307</c:v>
                </c:pt>
                <c:pt idx="45">
                  <c:v>0.82315665212580924</c:v>
                </c:pt>
                <c:pt idx="46">
                  <c:v>0.83093484351515456</c:v>
                </c:pt>
                <c:pt idx="47">
                  <c:v>0.83868219179638326</c:v>
                </c:pt>
                <c:pt idx="48">
                  <c:v>0.84628748978803081</c:v>
                </c:pt>
                <c:pt idx="49">
                  <c:v>0.85385996127042185</c:v>
                </c:pt>
                <c:pt idx="50">
                  <c:v>0.86124802526231425</c:v>
                </c:pt>
                <c:pt idx="51">
                  <c:v>0.8686319849093358</c:v>
                </c:pt>
                <c:pt idx="52">
                  <c:v>0.87562222674256407</c:v>
                </c:pt>
                <c:pt idx="53">
                  <c:v>0.88203875928475295</c:v>
                </c:pt>
                <c:pt idx="54">
                  <c:v>0.88818669234042802</c:v>
                </c:pt>
                <c:pt idx="55">
                  <c:v>0.89430021909569157</c:v>
                </c:pt>
                <c:pt idx="56">
                  <c:v>0.90024998158313696</c:v>
                </c:pt>
                <c:pt idx="57">
                  <c:v>0.9059177188199401</c:v>
                </c:pt>
                <c:pt idx="58">
                  <c:v>0.91150381795781144</c:v>
                </c:pt>
                <c:pt idx="59">
                  <c:v>0.91697242033476756</c:v>
                </c:pt>
                <c:pt idx="60">
                  <c:v>0.92236235460821547</c:v>
                </c:pt>
                <c:pt idx="61">
                  <c:v>0.92774526467969698</c:v>
                </c:pt>
                <c:pt idx="62">
                  <c:v>0.93308442873279718</c:v>
                </c:pt>
                <c:pt idx="63">
                  <c:v>0.93833447707094153</c:v>
                </c:pt>
                <c:pt idx="64">
                  <c:v>0.94348003037716821</c:v>
                </c:pt>
                <c:pt idx="65">
                  <c:v>0.94853322909645232</c:v>
                </c:pt>
                <c:pt idx="66">
                  <c:v>0.9533212142665265</c:v>
                </c:pt>
                <c:pt idx="67">
                  <c:v>0.95763563267277563</c:v>
                </c:pt>
                <c:pt idx="68">
                  <c:v>0.96187451467949392</c:v>
                </c:pt>
                <c:pt idx="69">
                  <c:v>0.96586431117921812</c:v>
                </c:pt>
                <c:pt idx="70">
                  <c:v>0.96979972402129411</c:v>
                </c:pt>
                <c:pt idx="71">
                  <c:v>0.97320636155616691</c:v>
                </c:pt>
                <c:pt idx="72">
                  <c:v>0.97657538683925416</c:v>
                </c:pt>
                <c:pt idx="73">
                  <c:v>0.97983057191768885</c:v>
                </c:pt>
                <c:pt idx="74">
                  <c:v>0.98308056735913663</c:v>
                </c:pt>
                <c:pt idx="75">
                  <c:v>0.98622245078256843</c:v>
                </c:pt>
                <c:pt idx="76">
                  <c:v>0.98911824148069971</c:v>
                </c:pt>
                <c:pt idx="77">
                  <c:v>0.99126707890583576</c:v>
                </c:pt>
                <c:pt idx="78">
                  <c:v>0.99320139192025436</c:v>
                </c:pt>
                <c:pt idx="79">
                  <c:v>0.99470730798262164</c:v>
                </c:pt>
                <c:pt idx="80">
                  <c:v>0.99580775538592081</c:v>
                </c:pt>
                <c:pt idx="81">
                  <c:v>0.99683680061842594</c:v>
                </c:pt>
                <c:pt idx="82">
                  <c:v>0.99756985668477249</c:v>
                </c:pt>
                <c:pt idx="83">
                  <c:v>0.99828841781025801</c:v>
                </c:pt>
                <c:pt idx="84">
                  <c:v>0.99894994201466869</c:v>
                </c:pt>
                <c:pt idx="85">
                  <c:v>0.99959572154661014</c:v>
                </c:pt>
                <c:pt idx="86">
                  <c:v>0.99998672945844569</c:v>
                </c:pt>
                <c:pt idx="87">
                  <c:v>1</c:v>
                </c:pt>
                <c:pt idx="88">
                  <c:v>8.9845040841891002E-2</c:v>
                </c:pt>
                <c:pt idx="89">
                  <c:v>0.14411938647444741</c:v>
                </c:pt>
                <c:pt idx="90">
                  <c:v>0.18612129829041857</c:v>
                </c:pt>
                <c:pt idx="91">
                  <c:v>0.22542492450567689</c:v>
                </c:pt>
                <c:pt idx="92">
                  <c:v>0.25920226094726884</c:v>
                </c:pt>
                <c:pt idx="93">
                  <c:v>0.29164736355571186</c:v>
                </c:pt>
                <c:pt idx="94">
                  <c:v>0.31836618046535875</c:v>
                </c:pt>
                <c:pt idx="95">
                  <c:v>0.3444763593123128</c:v>
                </c:pt>
                <c:pt idx="96">
                  <c:v>0.36620741994219436</c:v>
                </c:pt>
                <c:pt idx="97">
                  <c:v>0.38769402716646301</c:v>
                </c:pt>
                <c:pt idx="98">
                  <c:v>0.4085527595071633</c:v>
                </c:pt>
                <c:pt idx="99">
                  <c:v>0.42642242848645612</c:v>
                </c:pt>
                <c:pt idx="100">
                  <c:v>0.44427582834479235</c:v>
                </c:pt>
                <c:pt idx="101">
                  <c:v>0.46190698598841484</c:v>
                </c:pt>
                <c:pt idx="102">
                  <c:v>0.47942658650367209</c:v>
                </c:pt>
                <c:pt idx="103">
                  <c:v>0.49620857624233777</c:v>
                </c:pt>
                <c:pt idx="104">
                  <c:v>0.51270790875679506</c:v>
                </c:pt>
                <c:pt idx="105">
                  <c:v>0.52900843855303936</c:v>
                </c:pt>
                <c:pt idx="106">
                  <c:v>0.54521999018359124</c:v>
                </c:pt>
                <c:pt idx="107">
                  <c:v>0.56127883548050594</c:v>
                </c:pt>
                <c:pt idx="108">
                  <c:v>0.57696814112928241</c:v>
                </c:pt>
                <c:pt idx="109">
                  <c:v>0.59254543062521003</c:v>
                </c:pt>
                <c:pt idx="110">
                  <c:v>0.60783016611282925</c:v>
                </c:pt>
                <c:pt idx="111">
                  <c:v>0.6225912727782259</c:v>
                </c:pt>
                <c:pt idx="112">
                  <c:v>0.63664618742797263</c:v>
                </c:pt>
                <c:pt idx="113">
                  <c:v>0.65056999473031563</c:v>
                </c:pt>
                <c:pt idx="114">
                  <c:v>0.66334310925421047</c:v>
                </c:pt>
                <c:pt idx="115">
                  <c:v>0.67564671722467429</c:v>
                </c:pt>
                <c:pt idx="116">
                  <c:v>0.68787570081110661</c:v>
                </c:pt>
                <c:pt idx="117">
                  <c:v>0.69984471378014113</c:v>
                </c:pt>
                <c:pt idx="118">
                  <c:v>0.71149559630793369</c:v>
                </c:pt>
                <c:pt idx="119">
                  <c:v>0.72306216086711161</c:v>
                </c:pt>
                <c:pt idx="120">
                  <c:v>0.73441167887486036</c:v>
                </c:pt>
                <c:pt idx="121">
                  <c:v>0.74572647378788171</c:v>
                </c:pt>
                <c:pt idx="122">
                  <c:v>0.75665802197453236</c:v>
                </c:pt>
                <c:pt idx="123">
                  <c:v>0.76657581187301471</c:v>
                </c:pt>
                <c:pt idx="124">
                  <c:v>0.77647691967171228</c:v>
                </c:pt>
                <c:pt idx="125">
                  <c:v>0.78568208267094153</c:v>
                </c:pt>
                <c:pt idx="126">
                  <c:v>0.79484029419622404</c:v>
                </c:pt>
                <c:pt idx="127">
                  <c:v>0.80386090309186209</c:v>
                </c:pt>
                <c:pt idx="128">
                  <c:v>0.8125820516146518</c:v>
                </c:pt>
                <c:pt idx="129">
                  <c:v>0.82108775310810334</c:v>
                </c:pt>
                <c:pt idx="130">
                  <c:v>0.82956824992697575</c:v>
                </c:pt>
                <c:pt idx="131">
                  <c:v>0.83742940616458927</c:v>
                </c:pt>
                <c:pt idx="132">
                  <c:v>0.84522208519706099</c:v>
                </c:pt>
                <c:pt idx="133">
                  <c:v>0.85295989308343512</c:v>
                </c:pt>
                <c:pt idx="134">
                  <c:v>0.86053495839914629</c:v>
                </c:pt>
                <c:pt idx="135">
                  <c:v>0.8672801611315909</c:v>
                </c:pt>
                <c:pt idx="136">
                  <c:v>0.87360570235212598</c:v>
                </c:pt>
                <c:pt idx="137">
                  <c:v>0.87986177285734724</c:v>
                </c:pt>
                <c:pt idx="138">
                  <c:v>0.88562277751592178</c:v>
                </c:pt>
                <c:pt idx="139">
                  <c:v>0.89138266431912117</c:v>
                </c:pt>
                <c:pt idx="140">
                  <c:v>0.89713021666650228</c:v>
                </c:pt>
                <c:pt idx="141">
                  <c:v>0.90287365682332565</c:v>
                </c:pt>
                <c:pt idx="142">
                  <c:v>0.90853781491484309</c:v>
                </c:pt>
                <c:pt idx="143">
                  <c:v>0.91378134216824658</c:v>
                </c:pt>
                <c:pt idx="144">
                  <c:v>0.9188335924588098</c:v>
                </c:pt>
                <c:pt idx="145">
                  <c:v>0.92360683504009822</c:v>
                </c:pt>
                <c:pt idx="146">
                  <c:v>0.92834195735327207</c:v>
                </c:pt>
                <c:pt idx="147">
                  <c:v>0.93277653385338366</c:v>
                </c:pt>
                <c:pt idx="148">
                  <c:v>0.93714176457685561</c:v>
                </c:pt>
                <c:pt idx="149">
                  <c:v>0.94146530211382129</c:v>
                </c:pt>
                <c:pt idx="150">
                  <c:v>0.94576416529469376</c:v>
                </c:pt>
                <c:pt idx="151">
                  <c:v>0.9499154060261269</c:v>
                </c:pt>
                <c:pt idx="152">
                  <c:v>0.9539952508332592</c:v>
                </c:pt>
                <c:pt idx="153">
                  <c:v>0.95795461084125499</c:v>
                </c:pt>
                <c:pt idx="154">
                  <c:v>0.9618658801162463</c:v>
                </c:pt>
                <c:pt idx="155">
                  <c:v>0.96551068236916382</c:v>
                </c:pt>
                <c:pt idx="156">
                  <c:v>0.96895002423618504</c:v>
                </c:pt>
                <c:pt idx="157">
                  <c:v>0.9721550960252664</c:v>
                </c:pt>
                <c:pt idx="158">
                  <c:v>0.97529425685783788</c:v>
                </c:pt>
                <c:pt idx="159">
                  <c:v>0.97833755344787476</c:v>
                </c:pt>
                <c:pt idx="160">
                  <c:v>0.98124262043777</c:v>
                </c:pt>
                <c:pt idx="161">
                  <c:v>0.98395992991271519</c:v>
                </c:pt>
                <c:pt idx="162">
                  <c:v>0.98623418442490551</c:v>
                </c:pt>
                <c:pt idx="163">
                  <c:v>0.98841335271003328</c:v>
                </c:pt>
                <c:pt idx="164">
                  <c:v>0.98994474317689696</c:v>
                </c:pt>
                <c:pt idx="165">
                  <c:v>0.99143891257543937</c:v>
                </c:pt>
                <c:pt idx="166">
                  <c:v>0.99277903596850592</c:v>
                </c:pt>
                <c:pt idx="167">
                  <c:v>0.99411623447546937</c:v>
                </c:pt>
                <c:pt idx="168">
                  <c:v>0.99528256481787336</c:v>
                </c:pt>
                <c:pt idx="169">
                  <c:v>0.99635513222007632</c:v>
                </c:pt>
                <c:pt idx="170">
                  <c:v>0.99742266933114776</c:v>
                </c:pt>
                <c:pt idx="171">
                  <c:v>0.99797468102321563</c:v>
                </c:pt>
                <c:pt idx="172">
                  <c:v>0.99852514062576558</c:v>
                </c:pt>
                <c:pt idx="173">
                  <c:v>0.99897878696662679</c:v>
                </c:pt>
                <c:pt idx="174">
                  <c:v>0.999409150693916</c:v>
                </c:pt>
                <c:pt idx="175">
                  <c:v>0.9997297457324249</c:v>
                </c:pt>
                <c:pt idx="176">
                  <c:v>0.99993741751608811</c:v>
                </c:pt>
                <c:pt idx="177">
                  <c:v>1</c:v>
                </c:pt>
                <c:pt idx="178">
                  <c:v>#N/A</c:v>
                </c:pt>
                <c:pt idx="179">
                  <c:v>#N/A</c:v>
                </c:pt>
                <c:pt idx="180">
                  <c:v>#N/A</c:v>
                </c:pt>
                <c:pt idx="181">
                  <c:v>4.9073400638757834E-2</c:v>
                </c:pt>
                <c:pt idx="182">
                  <c:v>8.6793867541453018E-2</c:v>
                </c:pt>
                <c:pt idx="183">
                  <c:v>0.11716445292724151</c:v>
                </c:pt>
                <c:pt idx="184">
                  <c:v>0.14671776792169305</c:v>
                </c:pt>
                <c:pt idx="185">
                  <c:v>0.17611815428354144</c:v>
                </c:pt>
                <c:pt idx="186">
                  <c:v>0.20357731872300078</c:v>
                </c:pt>
                <c:pt idx="187">
                  <c:v>0.23004777617788574</c:v>
                </c:pt>
                <c:pt idx="188">
                  <c:v>0.25532375086823678</c:v>
                </c:pt>
                <c:pt idx="189">
                  <c:v>0.28022318815072833</c:v>
                </c:pt>
                <c:pt idx="190">
                  <c:v>0.30509410099383777</c:v>
                </c:pt>
                <c:pt idx="191">
                  <c:v>0.32907274237846224</c:v>
                </c:pt>
                <c:pt idx="192">
                  <c:v>0.35270790284766723</c:v>
                </c:pt>
                <c:pt idx="193">
                  <c:v>0.37630454639744632</c:v>
                </c:pt>
                <c:pt idx="194">
                  <c:v>0.39846314563619889</c:v>
                </c:pt>
                <c:pt idx="195">
                  <c:v>0.41963697802304689</c:v>
                </c:pt>
                <c:pt idx="196">
                  <c:v>0.44055097991467485</c:v>
                </c:pt>
                <c:pt idx="197">
                  <c:v>0.46140157713734908</c:v>
                </c:pt>
                <c:pt idx="198">
                  <c:v>0.48158946603541614</c:v>
                </c:pt>
                <c:pt idx="199">
                  <c:v>0.50106357818857428</c:v>
                </c:pt>
                <c:pt idx="200">
                  <c:v>0.51975252558530916</c:v>
                </c:pt>
                <c:pt idx="201">
                  <c:v>0.53783305486444732</c:v>
                </c:pt>
                <c:pt idx="202">
                  <c:v>0.55514460363289975</c:v>
                </c:pt>
                <c:pt idx="203">
                  <c:v>0.57207342698697639</c:v>
                </c:pt>
                <c:pt idx="204">
                  <c:v>0.58827956500992096</c:v>
                </c:pt>
                <c:pt idx="205">
                  <c:v>0.60427408233923807</c:v>
                </c:pt>
                <c:pt idx="206">
                  <c:v>0.61976800428344181</c:v>
                </c:pt>
                <c:pt idx="207">
                  <c:v>0.63518609925631875</c:v>
                </c:pt>
                <c:pt idx="208">
                  <c:v>0.65058087336348724</c:v>
                </c:pt>
                <c:pt idx="209">
                  <c:v>0.66544461864144766</c:v>
                </c:pt>
                <c:pt idx="210">
                  <c:v>0.67976561014385495</c:v>
                </c:pt>
                <c:pt idx="211">
                  <c:v>0.69373555014740984</c:v>
                </c:pt>
                <c:pt idx="212">
                  <c:v>0.70767938893748417</c:v>
                </c:pt>
                <c:pt idx="213">
                  <c:v>0.72142494004352697</c:v>
                </c:pt>
                <c:pt idx="214">
                  <c:v>0.73348393148213775</c:v>
                </c:pt>
                <c:pt idx="215">
                  <c:v>0.74501461602912544</c:v>
                </c:pt>
                <c:pt idx="216">
                  <c:v>0.75649366704993726</c:v>
                </c:pt>
                <c:pt idx="217">
                  <c:v>0.76718786203857148</c:v>
                </c:pt>
                <c:pt idx="218">
                  <c:v>0.77757044494709893</c:v>
                </c:pt>
                <c:pt idx="219">
                  <c:v>0.78669637572648443</c:v>
                </c:pt>
                <c:pt idx="220">
                  <c:v>0.7957502100537559</c:v>
                </c:pt>
                <c:pt idx="221">
                  <c:v>0.80453296388224838</c:v>
                </c:pt>
                <c:pt idx="222">
                  <c:v>0.81328675632056524</c:v>
                </c:pt>
                <c:pt idx="223">
                  <c:v>0.8219723628234078</c:v>
                </c:pt>
                <c:pt idx="224">
                  <c:v>0.83053763554335736</c:v>
                </c:pt>
                <c:pt idx="225">
                  <c:v>0.83905946085373317</c:v>
                </c:pt>
                <c:pt idx="226">
                  <c:v>0.84715444701521281</c:v>
                </c:pt>
                <c:pt idx="227">
                  <c:v>0.85522007269907485</c:v>
                </c:pt>
                <c:pt idx="228">
                  <c:v>0.86304423910290662</c:v>
                </c:pt>
                <c:pt idx="229">
                  <c:v>0.87045578645473365</c:v>
                </c:pt>
                <c:pt idx="230">
                  <c:v>0.87759158891166222</c:v>
                </c:pt>
                <c:pt idx="231">
                  <c:v>0.88451310359564261</c:v>
                </c:pt>
                <c:pt idx="232">
                  <c:v>0.89138428017604765</c:v>
                </c:pt>
                <c:pt idx="233">
                  <c:v>0.89786089070454067</c:v>
                </c:pt>
                <c:pt idx="234">
                  <c:v>0.90424927686567202</c:v>
                </c:pt>
                <c:pt idx="235">
                  <c:v>0.91011790637029644</c:v>
                </c:pt>
                <c:pt idx="236">
                  <c:v>0.91594574019350117</c:v>
                </c:pt>
                <c:pt idx="237">
                  <c:v>0.92172992699194378</c:v>
                </c:pt>
                <c:pt idx="238">
                  <c:v>0.92703859390642485</c:v>
                </c:pt>
                <c:pt idx="239">
                  <c:v>0.93216517896572304</c:v>
                </c:pt>
                <c:pt idx="240">
                  <c:v>0.9371298661948162</c:v>
                </c:pt>
                <c:pt idx="241">
                  <c:v>0.94190687148043173</c:v>
                </c:pt>
                <c:pt idx="242">
                  <c:v>0.94606247272672239</c:v>
                </c:pt>
                <c:pt idx="243">
                  <c:v>0.94998431149473372</c:v>
                </c:pt>
                <c:pt idx="244">
                  <c:v>0.95371866924230642</c:v>
                </c:pt>
                <c:pt idx="245">
                  <c:v>0.95742773655810653</c:v>
                </c:pt>
                <c:pt idx="246">
                  <c:v>0.96111529634684434</c:v>
                </c:pt>
                <c:pt idx="247">
                  <c:v>0.96477945039536217</c:v>
                </c:pt>
                <c:pt idx="248">
                  <c:v>0.96825015558609584</c:v>
                </c:pt>
                <c:pt idx="249">
                  <c:v>0.97168377712604403</c:v>
                </c:pt>
                <c:pt idx="250">
                  <c:v>0.97478277076385889</c:v>
                </c:pt>
                <c:pt idx="251">
                  <c:v>0.9776276731200525</c:v>
                </c:pt>
                <c:pt idx="252">
                  <c:v>0.98047110317933794</c:v>
                </c:pt>
                <c:pt idx="253">
                  <c:v>0.98326775977876313</c:v>
                </c:pt>
                <c:pt idx="254">
                  <c:v>0.98598337476291031</c:v>
                </c:pt>
                <c:pt idx="255">
                  <c:v>0.98848072941674614</c:v>
                </c:pt>
                <c:pt idx="256">
                  <c:v>0.99056033284069089</c:v>
                </c:pt>
                <c:pt idx="257">
                  <c:v>0.99244861826736219</c:v>
                </c:pt>
                <c:pt idx="258">
                  <c:v>0.99426195033842446</c:v>
                </c:pt>
                <c:pt idx="259">
                  <c:v>0.99583908970866164</c:v>
                </c:pt>
                <c:pt idx="260">
                  <c:v>0.99731060447905251</c:v>
                </c:pt>
                <c:pt idx="261">
                  <c:v>0.99791164791925391</c:v>
                </c:pt>
                <c:pt idx="262">
                  <c:v>0.99838886336382615</c:v>
                </c:pt>
                <c:pt idx="263">
                  <c:v>0.99883067378763113</c:v>
                </c:pt>
                <c:pt idx="264">
                  <c:v>0.99923115364049742</c:v>
                </c:pt>
                <c:pt idx="265">
                  <c:v>0.99960182167859435</c:v>
                </c:pt>
                <c:pt idx="266">
                  <c:v>0.99986686513828549</c:v>
                </c:pt>
                <c:pt idx="267">
                  <c:v>0.99994558574727599</c:v>
                </c:pt>
                <c:pt idx="268">
                  <c:v>1</c:v>
                </c:pt>
                <c:pt idx="269">
                  <c:v>4.0979588541595294E-2</c:v>
                </c:pt>
                <c:pt idx="270">
                  <c:v>7.690714677421609E-2</c:v>
                </c:pt>
                <c:pt idx="271">
                  <c:v>0.11146718860084993</c:v>
                </c:pt>
                <c:pt idx="272">
                  <c:v>0.14272762568294231</c:v>
                </c:pt>
                <c:pt idx="273">
                  <c:v>0.16988308571278374</c:v>
                </c:pt>
                <c:pt idx="274">
                  <c:v>0.19660628062060301</c:v>
                </c:pt>
                <c:pt idx="275">
                  <c:v>0.22154601461623036</c:v>
                </c:pt>
                <c:pt idx="276">
                  <c:v>0.24616725102082773</c:v>
                </c:pt>
                <c:pt idx="277">
                  <c:v>0.2700003342497338</c:v>
                </c:pt>
                <c:pt idx="278">
                  <c:v>0.29323123492896658</c:v>
                </c:pt>
                <c:pt idx="279">
                  <c:v>0.3158357243535091</c:v>
                </c:pt>
                <c:pt idx="280">
                  <c:v>0.33783307347620617</c:v>
                </c:pt>
                <c:pt idx="281">
                  <c:v>0.35913571761907326</c:v>
                </c:pt>
                <c:pt idx="282">
                  <c:v>0.37980544945352807</c:v>
                </c:pt>
                <c:pt idx="283">
                  <c:v>0.3994862110401517</c:v>
                </c:pt>
                <c:pt idx="284">
                  <c:v>0.41890850191335466</c:v>
                </c:pt>
                <c:pt idx="285">
                  <c:v>0.43724893311848928</c:v>
                </c:pt>
                <c:pt idx="286">
                  <c:v>0.45509561081424588</c:v>
                </c:pt>
                <c:pt idx="287">
                  <c:v>0.47254365550953004</c:v>
                </c:pt>
                <c:pt idx="288">
                  <c:v>0.48936224706193832</c:v>
                </c:pt>
                <c:pt idx="289">
                  <c:v>0.50541039555032441</c:v>
                </c:pt>
                <c:pt idx="290">
                  <c:v>0.52117126777361078</c:v>
                </c:pt>
                <c:pt idx="291">
                  <c:v>0.53674048680417596</c:v>
                </c:pt>
                <c:pt idx="292">
                  <c:v>0.55062941146894728</c:v>
                </c:pt>
                <c:pt idx="293">
                  <c:v>0.56436039194374998</c:v>
                </c:pt>
                <c:pt idx="294">
                  <c:v>0.57775905820978057</c:v>
                </c:pt>
                <c:pt idx="295">
                  <c:v>0.59110868650168258</c:v>
                </c:pt>
                <c:pt idx="296">
                  <c:v>0.60389374354751135</c:v>
                </c:pt>
                <c:pt idx="297">
                  <c:v>0.61629606504974588</c:v>
                </c:pt>
                <c:pt idx="298">
                  <c:v>0.62768284987497991</c:v>
                </c:pt>
                <c:pt idx="299">
                  <c:v>0.63897529422226418</c:v>
                </c:pt>
                <c:pt idx="300">
                  <c:v>0.65011001760162546</c:v>
                </c:pt>
                <c:pt idx="301">
                  <c:v>0.66121789026886657</c:v>
                </c:pt>
                <c:pt idx="302">
                  <c:v>0.67199595631249909</c:v>
                </c:pt>
                <c:pt idx="303">
                  <c:v>0.68273236265204162</c:v>
                </c:pt>
                <c:pt idx="304">
                  <c:v>0.69300447975940216</c:v>
                </c:pt>
                <c:pt idx="305">
                  <c:v>0.70305588526972862</c:v>
                </c:pt>
                <c:pt idx="306">
                  <c:v>0.71308695877879069</c:v>
                </c:pt>
                <c:pt idx="307">
                  <c:v>0.72287439130348474</c:v>
                </c:pt>
                <c:pt idx="308">
                  <c:v>0.73255734751824841</c:v>
                </c:pt>
                <c:pt idx="309">
                  <c:v>0.74181465760570897</c:v>
                </c:pt>
                <c:pt idx="310">
                  <c:v>0.75101582666527777</c:v>
                </c:pt>
                <c:pt idx="311">
                  <c:v>0.76017757975700428</c:v>
                </c:pt>
                <c:pt idx="312">
                  <c:v>0.76837313699508569</c:v>
                </c:pt>
                <c:pt idx="313">
                  <c:v>0.77638584224047535</c:v>
                </c:pt>
                <c:pt idx="314">
                  <c:v>0.78425103545231323</c:v>
                </c:pt>
                <c:pt idx="315">
                  <c:v>0.792042143658787</c:v>
                </c:pt>
                <c:pt idx="316">
                  <c:v>0.79974983864234583</c:v>
                </c:pt>
                <c:pt idx="317">
                  <c:v>0.80719087758463304</c:v>
                </c:pt>
                <c:pt idx="318">
                  <c:v>0.81452078773247005</c:v>
                </c:pt>
                <c:pt idx="319">
                  <c:v>0.82158205135742257</c:v>
                </c:pt>
                <c:pt idx="320">
                  <c:v>0.82863684022572293</c:v>
                </c:pt>
                <c:pt idx="321">
                  <c:v>0.8354139511480565</c:v>
                </c:pt>
                <c:pt idx="322">
                  <c:v>0.84213614451181262</c:v>
                </c:pt>
                <c:pt idx="323">
                  <c:v>0.84873281852302629</c:v>
                </c:pt>
                <c:pt idx="324">
                  <c:v>0.85520450658176261</c:v>
                </c:pt>
                <c:pt idx="325">
                  <c:v>0.86165387985749298</c:v>
                </c:pt>
                <c:pt idx="326">
                  <c:v>0.86799935299011211</c:v>
                </c:pt>
                <c:pt idx="327">
                  <c:v>0.87428384937789305</c:v>
                </c:pt>
                <c:pt idx="328">
                  <c:v>0.88044957226090725</c:v>
                </c:pt>
                <c:pt idx="329">
                  <c:v>0.8865515255723504</c:v>
                </c:pt>
                <c:pt idx="330">
                  <c:v>0.89248061540506707</c:v>
                </c:pt>
                <c:pt idx="331">
                  <c:v>0.89763036664567286</c:v>
                </c:pt>
                <c:pt idx="332">
                  <c:v>0.90251715888399031</c:v>
                </c:pt>
                <c:pt idx="333">
                  <c:v>0.90726585269138305</c:v>
                </c:pt>
                <c:pt idx="334">
                  <c:v>0.91188349098221932</c:v>
                </c:pt>
                <c:pt idx="335">
                  <c:v>0.91648889266267453</c:v>
                </c:pt>
                <c:pt idx="336">
                  <c:v>0.92090198254858446</c:v>
                </c:pt>
                <c:pt idx="337">
                  <c:v>0.92522184192543</c:v>
                </c:pt>
                <c:pt idx="338">
                  <c:v>0.92948916642396517</c:v>
                </c:pt>
                <c:pt idx="339">
                  <c:v>0.93359059664347277</c:v>
                </c:pt>
                <c:pt idx="340">
                  <c:v>0.93763264704666571</c:v>
                </c:pt>
                <c:pt idx="341">
                  <c:v>0.94131871626794972</c:v>
                </c:pt>
                <c:pt idx="342">
                  <c:v>0.94469393879934016</c:v>
                </c:pt>
                <c:pt idx="343">
                  <c:v>0.94799338872390349</c:v>
                </c:pt>
                <c:pt idx="344">
                  <c:v>0.95092399435260999</c:v>
                </c:pt>
                <c:pt idx="345">
                  <c:v>0.95379230258180325</c:v>
                </c:pt>
                <c:pt idx="346">
                  <c:v>0.95661841724917829</c:v>
                </c:pt>
                <c:pt idx="347">
                  <c:v>0.95936231060275823</c:v>
                </c:pt>
                <c:pt idx="348">
                  <c:v>0.96209628816750081</c:v>
                </c:pt>
                <c:pt idx="349">
                  <c:v>0.9648234135891387</c:v>
                </c:pt>
                <c:pt idx="350">
                  <c:v>0.96754596213319133</c:v>
                </c:pt>
                <c:pt idx="351">
                  <c:v>0.97016941090588749</c:v>
                </c:pt>
                <c:pt idx="352">
                  <c:v>0.97272973418731268</c:v>
                </c:pt>
                <c:pt idx="353">
                  <c:v>0.97528524564922281</c:v>
                </c:pt>
                <c:pt idx="354">
                  <c:v>0.97783176189290621</c:v>
                </c:pt>
                <c:pt idx="355">
                  <c:v>0.98033995166648968</c:v>
                </c:pt>
                <c:pt idx="356">
                  <c:v>0.98282979716825902</c:v>
                </c:pt>
                <c:pt idx="357">
                  <c:v>0.98503288699042901</c:v>
                </c:pt>
                <c:pt idx="358">
                  <c:v>0.98696014926006848</c:v>
                </c:pt>
                <c:pt idx="359">
                  <c:v>0.98874131411399691</c:v>
                </c:pt>
                <c:pt idx="360">
                  <c:v>0.99043359745737025</c:v>
                </c:pt>
                <c:pt idx="361">
                  <c:v>0.99199525716964687</c:v>
                </c:pt>
                <c:pt idx="362">
                  <c:v>0.99332282506120617</c:v>
                </c:pt>
                <c:pt idx="363">
                  <c:v>0.99453045903722703</c:v>
                </c:pt>
                <c:pt idx="364">
                  <c:v>0.9957211861001789</c:v>
                </c:pt>
                <c:pt idx="365">
                  <c:v>0.99680764100183039</c:v>
                </c:pt>
                <c:pt idx="366">
                  <c:v>0.99750161250863989</c:v>
                </c:pt>
                <c:pt idx="367">
                  <c:v>0.99818127121059341</c:v>
                </c:pt>
                <c:pt idx="368">
                  <c:v>0.99865500930400897</c:v>
                </c:pt>
                <c:pt idx="369">
                  <c:v>0.99911775797443458</c:v>
                </c:pt>
                <c:pt idx="370">
                  <c:v>0.99957631056764606</c:v>
                </c:pt>
                <c:pt idx="371">
                  <c:v>0.99999999999999956</c:v>
                </c:pt>
              </c:numCache>
            </c:numRef>
          </c:val>
          <c:extLst>
            <c:ext xmlns:c16="http://schemas.microsoft.com/office/drawing/2014/chart" uri="{C3380CC4-5D6E-409C-BE32-E72D297353CC}">
              <c16:uniqueId val="{00000000-8EE5-486C-828B-E0ABAB98E355}"/>
            </c:ext>
          </c:extLst>
        </c:ser>
        <c:dLbls>
          <c:showLegendKey val="0"/>
          <c:showVal val="0"/>
          <c:showCatName val="0"/>
          <c:showSerName val="0"/>
          <c:showPercent val="0"/>
          <c:showBubbleSize val="0"/>
        </c:dLbls>
        <c:gapWidth val="219"/>
        <c:overlap val="-27"/>
        <c:axId val="1150266224"/>
        <c:axId val="1150275472"/>
      </c:barChart>
      <c:catAx>
        <c:axId val="115026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0275472"/>
        <c:crosses val="autoZero"/>
        <c:auto val="1"/>
        <c:lblAlgn val="ctr"/>
        <c:lblOffset val="100"/>
        <c:noMultiLvlLbl val="0"/>
      </c:catAx>
      <c:valAx>
        <c:axId val="11502754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026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Brief1.xlsx]Channel Mix &amp; Cannibalization!PivotTable46</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'Channel Mix &amp; Cannibalization'!$B$3:$B$4</c:f>
              <c:strCache>
                <c:ptCount val="1"/>
                <c:pt idx="0">
                  <c:v>Direct</c:v>
                </c:pt>
              </c:strCache>
            </c:strRef>
          </c:tx>
          <c:spPr>
            <a:solidFill>
              <a:schemeClr val="accent1"/>
            </a:solidFill>
            <a:ln>
              <a:noFill/>
            </a:ln>
            <a:effectLst/>
          </c:spPr>
          <c:invertIfNegative val="0"/>
          <c:cat>
            <c:strRef>
              <c:f>'Channel Mix &amp; Cannibalization'!$A$5:$A$10</c:f>
              <c:strCache>
                <c:ptCount val="5"/>
                <c:pt idx="0">
                  <c:v>Africa</c:v>
                </c:pt>
                <c:pt idx="1">
                  <c:v>Americas</c:v>
                </c:pt>
                <c:pt idx="2">
                  <c:v>Asia</c:v>
                </c:pt>
                <c:pt idx="3">
                  <c:v>Europe</c:v>
                </c:pt>
                <c:pt idx="4">
                  <c:v>(blank)</c:v>
                </c:pt>
              </c:strCache>
            </c:strRef>
          </c:cat>
          <c:val>
            <c:numRef>
              <c:f>'Channel Mix &amp; Cannibalization'!$B$5:$B$10</c:f>
              <c:numCache>
                <c:formatCode>General</c:formatCode>
                <c:ptCount val="5"/>
                <c:pt idx="0">
                  <c:v>462236.49369999988</c:v>
                </c:pt>
                <c:pt idx="1">
                  <c:v>751887.68591000012</c:v>
                </c:pt>
                <c:pt idx="2">
                  <c:v>642753.25636</c:v>
                </c:pt>
                <c:pt idx="3">
                  <c:v>842614.45203999989</c:v>
                </c:pt>
              </c:numCache>
            </c:numRef>
          </c:val>
          <c:extLst>
            <c:ext xmlns:c16="http://schemas.microsoft.com/office/drawing/2014/chart" uri="{C3380CC4-5D6E-409C-BE32-E72D297353CC}">
              <c16:uniqueId val="{00000000-5055-434E-8212-9CDB1D582DD9}"/>
            </c:ext>
          </c:extLst>
        </c:ser>
        <c:ser>
          <c:idx val="1"/>
          <c:order val="1"/>
          <c:tx>
            <c:strRef>
              <c:f>'Channel Mix &amp; Cannibalization'!$C$3:$C$4</c:f>
              <c:strCache>
                <c:ptCount val="1"/>
                <c:pt idx="0">
                  <c:v>Distributor</c:v>
                </c:pt>
              </c:strCache>
            </c:strRef>
          </c:tx>
          <c:spPr>
            <a:solidFill>
              <a:schemeClr val="accent2"/>
            </a:solidFill>
            <a:ln>
              <a:noFill/>
            </a:ln>
            <a:effectLst/>
          </c:spPr>
          <c:invertIfNegative val="0"/>
          <c:cat>
            <c:strRef>
              <c:f>'Channel Mix &amp; Cannibalization'!$A$5:$A$10</c:f>
              <c:strCache>
                <c:ptCount val="5"/>
                <c:pt idx="0">
                  <c:v>Africa</c:v>
                </c:pt>
                <c:pt idx="1">
                  <c:v>Americas</c:v>
                </c:pt>
                <c:pt idx="2">
                  <c:v>Asia</c:v>
                </c:pt>
                <c:pt idx="3">
                  <c:v>Europe</c:v>
                </c:pt>
                <c:pt idx="4">
                  <c:v>(blank)</c:v>
                </c:pt>
              </c:strCache>
            </c:strRef>
          </c:cat>
          <c:val>
            <c:numRef>
              <c:f>'Channel Mix &amp; Cannibalization'!$C$5:$C$10</c:f>
              <c:numCache>
                <c:formatCode>General</c:formatCode>
                <c:ptCount val="5"/>
                <c:pt idx="0">
                  <c:v>634581.62447000004</c:v>
                </c:pt>
                <c:pt idx="1">
                  <c:v>568863.4119200001</c:v>
                </c:pt>
                <c:pt idx="2">
                  <c:v>509418.80598999996</c:v>
                </c:pt>
                <c:pt idx="3">
                  <c:v>318736.67219999997</c:v>
                </c:pt>
              </c:numCache>
            </c:numRef>
          </c:val>
          <c:extLst>
            <c:ext xmlns:c16="http://schemas.microsoft.com/office/drawing/2014/chart" uri="{C3380CC4-5D6E-409C-BE32-E72D297353CC}">
              <c16:uniqueId val="{00000001-5055-434E-8212-9CDB1D582DD9}"/>
            </c:ext>
          </c:extLst>
        </c:ser>
        <c:ser>
          <c:idx val="2"/>
          <c:order val="2"/>
          <c:tx>
            <c:strRef>
              <c:f>'Channel Mix &amp; Cannibalization'!$D$3:$D$4</c:f>
              <c:strCache>
                <c:ptCount val="1"/>
                <c:pt idx="0">
                  <c:v>Marketplace</c:v>
                </c:pt>
              </c:strCache>
            </c:strRef>
          </c:tx>
          <c:spPr>
            <a:solidFill>
              <a:schemeClr val="accent3"/>
            </a:solidFill>
            <a:ln>
              <a:noFill/>
            </a:ln>
            <a:effectLst/>
          </c:spPr>
          <c:invertIfNegative val="0"/>
          <c:cat>
            <c:strRef>
              <c:f>'Channel Mix &amp; Cannibalization'!$A$5:$A$10</c:f>
              <c:strCache>
                <c:ptCount val="5"/>
                <c:pt idx="0">
                  <c:v>Africa</c:v>
                </c:pt>
                <c:pt idx="1">
                  <c:v>Americas</c:v>
                </c:pt>
                <c:pt idx="2">
                  <c:v>Asia</c:v>
                </c:pt>
                <c:pt idx="3">
                  <c:v>Europe</c:v>
                </c:pt>
                <c:pt idx="4">
                  <c:v>(blank)</c:v>
                </c:pt>
              </c:strCache>
            </c:strRef>
          </c:cat>
          <c:val>
            <c:numRef>
              <c:f>'Channel Mix &amp; Cannibalization'!$D$5:$D$10</c:f>
              <c:numCache>
                <c:formatCode>General</c:formatCode>
                <c:ptCount val="5"/>
                <c:pt idx="0">
                  <c:v>527467.87456000003</c:v>
                </c:pt>
                <c:pt idx="1">
                  <c:v>366375.92751999997</c:v>
                </c:pt>
                <c:pt idx="2">
                  <c:v>546106.24272999994</c:v>
                </c:pt>
                <c:pt idx="3">
                  <c:v>633739.81529545446</c:v>
                </c:pt>
              </c:numCache>
            </c:numRef>
          </c:val>
          <c:extLst>
            <c:ext xmlns:c16="http://schemas.microsoft.com/office/drawing/2014/chart" uri="{C3380CC4-5D6E-409C-BE32-E72D297353CC}">
              <c16:uniqueId val="{00000002-5055-434E-8212-9CDB1D582DD9}"/>
            </c:ext>
          </c:extLst>
        </c:ser>
        <c:ser>
          <c:idx val="3"/>
          <c:order val="3"/>
          <c:tx>
            <c:strRef>
              <c:f>'Channel Mix &amp; Cannibalization'!$E$3:$E$4</c:f>
              <c:strCache>
                <c:ptCount val="1"/>
                <c:pt idx="0">
                  <c:v>Online</c:v>
                </c:pt>
              </c:strCache>
            </c:strRef>
          </c:tx>
          <c:spPr>
            <a:solidFill>
              <a:schemeClr val="accent4"/>
            </a:solidFill>
            <a:ln>
              <a:noFill/>
            </a:ln>
            <a:effectLst/>
          </c:spPr>
          <c:invertIfNegative val="0"/>
          <c:cat>
            <c:strRef>
              <c:f>'Channel Mix &amp; Cannibalization'!$A$5:$A$10</c:f>
              <c:strCache>
                <c:ptCount val="5"/>
                <c:pt idx="0">
                  <c:v>Africa</c:v>
                </c:pt>
                <c:pt idx="1">
                  <c:v>Americas</c:v>
                </c:pt>
                <c:pt idx="2">
                  <c:v>Asia</c:v>
                </c:pt>
                <c:pt idx="3">
                  <c:v>Europe</c:v>
                </c:pt>
                <c:pt idx="4">
                  <c:v>(blank)</c:v>
                </c:pt>
              </c:strCache>
            </c:strRef>
          </c:cat>
          <c:val>
            <c:numRef>
              <c:f>'Channel Mix &amp; Cannibalization'!$E$5:$E$10</c:f>
              <c:numCache>
                <c:formatCode>General</c:formatCode>
                <c:ptCount val="5"/>
                <c:pt idx="0">
                  <c:v>433406.33626999997</c:v>
                </c:pt>
                <c:pt idx="1">
                  <c:v>689951.45437000017</c:v>
                </c:pt>
                <c:pt idx="2">
                  <c:v>413661.50969000004</c:v>
                </c:pt>
                <c:pt idx="3">
                  <c:v>585406.72276999988</c:v>
                </c:pt>
              </c:numCache>
            </c:numRef>
          </c:val>
          <c:extLst>
            <c:ext xmlns:c16="http://schemas.microsoft.com/office/drawing/2014/chart" uri="{C3380CC4-5D6E-409C-BE32-E72D297353CC}">
              <c16:uniqueId val="{00000003-5055-434E-8212-9CDB1D582DD9}"/>
            </c:ext>
          </c:extLst>
        </c:ser>
        <c:ser>
          <c:idx val="4"/>
          <c:order val="4"/>
          <c:tx>
            <c:strRef>
              <c:f>'Channel Mix &amp; Cannibalization'!$F$3:$F$4</c:f>
              <c:strCache>
                <c:ptCount val="1"/>
                <c:pt idx="0">
                  <c:v>Retail</c:v>
                </c:pt>
              </c:strCache>
            </c:strRef>
          </c:tx>
          <c:spPr>
            <a:solidFill>
              <a:schemeClr val="accent5"/>
            </a:solidFill>
            <a:ln>
              <a:noFill/>
            </a:ln>
            <a:effectLst/>
          </c:spPr>
          <c:invertIfNegative val="0"/>
          <c:cat>
            <c:strRef>
              <c:f>'Channel Mix &amp; Cannibalization'!$A$5:$A$10</c:f>
              <c:strCache>
                <c:ptCount val="5"/>
                <c:pt idx="0">
                  <c:v>Africa</c:v>
                </c:pt>
                <c:pt idx="1">
                  <c:v>Americas</c:v>
                </c:pt>
                <c:pt idx="2">
                  <c:v>Asia</c:v>
                </c:pt>
                <c:pt idx="3">
                  <c:v>Europe</c:v>
                </c:pt>
                <c:pt idx="4">
                  <c:v>(blank)</c:v>
                </c:pt>
              </c:strCache>
            </c:strRef>
          </c:cat>
          <c:val>
            <c:numRef>
              <c:f>'Channel Mix &amp; Cannibalization'!$F$5:$F$10</c:f>
              <c:numCache>
                <c:formatCode>General</c:formatCode>
                <c:ptCount val="5"/>
                <c:pt idx="0">
                  <c:v>533473.21200116281</c:v>
                </c:pt>
                <c:pt idx="1">
                  <c:v>302853.57922000001</c:v>
                </c:pt>
                <c:pt idx="2">
                  <c:v>693141.67984</c:v>
                </c:pt>
                <c:pt idx="3">
                  <c:v>495883.36806021282</c:v>
                </c:pt>
              </c:numCache>
            </c:numRef>
          </c:val>
          <c:extLst>
            <c:ext xmlns:c16="http://schemas.microsoft.com/office/drawing/2014/chart" uri="{C3380CC4-5D6E-409C-BE32-E72D297353CC}">
              <c16:uniqueId val="{00000004-5055-434E-8212-9CDB1D582DD9}"/>
            </c:ext>
          </c:extLst>
        </c:ser>
        <c:ser>
          <c:idx val="5"/>
          <c:order val="5"/>
          <c:tx>
            <c:strRef>
              <c:f>'Channel Mix &amp; Cannibalization'!$G$3:$G$4</c:f>
              <c:strCache>
                <c:ptCount val="1"/>
                <c:pt idx="0">
                  <c:v>Unknown</c:v>
                </c:pt>
              </c:strCache>
            </c:strRef>
          </c:tx>
          <c:spPr>
            <a:solidFill>
              <a:schemeClr val="accent6"/>
            </a:solidFill>
            <a:ln>
              <a:noFill/>
            </a:ln>
            <a:effectLst/>
          </c:spPr>
          <c:invertIfNegative val="0"/>
          <c:cat>
            <c:strRef>
              <c:f>'Channel Mix &amp; Cannibalization'!$A$5:$A$10</c:f>
              <c:strCache>
                <c:ptCount val="5"/>
                <c:pt idx="0">
                  <c:v>Africa</c:v>
                </c:pt>
                <c:pt idx="1">
                  <c:v>Americas</c:v>
                </c:pt>
                <c:pt idx="2">
                  <c:v>Asia</c:v>
                </c:pt>
                <c:pt idx="3">
                  <c:v>Europe</c:v>
                </c:pt>
                <c:pt idx="4">
                  <c:v>(blank)</c:v>
                </c:pt>
              </c:strCache>
            </c:strRef>
          </c:cat>
          <c:val>
            <c:numRef>
              <c:f>'Channel Mix &amp; Cannibalization'!$G$5:$G$10</c:f>
              <c:numCache>
                <c:formatCode>General</c:formatCode>
                <c:ptCount val="5"/>
                <c:pt idx="0">
                  <c:v>32716.924230000001</c:v>
                </c:pt>
                <c:pt idx="1">
                  <c:v>9256.14</c:v>
                </c:pt>
                <c:pt idx="2">
                  <c:v>41379.395489999995</c:v>
                </c:pt>
                <c:pt idx="3">
                  <c:v>18050.446459999999</c:v>
                </c:pt>
              </c:numCache>
            </c:numRef>
          </c:val>
          <c:extLst>
            <c:ext xmlns:c16="http://schemas.microsoft.com/office/drawing/2014/chart" uri="{C3380CC4-5D6E-409C-BE32-E72D297353CC}">
              <c16:uniqueId val="{00000005-5055-434E-8212-9CDB1D582DD9}"/>
            </c:ext>
          </c:extLst>
        </c:ser>
        <c:ser>
          <c:idx val="6"/>
          <c:order val="6"/>
          <c:tx>
            <c:strRef>
              <c:f>'Channel Mix &amp; Cannibalization'!$H$3:$H$4</c:f>
              <c:strCache>
                <c:ptCount val="1"/>
                <c:pt idx="0">
                  <c:v>(blank)</c:v>
                </c:pt>
              </c:strCache>
            </c:strRef>
          </c:tx>
          <c:spPr>
            <a:solidFill>
              <a:schemeClr val="accent1">
                <a:lumMod val="60000"/>
              </a:schemeClr>
            </a:solidFill>
            <a:ln>
              <a:noFill/>
            </a:ln>
            <a:effectLst/>
          </c:spPr>
          <c:invertIfNegative val="0"/>
          <c:cat>
            <c:strRef>
              <c:f>'Channel Mix &amp; Cannibalization'!$A$5:$A$10</c:f>
              <c:strCache>
                <c:ptCount val="5"/>
                <c:pt idx="0">
                  <c:v>Africa</c:v>
                </c:pt>
                <c:pt idx="1">
                  <c:v>Americas</c:v>
                </c:pt>
                <c:pt idx="2">
                  <c:v>Asia</c:v>
                </c:pt>
                <c:pt idx="3">
                  <c:v>Europe</c:v>
                </c:pt>
                <c:pt idx="4">
                  <c:v>(blank)</c:v>
                </c:pt>
              </c:strCache>
            </c:strRef>
          </c:cat>
          <c:val>
            <c:numRef>
              <c:f>'Channel Mix &amp; Cannibalization'!$H$5:$H$10</c:f>
              <c:numCache>
                <c:formatCode>General</c:formatCode>
                <c:ptCount val="5"/>
              </c:numCache>
            </c:numRef>
          </c:val>
          <c:extLst>
            <c:ext xmlns:c16="http://schemas.microsoft.com/office/drawing/2014/chart" uri="{C3380CC4-5D6E-409C-BE32-E72D297353CC}">
              <c16:uniqueId val="{00000006-5055-434E-8212-9CDB1D582DD9}"/>
            </c:ext>
          </c:extLst>
        </c:ser>
        <c:dLbls>
          <c:showLegendKey val="0"/>
          <c:showVal val="0"/>
          <c:showCatName val="0"/>
          <c:showSerName val="0"/>
          <c:showPercent val="0"/>
          <c:showBubbleSize val="0"/>
        </c:dLbls>
        <c:gapWidth val="219"/>
        <c:overlap val="-27"/>
        <c:axId val="1150268944"/>
        <c:axId val="1150266768"/>
      </c:barChart>
      <c:catAx>
        <c:axId val="115026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0266768"/>
        <c:crosses val="autoZero"/>
        <c:auto val="1"/>
        <c:lblAlgn val="ctr"/>
        <c:lblOffset val="100"/>
        <c:noMultiLvlLbl val="0"/>
      </c:catAx>
      <c:valAx>
        <c:axId val="115026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026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Brief1.xlsx]SERVICE_LEVEL_PROXY!PivotTable47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SERVICE_LEVEL_PROXY!$B$3</c:f>
              <c:strCache>
                <c:ptCount val="1"/>
                <c:pt idx="0">
                  <c:v>Count of OnTime_7Days</c:v>
                </c:pt>
              </c:strCache>
            </c:strRef>
          </c:tx>
          <c:spPr>
            <a:solidFill>
              <a:schemeClr val="accent1"/>
            </a:solidFill>
            <a:ln>
              <a:noFill/>
            </a:ln>
            <a:effectLst/>
          </c:spPr>
          <c:invertIfNegative val="0"/>
          <c:cat>
            <c:multiLvlStrRef>
              <c:f>SERVICE_LEVEL_PROXY!$A$4:$A$102</c:f>
              <c:multiLvlStrCache>
                <c:ptCount val="85"/>
                <c:lvl>
                  <c:pt idx="0">
                    <c:v>Accessories</c:v>
                  </c:pt>
                  <c:pt idx="1">
                    <c:v>Components</c:v>
                  </c:pt>
                  <c:pt idx="2">
                    <c:v>Laptops</c:v>
                  </c:pt>
                  <c:pt idx="3">
                    <c:v>Monitors</c:v>
                  </c:pt>
                  <c:pt idx="4">
                    <c:v>Networking</c:v>
                  </c:pt>
                  <c:pt idx="5">
                    <c:v>Phones</c:v>
                  </c:pt>
                  <c:pt idx="6">
                    <c:v>Printers</c:v>
                  </c:pt>
                  <c:pt idx="7">
                    <c:v>Accessories</c:v>
                  </c:pt>
                  <c:pt idx="8">
                    <c:v>Components</c:v>
                  </c:pt>
                  <c:pt idx="9">
                    <c:v>Laptops</c:v>
                  </c:pt>
                  <c:pt idx="10">
                    <c:v>Monitors</c:v>
                  </c:pt>
                  <c:pt idx="11">
                    <c:v>Networking</c:v>
                  </c:pt>
                  <c:pt idx="12">
                    <c:v>Phones</c:v>
                  </c:pt>
                  <c:pt idx="13">
                    <c:v>Printers</c:v>
                  </c:pt>
                  <c:pt idx="14">
                    <c:v>Accessories</c:v>
                  </c:pt>
                  <c:pt idx="15">
                    <c:v>Components</c:v>
                  </c:pt>
                  <c:pt idx="16">
                    <c:v>Laptops</c:v>
                  </c:pt>
                  <c:pt idx="17">
                    <c:v>Monitors</c:v>
                  </c:pt>
                  <c:pt idx="18">
                    <c:v>Networking</c:v>
                  </c:pt>
                  <c:pt idx="19">
                    <c:v>Phones</c:v>
                  </c:pt>
                  <c:pt idx="20">
                    <c:v>Printers</c:v>
                  </c:pt>
                  <c:pt idx="21">
                    <c:v>Accessories</c:v>
                  </c:pt>
                  <c:pt idx="22">
                    <c:v>Components</c:v>
                  </c:pt>
                  <c:pt idx="23">
                    <c:v>Laptops</c:v>
                  </c:pt>
                  <c:pt idx="24">
                    <c:v>Monitors</c:v>
                  </c:pt>
                  <c:pt idx="25">
                    <c:v>Networking</c:v>
                  </c:pt>
                  <c:pt idx="26">
                    <c:v>Phones</c:v>
                  </c:pt>
                  <c:pt idx="27">
                    <c:v>Printers</c:v>
                  </c:pt>
                  <c:pt idx="28">
                    <c:v>Accessories</c:v>
                  </c:pt>
                  <c:pt idx="29">
                    <c:v>Components</c:v>
                  </c:pt>
                  <c:pt idx="30">
                    <c:v>Laptops</c:v>
                  </c:pt>
                  <c:pt idx="31">
                    <c:v>Monitors</c:v>
                  </c:pt>
                  <c:pt idx="32">
                    <c:v>Networking</c:v>
                  </c:pt>
                  <c:pt idx="33">
                    <c:v>Phones</c:v>
                  </c:pt>
                  <c:pt idx="34">
                    <c:v>Printers</c:v>
                  </c:pt>
                  <c:pt idx="35">
                    <c:v>Accessories</c:v>
                  </c:pt>
                  <c:pt idx="36">
                    <c:v>Components</c:v>
                  </c:pt>
                  <c:pt idx="37">
                    <c:v>Laptops</c:v>
                  </c:pt>
                  <c:pt idx="38">
                    <c:v>Monitors</c:v>
                  </c:pt>
                  <c:pt idx="39">
                    <c:v>Networking</c:v>
                  </c:pt>
                  <c:pt idx="40">
                    <c:v>Phones</c:v>
                  </c:pt>
                  <c:pt idx="41">
                    <c:v>Printers</c:v>
                  </c:pt>
                  <c:pt idx="42">
                    <c:v>Accessories</c:v>
                  </c:pt>
                  <c:pt idx="43">
                    <c:v>Components</c:v>
                  </c:pt>
                  <c:pt idx="44">
                    <c:v>Laptops</c:v>
                  </c:pt>
                  <c:pt idx="45">
                    <c:v>Monitors</c:v>
                  </c:pt>
                  <c:pt idx="46">
                    <c:v>Networking</c:v>
                  </c:pt>
                  <c:pt idx="47">
                    <c:v>Phones</c:v>
                  </c:pt>
                  <c:pt idx="48">
                    <c:v>Printers</c:v>
                  </c:pt>
                  <c:pt idx="49">
                    <c:v>Accessories</c:v>
                  </c:pt>
                  <c:pt idx="50">
                    <c:v>Components</c:v>
                  </c:pt>
                  <c:pt idx="51">
                    <c:v>Laptops</c:v>
                  </c:pt>
                  <c:pt idx="52">
                    <c:v>Monitors</c:v>
                  </c:pt>
                  <c:pt idx="53">
                    <c:v>Networking</c:v>
                  </c:pt>
                  <c:pt idx="54">
                    <c:v>Phones</c:v>
                  </c:pt>
                  <c:pt idx="55">
                    <c:v>Printers</c:v>
                  </c:pt>
                  <c:pt idx="56">
                    <c:v>Accessories</c:v>
                  </c:pt>
                  <c:pt idx="57">
                    <c:v>Components</c:v>
                  </c:pt>
                  <c:pt idx="58">
                    <c:v>Laptops</c:v>
                  </c:pt>
                  <c:pt idx="59">
                    <c:v>Monitors</c:v>
                  </c:pt>
                  <c:pt idx="60">
                    <c:v>Networking</c:v>
                  </c:pt>
                  <c:pt idx="61">
                    <c:v>Phones</c:v>
                  </c:pt>
                  <c:pt idx="62">
                    <c:v>Printers</c:v>
                  </c:pt>
                  <c:pt idx="63">
                    <c:v>Accessories</c:v>
                  </c:pt>
                  <c:pt idx="64">
                    <c:v>Components</c:v>
                  </c:pt>
                  <c:pt idx="65">
                    <c:v>Laptops</c:v>
                  </c:pt>
                  <c:pt idx="66">
                    <c:v>Monitors</c:v>
                  </c:pt>
                  <c:pt idx="67">
                    <c:v>Networking</c:v>
                  </c:pt>
                  <c:pt idx="68">
                    <c:v>Phones</c:v>
                  </c:pt>
                  <c:pt idx="69">
                    <c:v>Printers</c:v>
                  </c:pt>
                  <c:pt idx="70">
                    <c:v>Accessories</c:v>
                  </c:pt>
                  <c:pt idx="71">
                    <c:v>Components</c:v>
                  </c:pt>
                  <c:pt idx="72">
                    <c:v>Laptops</c:v>
                  </c:pt>
                  <c:pt idx="73">
                    <c:v>Monitors</c:v>
                  </c:pt>
                  <c:pt idx="74">
                    <c:v>Networking</c:v>
                  </c:pt>
                  <c:pt idx="75">
                    <c:v>Phones</c:v>
                  </c:pt>
                  <c:pt idx="76">
                    <c:v>Printers</c:v>
                  </c:pt>
                  <c:pt idx="77">
                    <c:v>Accessories</c:v>
                  </c:pt>
                  <c:pt idx="78">
                    <c:v>Components</c:v>
                  </c:pt>
                  <c:pt idx="79">
                    <c:v>Laptops</c:v>
                  </c:pt>
                  <c:pt idx="80">
                    <c:v>Monitors</c:v>
                  </c:pt>
                  <c:pt idx="81">
                    <c:v>Networking</c:v>
                  </c:pt>
                  <c:pt idx="82">
                    <c:v>Phones</c:v>
                  </c:pt>
                  <c:pt idx="83">
                    <c:v>Printers</c:v>
                  </c:pt>
                  <c:pt idx="84">
                    <c:v>(blank)</c:v>
                  </c:pt>
                </c:lvl>
                <c:lvl>
                  <c:pt idx="0">
                    <c:v>Brazil</c:v>
                  </c:pt>
                  <c:pt idx="7">
                    <c:v>Canada</c:v>
                  </c:pt>
                  <c:pt idx="14">
                    <c:v>China</c:v>
                  </c:pt>
                  <c:pt idx="21">
                    <c:v>France</c:v>
                  </c:pt>
                  <c:pt idx="28">
                    <c:v>Germany</c:v>
                  </c:pt>
                  <c:pt idx="35">
                    <c:v>India</c:v>
                  </c:pt>
                  <c:pt idx="42">
                    <c:v>Japan</c:v>
                  </c:pt>
                  <c:pt idx="49">
                    <c:v>Kenya</c:v>
                  </c:pt>
                  <c:pt idx="56">
                    <c:v>Nigeria</c:v>
                  </c:pt>
                  <c:pt idx="63">
                    <c:v>South Africa</c:v>
                  </c:pt>
                  <c:pt idx="70">
                    <c:v>United Kingdom</c:v>
                  </c:pt>
                  <c:pt idx="77">
                    <c:v>USA</c:v>
                  </c:pt>
                  <c:pt idx="84">
                    <c:v>(blank)</c:v>
                  </c:pt>
                </c:lvl>
              </c:multiLvlStrCache>
            </c:multiLvlStrRef>
          </c:cat>
          <c:val>
            <c:numRef>
              <c:f>SERVICE_LEVEL_PROXY!$B$4:$B$102</c:f>
              <c:numCache>
                <c:formatCode>General</c:formatCode>
                <c:ptCount val="85"/>
                <c:pt idx="0">
                  <c:v>10</c:v>
                </c:pt>
                <c:pt idx="1">
                  <c:v>7</c:v>
                </c:pt>
                <c:pt idx="2">
                  <c:v>5</c:v>
                </c:pt>
                <c:pt idx="3">
                  <c:v>12</c:v>
                </c:pt>
                <c:pt idx="4">
                  <c:v>12</c:v>
                </c:pt>
                <c:pt idx="5">
                  <c:v>9</c:v>
                </c:pt>
                <c:pt idx="6">
                  <c:v>7</c:v>
                </c:pt>
                <c:pt idx="7">
                  <c:v>6</c:v>
                </c:pt>
                <c:pt idx="8">
                  <c:v>6</c:v>
                </c:pt>
                <c:pt idx="9">
                  <c:v>6</c:v>
                </c:pt>
                <c:pt idx="10">
                  <c:v>7</c:v>
                </c:pt>
                <c:pt idx="11">
                  <c:v>3</c:v>
                </c:pt>
                <c:pt idx="12">
                  <c:v>3</c:v>
                </c:pt>
                <c:pt idx="13">
                  <c:v>13</c:v>
                </c:pt>
                <c:pt idx="14">
                  <c:v>4</c:v>
                </c:pt>
                <c:pt idx="15">
                  <c:v>10</c:v>
                </c:pt>
                <c:pt idx="16">
                  <c:v>5</c:v>
                </c:pt>
                <c:pt idx="17">
                  <c:v>6</c:v>
                </c:pt>
                <c:pt idx="18">
                  <c:v>8</c:v>
                </c:pt>
                <c:pt idx="19">
                  <c:v>7</c:v>
                </c:pt>
                <c:pt idx="20">
                  <c:v>11</c:v>
                </c:pt>
                <c:pt idx="21">
                  <c:v>7</c:v>
                </c:pt>
                <c:pt idx="22">
                  <c:v>10</c:v>
                </c:pt>
                <c:pt idx="23">
                  <c:v>6</c:v>
                </c:pt>
                <c:pt idx="24">
                  <c:v>10</c:v>
                </c:pt>
                <c:pt idx="25">
                  <c:v>6</c:v>
                </c:pt>
                <c:pt idx="26">
                  <c:v>3</c:v>
                </c:pt>
                <c:pt idx="27">
                  <c:v>12</c:v>
                </c:pt>
                <c:pt idx="28">
                  <c:v>9</c:v>
                </c:pt>
                <c:pt idx="29">
                  <c:v>6</c:v>
                </c:pt>
                <c:pt idx="30">
                  <c:v>7</c:v>
                </c:pt>
                <c:pt idx="31">
                  <c:v>10</c:v>
                </c:pt>
                <c:pt idx="32">
                  <c:v>4</c:v>
                </c:pt>
                <c:pt idx="33">
                  <c:v>7</c:v>
                </c:pt>
                <c:pt idx="34">
                  <c:v>8</c:v>
                </c:pt>
                <c:pt idx="35">
                  <c:v>8</c:v>
                </c:pt>
                <c:pt idx="36">
                  <c:v>10</c:v>
                </c:pt>
                <c:pt idx="37">
                  <c:v>9</c:v>
                </c:pt>
                <c:pt idx="38">
                  <c:v>12</c:v>
                </c:pt>
                <c:pt idx="39">
                  <c:v>7</c:v>
                </c:pt>
                <c:pt idx="40">
                  <c:v>9</c:v>
                </c:pt>
                <c:pt idx="41">
                  <c:v>6</c:v>
                </c:pt>
                <c:pt idx="42">
                  <c:v>5</c:v>
                </c:pt>
                <c:pt idx="43">
                  <c:v>8</c:v>
                </c:pt>
                <c:pt idx="44">
                  <c:v>7</c:v>
                </c:pt>
                <c:pt idx="45">
                  <c:v>7</c:v>
                </c:pt>
                <c:pt idx="46">
                  <c:v>12</c:v>
                </c:pt>
                <c:pt idx="47">
                  <c:v>11</c:v>
                </c:pt>
                <c:pt idx="48">
                  <c:v>9</c:v>
                </c:pt>
                <c:pt idx="49">
                  <c:v>10</c:v>
                </c:pt>
                <c:pt idx="50">
                  <c:v>5</c:v>
                </c:pt>
                <c:pt idx="51">
                  <c:v>10</c:v>
                </c:pt>
                <c:pt idx="52">
                  <c:v>2</c:v>
                </c:pt>
                <c:pt idx="53">
                  <c:v>6</c:v>
                </c:pt>
                <c:pt idx="54">
                  <c:v>15</c:v>
                </c:pt>
                <c:pt idx="55">
                  <c:v>8</c:v>
                </c:pt>
                <c:pt idx="56">
                  <c:v>13</c:v>
                </c:pt>
                <c:pt idx="57">
                  <c:v>6</c:v>
                </c:pt>
                <c:pt idx="58">
                  <c:v>6</c:v>
                </c:pt>
                <c:pt idx="59">
                  <c:v>5</c:v>
                </c:pt>
                <c:pt idx="60">
                  <c:v>2</c:v>
                </c:pt>
                <c:pt idx="61">
                  <c:v>6</c:v>
                </c:pt>
                <c:pt idx="62">
                  <c:v>6</c:v>
                </c:pt>
                <c:pt idx="63">
                  <c:v>4</c:v>
                </c:pt>
                <c:pt idx="64">
                  <c:v>11</c:v>
                </c:pt>
                <c:pt idx="65">
                  <c:v>7</c:v>
                </c:pt>
                <c:pt idx="66">
                  <c:v>7</c:v>
                </c:pt>
                <c:pt idx="67">
                  <c:v>7</c:v>
                </c:pt>
                <c:pt idx="68">
                  <c:v>4</c:v>
                </c:pt>
                <c:pt idx="69">
                  <c:v>5</c:v>
                </c:pt>
                <c:pt idx="70">
                  <c:v>8</c:v>
                </c:pt>
                <c:pt idx="71">
                  <c:v>7</c:v>
                </c:pt>
                <c:pt idx="72">
                  <c:v>9</c:v>
                </c:pt>
                <c:pt idx="73">
                  <c:v>7</c:v>
                </c:pt>
                <c:pt idx="74">
                  <c:v>9</c:v>
                </c:pt>
                <c:pt idx="75">
                  <c:v>4</c:v>
                </c:pt>
                <c:pt idx="76">
                  <c:v>10</c:v>
                </c:pt>
                <c:pt idx="77">
                  <c:v>4</c:v>
                </c:pt>
                <c:pt idx="78">
                  <c:v>5</c:v>
                </c:pt>
                <c:pt idx="79">
                  <c:v>5</c:v>
                </c:pt>
                <c:pt idx="80">
                  <c:v>9</c:v>
                </c:pt>
                <c:pt idx="81">
                  <c:v>10</c:v>
                </c:pt>
                <c:pt idx="82">
                  <c:v>10</c:v>
                </c:pt>
                <c:pt idx="83">
                  <c:v>8</c:v>
                </c:pt>
              </c:numCache>
            </c:numRef>
          </c:val>
          <c:extLst>
            <c:ext xmlns:c16="http://schemas.microsoft.com/office/drawing/2014/chart" uri="{C3380CC4-5D6E-409C-BE32-E72D297353CC}">
              <c16:uniqueId val="{00000000-FF83-441C-A59C-81EBC7FC8390}"/>
            </c:ext>
          </c:extLst>
        </c:ser>
        <c:ser>
          <c:idx val="1"/>
          <c:order val="1"/>
          <c:tx>
            <c:strRef>
              <c:f>SERVICE_LEVEL_PROXY!$C$3</c:f>
              <c:strCache>
                <c:ptCount val="1"/>
                <c:pt idx="0">
                  <c:v>Count of OrderID</c:v>
                </c:pt>
              </c:strCache>
            </c:strRef>
          </c:tx>
          <c:spPr>
            <a:solidFill>
              <a:schemeClr val="accent2"/>
            </a:solidFill>
            <a:ln>
              <a:noFill/>
            </a:ln>
            <a:effectLst/>
          </c:spPr>
          <c:invertIfNegative val="0"/>
          <c:cat>
            <c:multiLvlStrRef>
              <c:f>SERVICE_LEVEL_PROXY!$A$4:$A$102</c:f>
              <c:multiLvlStrCache>
                <c:ptCount val="85"/>
                <c:lvl>
                  <c:pt idx="0">
                    <c:v>Accessories</c:v>
                  </c:pt>
                  <c:pt idx="1">
                    <c:v>Components</c:v>
                  </c:pt>
                  <c:pt idx="2">
                    <c:v>Laptops</c:v>
                  </c:pt>
                  <c:pt idx="3">
                    <c:v>Monitors</c:v>
                  </c:pt>
                  <c:pt idx="4">
                    <c:v>Networking</c:v>
                  </c:pt>
                  <c:pt idx="5">
                    <c:v>Phones</c:v>
                  </c:pt>
                  <c:pt idx="6">
                    <c:v>Printers</c:v>
                  </c:pt>
                  <c:pt idx="7">
                    <c:v>Accessories</c:v>
                  </c:pt>
                  <c:pt idx="8">
                    <c:v>Components</c:v>
                  </c:pt>
                  <c:pt idx="9">
                    <c:v>Laptops</c:v>
                  </c:pt>
                  <c:pt idx="10">
                    <c:v>Monitors</c:v>
                  </c:pt>
                  <c:pt idx="11">
                    <c:v>Networking</c:v>
                  </c:pt>
                  <c:pt idx="12">
                    <c:v>Phones</c:v>
                  </c:pt>
                  <c:pt idx="13">
                    <c:v>Printers</c:v>
                  </c:pt>
                  <c:pt idx="14">
                    <c:v>Accessories</c:v>
                  </c:pt>
                  <c:pt idx="15">
                    <c:v>Components</c:v>
                  </c:pt>
                  <c:pt idx="16">
                    <c:v>Laptops</c:v>
                  </c:pt>
                  <c:pt idx="17">
                    <c:v>Monitors</c:v>
                  </c:pt>
                  <c:pt idx="18">
                    <c:v>Networking</c:v>
                  </c:pt>
                  <c:pt idx="19">
                    <c:v>Phones</c:v>
                  </c:pt>
                  <c:pt idx="20">
                    <c:v>Printers</c:v>
                  </c:pt>
                  <c:pt idx="21">
                    <c:v>Accessories</c:v>
                  </c:pt>
                  <c:pt idx="22">
                    <c:v>Components</c:v>
                  </c:pt>
                  <c:pt idx="23">
                    <c:v>Laptops</c:v>
                  </c:pt>
                  <c:pt idx="24">
                    <c:v>Monitors</c:v>
                  </c:pt>
                  <c:pt idx="25">
                    <c:v>Networking</c:v>
                  </c:pt>
                  <c:pt idx="26">
                    <c:v>Phones</c:v>
                  </c:pt>
                  <c:pt idx="27">
                    <c:v>Printers</c:v>
                  </c:pt>
                  <c:pt idx="28">
                    <c:v>Accessories</c:v>
                  </c:pt>
                  <c:pt idx="29">
                    <c:v>Components</c:v>
                  </c:pt>
                  <c:pt idx="30">
                    <c:v>Laptops</c:v>
                  </c:pt>
                  <c:pt idx="31">
                    <c:v>Monitors</c:v>
                  </c:pt>
                  <c:pt idx="32">
                    <c:v>Networking</c:v>
                  </c:pt>
                  <c:pt idx="33">
                    <c:v>Phones</c:v>
                  </c:pt>
                  <c:pt idx="34">
                    <c:v>Printers</c:v>
                  </c:pt>
                  <c:pt idx="35">
                    <c:v>Accessories</c:v>
                  </c:pt>
                  <c:pt idx="36">
                    <c:v>Components</c:v>
                  </c:pt>
                  <c:pt idx="37">
                    <c:v>Laptops</c:v>
                  </c:pt>
                  <c:pt idx="38">
                    <c:v>Monitors</c:v>
                  </c:pt>
                  <c:pt idx="39">
                    <c:v>Networking</c:v>
                  </c:pt>
                  <c:pt idx="40">
                    <c:v>Phones</c:v>
                  </c:pt>
                  <c:pt idx="41">
                    <c:v>Printers</c:v>
                  </c:pt>
                  <c:pt idx="42">
                    <c:v>Accessories</c:v>
                  </c:pt>
                  <c:pt idx="43">
                    <c:v>Components</c:v>
                  </c:pt>
                  <c:pt idx="44">
                    <c:v>Laptops</c:v>
                  </c:pt>
                  <c:pt idx="45">
                    <c:v>Monitors</c:v>
                  </c:pt>
                  <c:pt idx="46">
                    <c:v>Networking</c:v>
                  </c:pt>
                  <c:pt idx="47">
                    <c:v>Phones</c:v>
                  </c:pt>
                  <c:pt idx="48">
                    <c:v>Printers</c:v>
                  </c:pt>
                  <c:pt idx="49">
                    <c:v>Accessories</c:v>
                  </c:pt>
                  <c:pt idx="50">
                    <c:v>Components</c:v>
                  </c:pt>
                  <c:pt idx="51">
                    <c:v>Laptops</c:v>
                  </c:pt>
                  <c:pt idx="52">
                    <c:v>Monitors</c:v>
                  </c:pt>
                  <c:pt idx="53">
                    <c:v>Networking</c:v>
                  </c:pt>
                  <c:pt idx="54">
                    <c:v>Phones</c:v>
                  </c:pt>
                  <c:pt idx="55">
                    <c:v>Printers</c:v>
                  </c:pt>
                  <c:pt idx="56">
                    <c:v>Accessories</c:v>
                  </c:pt>
                  <c:pt idx="57">
                    <c:v>Components</c:v>
                  </c:pt>
                  <c:pt idx="58">
                    <c:v>Laptops</c:v>
                  </c:pt>
                  <c:pt idx="59">
                    <c:v>Monitors</c:v>
                  </c:pt>
                  <c:pt idx="60">
                    <c:v>Networking</c:v>
                  </c:pt>
                  <c:pt idx="61">
                    <c:v>Phones</c:v>
                  </c:pt>
                  <c:pt idx="62">
                    <c:v>Printers</c:v>
                  </c:pt>
                  <c:pt idx="63">
                    <c:v>Accessories</c:v>
                  </c:pt>
                  <c:pt idx="64">
                    <c:v>Components</c:v>
                  </c:pt>
                  <c:pt idx="65">
                    <c:v>Laptops</c:v>
                  </c:pt>
                  <c:pt idx="66">
                    <c:v>Monitors</c:v>
                  </c:pt>
                  <c:pt idx="67">
                    <c:v>Networking</c:v>
                  </c:pt>
                  <c:pt idx="68">
                    <c:v>Phones</c:v>
                  </c:pt>
                  <c:pt idx="69">
                    <c:v>Printers</c:v>
                  </c:pt>
                  <c:pt idx="70">
                    <c:v>Accessories</c:v>
                  </c:pt>
                  <c:pt idx="71">
                    <c:v>Components</c:v>
                  </c:pt>
                  <c:pt idx="72">
                    <c:v>Laptops</c:v>
                  </c:pt>
                  <c:pt idx="73">
                    <c:v>Monitors</c:v>
                  </c:pt>
                  <c:pt idx="74">
                    <c:v>Networking</c:v>
                  </c:pt>
                  <c:pt idx="75">
                    <c:v>Phones</c:v>
                  </c:pt>
                  <c:pt idx="76">
                    <c:v>Printers</c:v>
                  </c:pt>
                  <c:pt idx="77">
                    <c:v>Accessories</c:v>
                  </c:pt>
                  <c:pt idx="78">
                    <c:v>Components</c:v>
                  </c:pt>
                  <c:pt idx="79">
                    <c:v>Laptops</c:v>
                  </c:pt>
                  <c:pt idx="80">
                    <c:v>Monitors</c:v>
                  </c:pt>
                  <c:pt idx="81">
                    <c:v>Networking</c:v>
                  </c:pt>
                  <c:pt idx="82">
                    <c:v>Phones</c:v>
                  </c:pt>
                  <c:pt idx="83">
                    <c:v>Printers</c:v>
                  </c:pt>
                  <c:pt idx="84">
                    <c:v>(blank)</c:v>
                  </c:pt>
                </c:lvl>
                <c:lvl>
                  <c:pt idx="0">
                    <c:v>Brazil</c:v>
                  </c:pt>
                  <c:pt idx="7">
                    <c:v>Canada</c:v>
                  </c:pt>
                  <c:pt idx="14">
                    <c:v>China</c:v>
                  </c:pt>
                  <c:pt idx="21">
                    <c:v>France</c:v>
                  </c:pt>
                  <c:pt idx="28">
                    <c:v>Germany</c:v>
                  </c:pt>
                  <c:pt idx="35">
                    <c:v>India</c:v>
                  </c:pt>
                  <c:pt idx="42">
                    <c:v>Japan</c:v>
                  </c:pt>
                  <c:pt idx="49">
                    <c:v>Kenya</c:v>
                  </c:pt>
                  <c:pt idx="56">
                    <c:v>Nigeria</c:v>
                  </c:pt>
                  <c:pt idx="63">
                    <c:v>South Africa</c:v>
                  </c:pt>
                  <c:pt idx="70">
                    <c:v>United Kingdom</c:v>
                  </c:pt>
                  <c:pt idx="77">
                    <c:v>USA</c:v>
                  </c:pt>
                  <c:pt idx="84">
                    <c:v>(blank)</c:v>
                  </c:pt>
                </c:lvl>
              </c:multiLvlStrCache>
            </c:multiLvlStrRef>
          </c:cat>
          <c:val>
            <c:numRef>
              <c:f>SERVICE_LEVEL_PROXY!$C$4:$C$102</c:f>
              <c:numCache>
                <c:formatCode>General</c:formatCode>
                <c:ptCount val="85"/>
                <c:pt idx="0">
                  <c:v>10</c:v>
                </c:pt>
                <c:pt idx="1">
                  <c:v>7</c:v>
                </c:pt>
                <c:pt idx="2">
                  <c:v>5</c:v>
                </c:pt>
                <c:pt idx="3">
                  <c:v>12</c:v>
                </c:pt>
                <c:pt idx="4">
                  <c:v>12</c:v>
                </c:pt>
                <c:pt idx="5">
                  <c:v>9</c:v>
                </c:pt>
                <c:pt idx="6">
                  <c:v>7</c:v>
                </c:pt>
                <c:pt idx="7">
                  <c:v>6</c:v>
                </c:pt>
                <c:pt idx="8">
                  <c:v>6</c:v>
                </c:pt>
                <c:pt idx="9">
                  <c:v>6</c:v>
                </c:pt>
                <c:pt idx="10">
                  <c:v>7</c:v>
                </c:pt>
                <c:pt idx="11">
                  <c:v>3</c:v>
                </c:pt>
                <c:pt idx="12">
                  <c:v>3</c:v>
                </c:pt>
                <c:pt idx="13">
                  <c:v>13</c:v>
                </c:pt>
                <c:pt idx="14">
                  <c:v>4</c:v>
                </c:pt>
                <c:pt idx="15">
                  <c:v>10</c:v>
                </c:pt>
                <c:pt idx="16">
                  <c:v>5</c:v>
                </c:pt>
                <c:pt idx="17">
                  <c:v>6</c:v>
                </c:pt>
                <c:pt idx="18">
                  <c:v>8</c:v>
                </c:pt>
                <c:pt idx="19">
                  <c:v>7</c:v>
                </c:pt>
                <c:pt idx="20">
                  <c:v>11</c:v>
                </c:pt>
                <c:pt idx="21">
                  <c:v>7</c:v>
                </c:pt>
                <c:pt idx="22">
                  <c:v>10</c:v>
                </c:pt>
                <c:pt idx="23">
                  <c:v>6</c:v>
                </c:pt>
                <c:pt idx="24">
                  <c:v>10</c:v>
                </c:pt>
                <c:pt idx="25">
                  <c:v>6</c:v>
                </c:pt>
                <c:pt idx="26">
                  <c:v>3</c:v>
                </c:pt>
                <c:pt idx="27">
                  <c:v>12</c:v>
                </c:pt>
                <c:pt idx="28">
                  <c:v>9</c:v>
                </c:pt>
                <c:pt idx="29">
                  <c:v>6</c:v>
                </c:pt>
                <c:pt idx="30">
                  <c:v>7</c:v>
                </c:pt>
                <c:pt idx="31">
                  <c:v>10</c:v>
                </c:pt>
                <c:pt idx="32">
                  <c:v>4</c:v>
                </c:pt>
                <c:pt idx="33">
                  <c:v>7</c:v>
                </c:pt>
                <c:pt idx="34">
                  <c:v>8</c:v>
                </c:pt>
                <c:pt idx="35">
                  <c:v>8</c:v>
                </c:pt>
                <c:pt idx="36">
                  <c:v>10</c:v>
                </c:pt>
                <c:pt idx="37">
                  <c:v>9</c:v>
                </c:pt>
                <c:pt idx="38">
                  <c:v>12</c:v>
                </c:pt>
                <c:pt idx="39">
                  <c:v>7</c:v>
                </c:pt>
                <c:pt idx="40">
                  <c:v>9</c:v>
                </c:pt>
                <c:pt idx="41">
                  <c:v>6</c:v>
                </c:pt>
                <c:pt idx="42">
                  <c:v>5</c:v>
                </c:pt>
                <c:pt idx="43">
                  <c:v>8</c:v>
                </c:pt>
                <c:pt idx="44">
                  <c:v>7</c:v>
                </c:pt>
                <c:pt idx="45">
                  <c:v>7</c:v>
                </c:pt>
                <c:pt idx="46">
                  <c:v>12</c:v>
                </c:pt>
                <c:pt idx="47">
                  <c:v>11</c:v>
                </c:pt>
                <c:pt idx="48">
                  <c:v>9</c:v>
                </c:pt>
                <c:pt idx="49">
                  <c:v>10</c:v>
                </c:pt>
                <c:pt idx="50">
                  <c:v>5</c:v>
                </c:pt>
                <c:pt idx="51">
                  <c:v>10</c:v>
                </c:pt>
                <c:pt idx="52">
                  <c:v>2</c:v>
                </c:pt>
                <c:pt idx="53">
                  <c:v>6</c:v>
                </c:pt>
                <c:pt idx="54">
                  <c:v>15</c:v>
                </c:pt>
                <c:pt idx="55">
                  <c:v>8</c:v>
                </c:pt>
                <c:pt idx="56">
                  <c:v>13</c:v>
                </c:pt>
                <c:pt idx="57">
                  <c:v>6</c:v>
                </c:pt>
                <c:pt idx="58">
                  <c:v>6</c:v>
                </c:pt>
                <c:pt idx="59">
                  <c:v>5</c:v>
                </c:pt>
                <c:pt idx="60">
                  <c:v>2</c:v>
                </c:pt>
                <c:pt idx="61">
                  <c:v>6</c:v>
                </c:pt>
                <c:pt idx="62">
                  <c:v>6</c:v>
                </c:pt>
                <c:pt idx="63">
                  <c:v>4</c:v>
                </c:pt>
                <c:pt idx="64">
                  <c:v>11</c:v>
                </c:pt>
                <c:pt idx="65">
                  <c:v>7</c:v>
                </c:pt>
                <c:pt idx="66">
                  <c:v>7</c:v>
                </c:pt>
                <c:pt idx="67">
                  <c:v>7</c:v>
                </c:pt>
                <c:pt idx="68">
                  <c:v>4</c:v>
                </c:pt>
                <c:pt idx="69">
                  <c:v>5</c:v>
                </c:pt>
                <c:pt idx="70">
                  <c:v>8</c:v>
                </c:pt>
                <c:pt idx="71">
                  <c:v>7</c:v>
                </c:pt>
                <c:pt idx="72">
                  <c:v>9</c:v>
                </c:pt>
                <c:pt idx="73">
                  <c:v>7</c:v>
                </c:pt>
                <c:pt idx="74">
                  <c:v>9</c:v>
                </c:pt>
                <c:pt idx="75">
                  <c:v>4</c:v>
                </c:pt>
                <c:pt idx="76">
                  <c:v>10</c:v>
                </c:pt>
                <c:pt idx="77">
                  <c:v>4</c:v>
                </c:pt>
                <c:pt idx="78">
                  <c:v>5</c:v>
                </c:pt>
                <c:pt idx="79">
                  <c:v>5</c:v>
                </c:pt>
                <c:pt idx="80">
                  <c:v>9</c:v>
                </c:pt>
                <c:pt idx="81">
                  <c:v>10</c:v>
                </c:pt>
                <c:pt idx="82">
                  <c:v>10</c:v>
                </c:pt>
                <c:pt idx="83">
                  <c:v>8</c:v>
                </c:pt>
              </c:numCache>
            </c:numRef>
          </c:val>
          <c:extLst>
            <c:ext xmlns:c16="http://schemas.microsoft.com/office/drawing/2014/chart" uri="{C3380CC4-5D6E-409C-BE32-E72D297353CC}">
              <c16:uniqueId val="{00000001-FF83-441C-A59C-81EBC7FC8390}"/>
            </c:ext>
          </c:extLst>
        </c:ser>
        <c:dLbls>
          <c:showLegendKey val="0"/>
          <c:showVal val="0"/>
          <c:showCatName val="0"/>
          <c:showSerName val="0"/>
          <c:showPercent val="0"/>
          <c:showBubbleSize val="0"/>
        </c:dLbls>
        <c:gapWidth val="219"/>
        <c:overlap val="-27"/>
        <c:axId val="1150270032"/>
        <c:axId val="1150265680"/>
      </c:barChart>
      <c:catAx>
        <c:axId val="115027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0265680"/>
        <c:crosses val="autoZero"/>
        <c:auto val="1"/>
        <c:lblAlgn val="ctr"/>
        <c:lblOffset val="100"/>
        <c:noMultiLvlLbl val="0"/>
      </c:catAx>
      <c:valAx>
        <c:axId val="1150265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027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Brief1.xlsx]ORDERS PER MONTH!PivotTable49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 PER MONTH'!$B$3</c:f>
              <c:strCache>
                <c:ptCount val="1"/>
                <c:pt idx="0">
                  <c:v>Total</c:v>
                </c:pt>
              </c:strCache>
            </c:strRef>
          </c:tx>
          <c:spPr>
            <a:solidFill>
              <a:schemeClr val="accent1"/>
            </a:solidFill>
            <a:ln>
              <a:noFill/>
            </a:ln>
            <a:effectLst/>
          </c:spPr>
          <c:invertIfNegative val="0"/>
          <c:cat>
            <c:strRef>
              <c:f>'ORDERS PER MONTH'!$A$4:$A$38</c:f>
              <c:strCache>
                <c:ptCount val="34"/>
                <c:pt idx="0">
                  <c:v>Apr-2023</c:v>
                </c:pt>
                <c:pt idx="1">
                  <c:v>Apr-2024</c:v>
                </c:pt>
                <c:pt idx="2">
                  <c:v>Apr-2025</c:v>
                </c:pt>
                <c:pt idx="3">
                  <c:v>Aug-2023</c:v>
                </c:pt>
                <c:pt idx="4">
                  <c:v>Aug-2024</c:v>
                </c:pt>
                <c:pt idx="5">
                  <c:v>Aug-2025</c:v>
                </c:pt>
                <c:pt idx="6">
                  <c:v>Dec-2023</c:v>
                </c:pt>
                <c:pt idx="7">
                  <c:v>Dec-2024</c:v>
                </c:pt>
                <c:pt idx="8">
                  <c:v>Feb-2023</c:v>
                </c:pt>
                <c:pt idx="9">
                  <c:v>Feb-2024</c:v>
                </c:pt>
                <c:pt idx="10">
                  <c:v>Feb-2025</c:v>
                </c:pt>
                <c:pt idx="11">
                  <c:v>Jan-2023</c:v>
                </c:pt>
                <c:pt idx="12">
                  <c:v>Jan-2024</c:v>
                </c:pt>
                <c:pt idx="13">
                  <c:v>Jan-2025</c:v>
                </c:pt>
                <c:pt idx="14">
                  <c:v>Jul-2023</c:v>
                </c:pt>
                <c:pt idx="15">
                  <c:v>Jul-2024</c:v>
                </c:pt>
                <c:pt idx="16">
                  <c:v>Jul-2025</c:v>
                </c:pt>
                <c:pt idx="17">
                  <c:v>Jun-2023</c:v>
                </c:pt>
                <c:pt idx="18">
                  <c:v>Jun-2024</c:v>
                </c:pt>
                <c:pt idx="19">
                  <c:v>Jun-2025</c:v>
                </c:pt>
                <c:pt idx="20">
                  <c:v>Mar-2023</c:v>
                </c:pt>
                <c:pt idx="21">
                  <c:v>Mar-2024</c:v>
                </c:pt>
                <c:pt idx="22">
                  <c:v>Mar-2025</c:v>
                </c:pt>
                <c:pt idx="23">
                  <c:v>May-2023</c:v>
                </c:pt>
                <c:pt idx="24">
                  <c:v>May-2024</c:v>
                </c:pt>
                <c:pt idx="25">
                  <c:v>May-2025</c:v>
                </c:pt>
                <c:pt idx="26">
                  <c:v>Nov-2023</c:v>
                </c:pt>
                <c:pt idx="27">
                  <c:v>Nov-2024</c:v>
                </c:pt>
                <c:pt idx="28">
                  <c:v>Oct-2023</c:v>
                </c:pt>
                <c:pt idx="29">
                  <c:v>Oct-2024</c:v>
                </c:pt>
                <c:pt idx="30">
                  <c:v>Sep-2023</c:v>
                </c:pt>
                <c:pt idx="31">
                  <c:v>Sep-2024</c:v>
                </c:pt>
                <c:pt idx="32">
                  <c:v>Sep-2025</c:v>
                </c:pt>
                <c:pt idx="33">
                  <c:v>(blank)</c:v>
                </c:pt>
              </c:strCache>
            </c:strRef>
          </c:cat>
          <c:val>
            <c:numRef>
              <c:f>'ORDERS PER MONTH'!$B$4:$B$38</c:f>
              <c:numCache>
                <c:formatCode>General</c:formatCode>
                <c:ptCount val="34"/>
                <c:pt idx="0">
                  <c:v>24</c:v>
                </c:pt>
                <c:pt idx="1">
                  <c:v>14</c:v>
                </c:pt>
                <c:pt idx="2">
                  <c:v>25</c:v>
                </c:pt>
                <c:pt idx="3">
                  <c:v>24</c:v>
                </c:pt>
                <c:pt idx="4">
                  <c:v>20</c:v>
                </c:pt>
                <c:pt idx="5">
                  <c:v>21</c:v>
                </c:pt>
                <c:pt idx="6">
                  <c:v>21</c:v>
                </c:pt>
                <c:pt idx="7">
                  <c:v>21</c:v>
                </c:pt>
                <c:pt idx="8">
                  <c:v>17</c:v>
                </c:pt>
                <c:pt idx="9">
                  <c:v>18</c:v>
                </c:pt>
                <c:pt idx="10">
                  <c:v>16</c:v>
                </c:pt>
                <c:pt idx="11">
                  <c:v>15</c:v>
                </c:pt>
                <c:pt idx="12">
                  <c:v>23</c:v>
                </c:pt>
                <c:pt idx="13">
                  <c:v>16</c:v>
                </c:pt>
                <c:pt idx="14">
                  <c:v>23</c:v>
                </c:pt>
                <c:pt idx="15">
                  <c:v>14</c:v>
                </c:pt>
                <c:pt idx="16">
                  <c:v>16</c:v>
                </c:pt>
                <c:pt idx="17">
                  <c:v>21</c:v>
                </c:pt>
                <c:pt idx="18">
                  <c:v>23</c:v>
                </c:pt>
                <c:pt idx="19">
                  <c:v>24</c:v>
                </c:pt>
                <c:pt idx="20">
                  <c:v>15</c:v>
                </c:pt>
                <c:pt idx="21">
                  <c:v>23</c:v>
                </c:pt>
                <c:pt idx="22">
                  <c:v>20</c:v>
                </c:pt>
                <c:pt idx="23">
                  <c:v>26</c:v>
                </c:pt>
                <c:pt idx="24">
                  <c:v>23</c:v>
                </c:pt>
                <c:pt idx="25">
                  <c:v>18</c:v>
                </c:pt>
                <c:pt idx="26">
                  <c:v>10</c:v>
                </c:pt>
                <c:pt idx="27">
                  <c:v>20</c:v>
                </c:pt>
                <c:pt idx="28">
                  <c:v>18</c:v>
                </c:pt>
                <c:pt idx="29">
                  <c:v>21</c:v>
                </c:pt>
                <c:pt idx="30">
                  <c:v>12</c:v>
                </c:pt>
                <c:pt idx="31">
                  <c:v>18</c:v>
                </c:pt>
                <c:pt idx="32">
                  <c:v>12</c:v>
                </c:pt>
              </c:numCache>
            </c:numRef>
          </c:val>
          <c:extLst>
            <c:ext xmlns:c16="http://schemas.microsoft.com/office/drawing/2014/chart" uri="{C3380CC4-5D6E-409C-BE32-E72D297353CC}">
              <c16:uniqueId val="{00000000-098F-4E61-8E77-4AA44C818A06}"/>
            </c:ext>
          </c:extLst>
        </c:ser>
        <c:dLbls>
          <c:showLegendKey val="0"/>
          <c:showVal val="0"/>
          <c:showCatName val="0"/>
          <c:showSerName val="0"/>
          <c:showPercent val="0"/>
          <c:showBubbleSize val="0"/>
        </c:dLbls>
        <c:gapWidth val="219"/>
        <c:overlap val="-27"/>
        <c:axId val="1150276560"/>
        <c:axId val="1150278736"/>
      </c:barChart>
      <c:catAx>
        <c:axId val="115027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0278736"/>
        <c:crosses val="autoZero"/>
        <c:auto val="1"/>
        <c:lblAlgn val="ctr"/>
        <c:lblOffset val="100"/>
        <c:noMultiLvlLbl val="0"/>
      </c:catAx>
      <c:valAx>
        <c:axId val="1150278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027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Brief1.xlsx]Sheet2!PivotTable1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Sep-2024</c:v>
                </c:pt>
              </c:strCache>
            </c:strRef>
          </c:cat>
          <c:val>
            <c:numRef>
              <c:f>Sheet2!$B$4:$B$5</c:f>
              <c:numCache>
                <c:formatCode>General</c:formatCode>
                <c:ptCount val="1"/>
                <c:pt idx="0">
                  <c:v>347613.18767000007</c:v>
                </c:pt>
              </c:numCache>
            </c:numRef>
          </c:val>
          <c:extLst>
            <c:ext xmlns:c16="http://schemas.microsoft.com/office/drawing/2014/chart" uri="{C3380CC4-5D6E-409C-BE32-E72D297353CC}">
              <c16:uniqueId val="{00000000-A891-4CFF-86F2-C97CF7725365}"/>
            </c:ext>
          </c:extLst>
        </c:ser>
        <c:dLbls>
          <c:showLegendKey val="0"/>
          <c:showVal val="0"/>
          <c:showCatName val="0"/>
          <c:showSerName val="0"/>
          <c:showPercent val="0"/>
          <c:showBubbleSize val="0"/>
        </c:dLbls>
        <c:gapWidth val="219"/>
        <c:overlap val="-27"/>
        <c:axId val="1150267312"/>
        <c:axId val="1150277648"/>
      </c:barChart>
      <c:catAx>
        <c:axId val="115026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0277648"/>
        <c:crosses val="autoZero"/>
        <c:auto val="1"/>
        <c:lblAlgn val="ctr"/>
        <c:lblOffset val="100"/>
        <c:noMultiLvlLbl val="0"/>
      </c:catAx>
      <c:valAx>
        <c:axId val="115027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026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Brief1.xlsx]Sheet3!PivotTable2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Trend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Sheet3!$A$4:$A$5</c:f>
              <c:strCache>
                <c:ptCount val="1"/>
                <c:pt idx="0">
                  <c:v>Sep-2024</c:v>
                </c:pt>
              </c:strCache>
            </c:strRef>
          </c:cat>
          <c:val>
            <c:numRef>
              <c:f>Sheet3!$B$4:$B$5</c:f>
              <c:numCache>
                <c:formatCode>General</c:formatCode>
                <c:ptCount val="1"/>
                <c:pt idx="0">
                  <c:v>347613.18767000007</c:v>
                </c:pt>
              </c:numCache>
            </c:numRef>
          </c:val>
          <c:smooth val="0"/>
          <c:extLst>
            <c:ext xmlns:c16="http://schemas.microsoft.com/office/drawing/2014/chart" uri="{C3380CC4-5D6E-409C-BE32-E72D297353CC}">
              <c16:uniqueId val="{00000000-D28D-4789-89F2-23EC72696AF0}"/>
            </c:ext>
          </c:extLst>
        </c:ser>
        <c:dLbls>
          <c:showLegendKey val="0"/>
          <c:showVal val="0"/>
          <c:showCatName val="0"/>
          <c:showSerName val="0"/>
          <c:showPercent val="0"/>
          <c:showBubbleSize val="0"/>
        </c:dLbls>
        <c:smooth val="0"/>
        <c:axId val="1150270576"/>
        <c:axId val="1150271120"/>
      </c:lineChart>
      <c:catAx>
        <c:axId val="115027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0271120"/>
        <c:crosses val="autoZero"/>
        <c:auto val="1"/>
        <c:lblAlgn val="ctr"/>
        <c:lblOffset val="100"/>
        <c:noMultiLvlLbl val="0"/>
      </c:catAx>
      <c:valAx>
        <c:axId val="115027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027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Brief1.xlsx]Sheet4!PivotTable3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 Profit by Region and</a:t>
            </a:r>
            <a:r>
              <a:rPr lang="en-US" baseline="0"/>
              <a:t>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s>
    <c:plotArea>
      <c:layout/>
      <c:barChart>
        <c:barDir val="col"/>
        <c:grouping val="stacked"/>
        <c:varyColors val="0"/>
        <c:ser>
          <c:idx val="0"/>
          <c:order val="0"/>
          <c:tx>
            <c:strRef>
              <c:f>Sheet4!$B$3:$B$4</c:f>
              <c:strCache>
                <c:ptCount val="1"/>
                <c:pt idx="0">
                  <c:v>Direct</c:v>
                </c:pt>
              </c:strCache>
            </c:strRef>
          </c:tx>
          <c:spPr>
            <a:solidFill>
              <a:schemeClr val="accent1"/>
            </a:solidFill>
            <a:ln>
              <a:noFill/>
            </a:ln>
            <a:effectLst/>
          </c:spPr>
          <c:invertIfNegative val="0"/>
          <c:cat>
            <c:strRef>
              <c:f>Sheet4!$A$5:$A$9</c:f>
              <c:strCache>
                <c:ptCount val="4"/>
                <c:pt idx="0">
                  <c:v>Africa</c:v>
                </c:pt>
                <c:pt idx="1">
                  <c:v>Americas</c:v>
                </c:pt>
                <c:pt idx="2">
                  <c:v>Asia</c:v>
                </c:pt>
                <c:pt idx="3">
                  <c:v>Europe</c:v>
                </c:pt>
              </c:strCache>
            </c:strRef>
          </c:cat>
          <c:val>
            <c:numRef>
              <c:f>Sheet4!$B$5:$B$9</c:f>
              <c:numCache>
                <c:formatCode>General</c:formatCode>
                <c:ptCount val="4"/>
                <c:pt idx="0">
                  <c:v>903.68360000000007</c:v>
                </c:pt>
                <c:pt idx="1">
                  <c:v>20607.028059999997</c:v>
                </c:pt>
                <c:pt idx="2">
                  <c:v>11819.496389999997</c:v>
                </c:pt>
              </c:numCache>
            </c:numRef>
          </c:val>
          <c:extLst>
            <c:ext xmlns:c16="http://schemas.microsoft.com/office/drawing/2014/chart" uri="{C3380CC4-5D6E-409C-BE32-E72D297353CC}">
              <c16:uniqueId val="{00000000-42E6-4A2E-A7B0-2DDE0438B8FC}"/>
            </c:ext>
          </c:extLst>
        </c:ser>
        <c:ser>
          <c:idx val="1"/>
          <c:order val="1"/>
          <c:tx>
            <c:strRef>
              <c:f>Sheet4!$C$3:$C$4</c:f>
              <c:strCache>
                <c:ptCount val="1"/>
                <c:pt idx="0">
                  <c:v>Distributor</c:v>
                </c:pt>
              </c:strCache>
            </c:strRef>
          </c:tx>
          <c:spPr>
            <a:solidFill>
              <a:schemeClr val="accent2"/>
            </a:solidFill>
            <a:ln>
              <a:noFill/>
            </a:ln>
            <a:effectLst/>
          </c:spPr>
          <c:invertIfNegative val="0"/>
          <c:cat>
            <c:strRef>
              <c:f>Sheet4!$A$5:$A$9</c:f>
              <c:strCache>
                <c:ptCount val="4"/>
                <c:pt idx="0">
                  <c:v>Africa</c:v>
                </c:pt>
                <c:pt idx="1">
                  <c:v>Americas</c:v>
                </c:pt>
                <c:pt idx="2">
                  <c:v>Asia</c:v>
                </c:pt>
                <c:pt idx="3">
                  <c:v>Europe</c:v>
                </c:pt>
              </c:strCache>
            </c:strRef>
          </c:cat>
          <c:val>
            <c:numRef>
              <c:f>Sheet4!$C$5:$C$9</c:f>
              <c:numCache>
                <c:formatCode>General</c:formatCode>
                <c:ptCount val="4"/>
                <c:pt idx="2">
                  <c:v>14529.414360000001</c:v>
                </c:pt>
              </c:numCache>
            </c:numRef>
          </c:val>
          <c:extLst>
            <c:ext xmlns:c16="http://schemas.microsoft.com/office/drawing/2014/chart" uri="{C3380CC4-5D6E-409C-BE32-E72D297353CC}">
              <c16:uniqueId val="{00000001-42E6-4A2E-A7B0-2DDE0438B8FC}"/>
            </c:ext>
          </c:extLst>
        </c:ser>
        <c:ser>
          <c:idx val="2"/>
          <c:order val="2"/>
          <c:tx>
            <c:strRef>
              <c:f>Sheet4!$D$3:$D$4</c:f>
              <c:strCache>
                <c:ptCount val="1"/>
                <c:pt idx="0">
                  <c:v>Marketplace</c:v>
                </c:pt>
              </c:strCache>
            </c:strRef>
          </c:tx>
          <c:spPr>
            <a:solidFill>
              <a:schemeClr val="accent3"/>
            </a:solidFill>
            <a:ln>
              <a:noFill/>
            </a:ln>
            <a:effectLst/>
          </c:spPr>
          <c:invertIfNegative val="0"/>
          <c:cat>
            <c:strRef>
              <c:f>Sheet4!$A$5:$A$9</c:f>
              <c:strCache>
                <c:ptCount val="4"/>
                <c:pt idx="0">
                  <c:v>Africa</c:v>
                </c:pt>
                <c:pt idx="1">
                  <c:v>Americas</c:v>
                </c:pt>
                <c:pt idx="2">
                  <c:v>Asia</c:v>
                </c:pt>
                <c:pt idx="3">
                  <c:v>Europe</c:v>
                </c:pt>
              </c:strCache>
            </c:strRef>
          </c:cat>
          <c:val>
            <c:numRef>
              <c:f>Sheet4!$D$5:$D$9</c:f>
              <c:numCache>
                <c:formatCode>General</c:formatCode>
                <c:ptCount val="4"/>
                <c:pt idx="0">
                  <c:v>2404.4722199999997</c:v>
                </c:pt>
                <c:pt idx="3">
                  <c:v>-5343.5467799999969</c:v>
                </c:pt>
              </c:numCache>
            </c:numRef>
          </c:val>
          <c:extLst>
            <c:ext xmlns:c16="http://schemas.microsoft.com/office/drawing/2014/chart" uri="{C3380CC4-5D6E-409C-BE32-E72D297353CC}">
              <c16:uniqueId val="{00000002-42E6-4A2E-A7B0-2DDE0438B8FC}"/>
            </c:ext>
          </c:extLst>
        </c:ser>
        <c:ser>
          <c:idx val="3"/>
          <c:order val="3"/>
          <c:tx>
            <c:strRef>
              <c:f>Sheet4!$E$3:$E$4</c:f>
              <c:strCache>
                <c:ptCount val="1"/>
                <c:pt idx="0">
                  <c:v>Online</c:v>
                </c:pt>
              </c:strCache>
            </c:strRef>
          </c:tx>
          <c:spPr>
            <a:solidFill>
              <a:schemeClr val="accent4"/>
            </a:solidFill>
            <a:ln>
              <a:noFill/>
            </a:ln>
            <a:effectLst/>
          </c:spPr>
          <c:invertIfNegative val="0"/>
          <c:cat>
            <c:strRef>
              <c:f>Sheet4!$A$5:$A$9</c:f>
              <c:strCache>
                <c:ptCount val="4"/>
                <c:pt idx="0">
                  <c:v>Africa</c:v>
                </c:pt>
                <c:pt idx="1">
                  <c:v>Americas</c:v>
                </c:pt>
                <c:pt idx="2">
                  <c:v>Asia</c:v>
                </c:pt>
                <c:pt idx="3">
                  <c:v>Europe</c:v>
                </c:pt>
              </c:strCache>
            </c:strRef>
          </c:cat>
          <c:val>
            <c:numRef>
              <c:f>Sheet4!$E$5:$E$9</c:f>
              <c:numCache>
                <c:formatCode>General</c:formatCode>
                <c:ptCount val="4"/>
                <c:pt idx="1">
                  <c:v>34086.702599999997</c:v>
                </c:pt>
                <c:pt idx="2">
                  <c:v>5307.8548499999997</c:v>
                </c:pt>
              </c:numCache>
            </c:numRef>
          </c:val>
          <c:extLst>
            <c:ext xmlns:c16="http://schemas.microsoft.com/office/drawing/2014/chart" uri="{C3380CC4-5D6E-409C-BE32-E72D297353CC}">
              <c16:uniqueId val="{00000003-42E6-4A2E-A7B0-2DDE0438B8FC}"/>
            </c:ext>
          </c:extLst>
        </c:ser>
        <c:ser>
          <c:idx val="4"/>
          <c:order val="4"/>
          <c:tx>
            <c:strRef>
              <c:f>Sheet4!$F$3:$F$4</c:f>
              <c:strCache>
                <c:ptCount val="1"/>
                <c:pt idx="0">
                  <c:v>Retail</c:v>
                </c:pt>
              </c:strCache>
            </c:strRef>
          </c:tx>
          <c:spPr>
            <a:solidFill>
              <a:schemeClr val="accent5"/>
            </a:solidFill>
            <a:ln>
              <a:noFill/>
            </a:ln>
            <a:effectLst/>
          </c:spPr>
          <c:invertIfNegative val="0"/>
          <c:cat>
            <c:strRef>
              <c:f>Sheet4!$A$5:$A$9</c:f>
              <c:strCache>
                <c:ptCount val="4"/>
                <c:pt idx="0">
                  <c:v>Africa</c:v>
                </c:pt>
                <c:pt idx="1">
                  <c:v>Americas</c:v>
                </c:pt>
                <c:pt idx="2">
                  <c:v>Asia</c:v>
                </c:pt>
                <c:pt idx="3">
                  <c:v>Europe</c:v>
                </c:pt>
              </c:strCache>
            </c:strRef>
          </c:cat>
          <c:val>
            <c:numRef>
              <c:f>Sheet4!$F$5:$F$9</c:f>
              <c:numCache>
                <c:formatCode>General</c:formatCode>
                <c:ptCount val="4"/>
                <c:pt idx="0">
                  <c:v>6995.9311299999954</c:v>
                </c:pt>
                <c:pt idx="1">
                  <c:v>12346.561240000001</c:v>
                </c:pt>
              </c:numCache>
            </c:numRef>
          </c:val>
          <c:extLst>
            <c:ext xmlns:c16="http://schemas.microsoft.com/office/drawing/2014/chart" uri="{C3380CC4-5D6E-409C-BE32-E72D297353CC}">
              <c16:uniqueId val="{00000004-42E6-4A2E-A7B0-2DDE0438B8FC}"/>
            </c:ext>
          </c:extLst>
        </c:ser>
        <c:dLbls>
          <c:showLegendKey val="0"/>
          <c:showVal val="0"/>
          <c:showCatName val="0"/>
          <c:showSerName val="0"/>
          <c:showPercent val="0"/>
          <c:showBubbleSize val="0"/>
        </c:dLbls>
        <c:gapWidth val="219"/>
        <c:overlap val="100"/>
        <c:axId val="1150278192"/>
        <c:axId val="1150267856"/>
      </c:barChart>
      <c:catAx>
        <c:axId val="115027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0267856"/>
        <c:crosses val="autoZero"/>
        <c:auto val="1"/>
        <c:lblAlgn val="ctr"/>
        <c:lblOffset val="100"/>
        <c:noMultiLvlLbl val="0"/>
      </c:catAx>
      <c:valAx>
        <c:axId val="1150267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027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Brief1.xlsx]Sheet6!PivotTable4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SKUs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Sheet6!$A$4:$A$14</c:f>
              <c:strCache>
                <c:ptCount val="10"/>
                <c:pt idx="0">
                  <c:v>CMP-3093</c:v>
                </c:pt>
                <c:pt idx="1">
                  <c:v>LAP-4483</c:v>
                </c:pt>
                <c:pt idx="2">
                  <c:v>MON-6341</c:v>
                </c:pt>
                <c:pt idx="3">
                  <c:v>NET-1145</c:v>
                </c:pt>
                <c:pt idx="4">
                  <c:v>NET-9835</c:v>
                </c:pt>
                <c:pt idx="5">
                  <c:v>PHN-4568</c:v>
                </c:pt>
                <c:pt idx="6">
                  <c:v>PHN-8804</c:v>
                </c:pt>
                <c:pt idx="7">
                  <c:v>PRN-2749</c:v>
                </c:pt>
                <c:pt idx="8">
                  <c:v>PRN-6068</c:v>
                </c:pt>
                <c:pt idx="9">
                  <c:v>PRN-9557</c:v>
                </c:pt>
              </c:strCache>
            </c:strRef>
          </c:cat>
          <c:val>
            <c:numRef>
              <c:f>Sheet6!$B$4:$B$14</c:f>
              <c:numCache>
                <c:formatCode>General</c:formatCode>
                <c:ptCount val="10"/>
                <c:pt idx="0">
                  <c:v>26015.449459999996</c:v>
                </c:pt>
                <c:pt idx="1">
                  <c:v>40563.321749999996</c:v>
                </c:pt>
                <c:pt idx="2">
                  <c:v>31191.64716</c:v>
                </c:pt>
                <c:pt idx="3">
                  <c:v>25249.613219999999</c:v>
                </c:pt>
                <c:pt idx="4">
                  <c:v>20028.787380000002</c:v>
                </c:pt>
                <c:pt idx="5">
                  <c:v>42495.805439999996</c:v>
                </c:pt>
                <c:pt idx="6">
                  <c:v>37038.581760000001</c:v>
                </c:pt>
                <c:pt idx="7">
                  <c:v>28211.92124</c:v>
                </c:pt>
                <c:pt idx="8">
                  <c:v>15825.399369999997</c:v>
                </c:pt>
                <c:pt idx="9">
                  <c:v>21664.440000000002</c:v>
                </c:pt>
              </c:numCache>
            </c:numRef>
          </c:val>
          <c:extLst>
            <c:ext xmlns:c16="http://schemas.microsoft.com/office/drawing/2014/chart" uri="{C3380CC4-5D6E-409C-BE32-E72D297353CC}">
              <c16:uniqueId val="{00000000-7041-4705-B636-375100969CC0}"/>
            </c:ext>
          </c:extLst>
        </c:ser>
        <c:dLbls>
          <c:showLegendKey val="0"/>
          <c:showVal val="0"/>
          <c:showCatName val="0"/>
          <c:showSerName val="0"/>
          <c:showPercent val="0"/>
          <c:showBubbleSize val="0"/>
        </c:dLbls>
        <c:gapWidth val="219"/>
        <c:overlap val="-27"/>
        <c:axId val="1150269488"/>
        <c:axId val="1098577968"/>
      </c:barChart>
      <c:catAx>
        <c:axId val="115026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98577968"/>
        <c:crosses val="autoZero"/>
        <c:auto val="1"/>
        <c:lblAlgn val="ctr"/>
        <c:lblOffset val="100"/>
        <c:noMultiLvlLbl val="0"/>
      </c:catAx>
      <c:valAx>
        <c:axId val="109857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026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Brief1.xlsx]Sheet9!PivotTable7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Outlier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Sheet9!$B$1</c:f>
              <c:strCache>
                <c:ptCount val="1"/>
                <c:pt idx="0">
                  <c:v>Total</c:v>
                </c:pt>
              </c:strCache>
            </c:strRef>
          </c:tx>
          <c:spPr>
            <a:solidFill>
              <a:schemeClr val="accent1"/>
            </a:solidFill>
            <a:ln>
              <a:noFill/>
            </a:ln>
            <a:effectLst/>
          </c:spPr>
          <c:invertIfNegative val="0"/>
          <c:cat>
            <c:strRef>
              <c:f>Sheet9!$A$2:$A$20</c:f>
              <c:strCache>
                <c:ptCount val="18"/>
                <c:pt idx="0">
                  <c:v>CMP-3093</c:v>
                </c:pt>
                <c:pt idx="1">
                  <c:v>CMP-7563</c:v>
                </c:pt>
                <c:pt idx="2">
                  <c:v>LAP-4483</c:v>
                </c:pt>
                <c:pt idx="3">
                  <c:v>LAP-5150</c:v>
                </c:pt>
                <c:pt idx="4">
                  <c:v>MON-3504</c:v>
                </c:pt>
                <c:pt idx="5">
                  <c:v>MON-5249</c:v>
                </c:pt>
                <c:pt idx="6">
                  <c:v>MON-6341</c:v>
                </c:pt>
                <c:pt idx="7">
                  <c:v>NET-1145</c:v>
                </c:pt>
                <c:pt idx="8">
                  <c:v>NET-7998</c:v>
                </c:pt>
                <c:pt idx="9">
                  <c:v>NET-9835</c:v>
                </c:pt>
                <c:pt idx="10">
                  <c:v>PHN-4568</c:v>
                </c:pt>
                <c:pt idx="11">
                  <c:v>PHN-8804</c:v>
                </c:pt>
                <c:pt idx="12">
                  <c:v>PRN-1141</c:v>
                </c:pt>
                <c:pt idx="13">
                  <c:v>PRN-2749</c:v>
                </c:pt>
                <c:pt idx="14">
                  <c:v>PRN-3014</c:v>
                </c:pt>
                <c:pt idx="15">
                  <c:v>PRN-3917</c:v>
                </c:pt>
                <c:pt idx="16">
                  <c:v>PRN-6068</c:v>
                </c:pt>
                <c:pt idx="17">
                  <c:v>PRN-9557</c:v>
                </c:pt>
              </c:strCache>
            </c:strRef>
          </c:cat>
          <c:val>
            <c:numRef>
              <c:f>Sheet9!$B$2:$B$20</c:f>
              <c:numCache>
                <c:formatCode>General</c:formatCode>
                <c:ptCount val="18"/>
                <c:pt idx="0">
                  <c:v>5.0999999999999997E-2</c:v>
                </c:pt>
                <c:pt idx="1">
                  <c:v>0.14299999999999999</c:v>
                </c:pt>
                <c:pt idx="2">
                  <c:v>0.16300000000000001</c:v>
                </c:pt>
                <c:pt idx="3">
                  <c:v>0.16900000000000001</c:v>
                </c:pt>
                <c:pt idx="4">
                  <c:v>0.122</c:v>
                </c:pt>
                <c:pt idx="5">
                  <c:v>0.187</c:v>
                </c:pt>
                <c:pt idx="6">
                  <c:v>0.159</c:v>
                </c:pt>
                <c:pt idx="7">
                  <c:v>4.2000000000000003E-2</c:v>
                </c:pt>
                <c:pt idx="8">
                  <c:v>0.214</c:v>
                </c:pt>
                <c:pt idx="9">
                  <c:v>0.13400000000000001</c:v>
                </c:pt>
                <c:pt idx="10">
                  <c:v>2.1000000000000001E-2</c:v>
                </c:pt>
                <c:pt idx="11">
                  <c:v>0.126</c:v>
                </c:pt>
                <c:pt idx="12">
                  <c:v>0.11600000000000001</c:v>
                </c:pt>
                <c:pt idx="13">
                  <c:v>0.26600000000000001</c:v>
                </c:pt>
                <c:pt idx="14">
                  <c:v>0.128</c:v>
                </c:pt>
                <c:pt idx="15">
                  <c:v>9.0999999999999998E-2</c:v>
                </c:pt>
                <c:pt idx="16">
                  <c:v>0.20300000000000001</c:v>
                </c:pt>
                <c:pt idx="17">
                  <c:v>0</c:v>
                </c:pt>
              </c:numCache>
            </c:numRef>
          </c:val>
          <c:extLst>
            <c:ext xmlns:c16="http://schemas.microsoft.com/office/drawing/2014/chart" uri="{C3380CC4-5D6E-409C-BE32-E72D297353CC}">
              <c16:uniqueId val="{00000000-2A52-4568-8B33-9FE02E736D0D}"/>
            </c:ext>
          </c:extLst>
        </c:ser>
        <c:dLbls>
          <c:showLegendKey val="0"/>
          <c:showVal val="0"/>
          <c:showCatName val="0"/>
          <c:showSerName val="0"/>
          <c:showPercent val="0"/>
          <c:showBubbleSize val="0"/>
        </c:dLbls>
        <c:gapWidth val="219"/>
        <c:overlap val="-27"/>
        <c:axId val="1098578512"/>
        <c:axId val="1098579056"/>
      </c:barChart>
      <c:catAx>
        <c:axId val="109857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98579056"/>
        <c:crosses val="autoZero"/>
        <c:auto val="1"/>
        <c:lblAlgn val="ctr"/>
        <c:lblOffset val="100"/>
        <c:noMultiLvlLbl val="0"/>
      </c:catAx>
      <c:valAx>
        <c:axId val="109857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9857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Brief1.xlsx]Sheet3!PivotTable2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Sheet3!$A$4:$A$5</c:f>
              <c:strCache>
                <c:ptCount val="1"/>
                <c:pt idx="0">
                  <c:v>Sep-2024</c:v>
                </c:pt>
              </c:strCache>
            </c:strRef>
          </c:cat>
          <c:val>
            <c:numRef>
              <c:f>Sheet3!$B$4:$B$5</c:f>
              <c:numCache>
                <c:formatCode>General</c:formatCode>
                <c:ptCount val="1"/>
                <c:pt idx="0">
                  <c:v>347613.18767000007</c:v>
                </c:pt>
              </c:numCache>
            </c:numRef>
          </c:val>
          <c:extLst>
            <c:ext xmlns:c16="http://schemas.microsoft.com/office/drawing/2014/chart" uri="{C3380CC4-5D6E-409C-BE32-E72D297353CC}">
              <c16:uniqueId val="{00000000-3E32-4B87-A6E0-6D6259E3E148}"/>
            </c:ext>
          </c:extLst>
        </c:ser>
        <c:dLbls>
          <c:showLegendKey val="0"/>
          <c:showVal val="0"/>
          <c:showCatName val="0"/>
          <c:showSerName val="0"/>
          <c:showPercent val="0"/>
          <c:showBubbleSize val="0"/>
        </c:dLbls>
        <c:gapWidth val="219"/>
        <c:overlap val="-27"/>
        <c:axId val="1098582864"/>
        <c:axId val="1098585040"/>
      </c:barChart>
      <c:catAx>
        <c:axId val="109858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98585040"/>
        <c:crosses val="autoZero"/>
        <c:auto val="1"/>
        <c:lblAlgn val="ctr"/>
        <c:lblOffset val="100"/>
        <c:noMultiLvlLbl val="0"/>
      </c:catAx>
      <c:valAx>
        <c:axId val="109858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9858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Brief1.xlsx]Sheet3!PivotTable2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Trend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Sheet3!$A$4:$A$5</c:f>
              <c:strCache>
                <c:ptCount val="1"/>
                <c:pt idx="0">
                  <c:v>Sep-2024</c:v>
                </c:pt>
              </c:strCache>
            </c:strRef>
          </c:cat>
          <c:val>
            <c:numRef>
              <c:f>Sheet3!$B$4:$B$5</c:f>
              <c:numCache>
                <c:formatCode>General</c:formatCode>
                <c:ptCount val="1"/>
                <c:pt idx="0">
                  <c:v>347613.18767000007</c:v>
                </c:pt>
              </c:numCache>
            </c:numRef>
          </c:val>
          <c:smooth val="0"/>
          <c:extLst>
            <c:ext xmlns:c16="http://schemas.microsoft.com/office/drawing/2014/chart" uri="{C3380CC4-5D6E-409C-BE32-E72D297353CC}">
              <c16:uniqueId val="{00000000-0EBA-4839-9881-00E2507068EB}"/>
            </c:ext>
          </c:extLst>
        </c:ser>
        <c:dLbls>
          <c:showLegendKey val="0"/>
          <c:showVal val="0"/>
          <c:showCatName val="0"/>
          <c:showSerName val="0"/>
          <c:showPercent val="0"/>
          <c:showBubbleSize val="0"/>
        </c:dLbls>
        <c:smooth val="0"/>
        <c:axId val="1098579600"/>
        <c:axId val="896213248"/>
      </c:lineChart>
      <c:catAx>
        <c:axId val="109857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96213248"/>
        <c:crosses val="autoZero"/>
        <c:auto val="1"/>
        <c:lblAlgn val="ctr"/>
        <c:lblOffset val="100"/>
        <c:noMultiLvlLbl val="0"/>
      </c:catAx>
      <c:valAx>
        <c:axId val="89621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9857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Brief1.xlsx]Sheet4!PivotTable3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Direct</c:v>
                </c:pt>
              </c:strCache>
            </c:strRef>
          </c:tx>
          <c:spPr>
            <a:solidFill>
              <a:schemeClr val="accent1"/>
            </a:solidFill>
            <a:ln>
              <a:noFill/>
            </a:ln>
            <a:effectLst/>
          </c:spPr>
          <c:invertIfNegative val="0"/>
          <c:cat>
            <c:strRef>
              <c:f>Sheet4!$A$5:$A$9</c:f>
              <c:strCache>
                <c:ptCount val="4"/>
                <c:pt idx="0">
                  <c:v>Africa</c:v>
                </c:pt>
                <c:pt idx="1">
                  <c:v>Americas</c:v>
                </c:pt>
                <c:pt idx="2">
                  <c:v>Asia</c:v>
                </c:pt>
                <c:pt idx="3">
                  <c:v>Europe</c:v>
                </c:pt>
              </c:strCache>
            </c:strRef>
          </c:cat>
          <c:val>
            <c:numRef>
              <c:f>Sheet4!$B$5:$B$9</c:f>
              <c:numCache>
                <c:formatCode>General</c:formatCode>
                <c:ptCount val="4"/>
                <c:pt idx="0">
                  <c:v>903.68360000000007</c:v>
                </c:pt>
                <c:pt idx="1">
                  <c:v>20607.028059999997</c:v>
                </c:pt>
                <c:pt idx="2">
                  <c:v>11819.496389999997</c:v>
                </c:pt>
              </c:numCache>
            </c:numRef>
          </c:val>
          <c:extLst>
            <c:ext xmlns:c16="http://schemas.microsoft.com/office/drawing/2014/chart" uri="{C3380CC4-5D6E-409C-BE32-E72D297353CC}">
              <c16:uniqueId val="{00000000-3575-4DB5-9DB9-FE4150B2F8E9}"/>
            </c:ext>
          </c:extLst>
        </c:ser>
        <c:ser>
          <c:idx val="1"/>
          <c:order val="1"/>
          <c:tx>
            <c:strRef>
              <c:f>Sheet4!$C$3:$C$4</c:f>
              <c:strCache>
                <c:ptCount val="1"/>
                <c:pt idx="0">
                  <c:v>Distributor</c:v>
                </c:pt>
              </c:strCache>
            </c:strRef>
          </c:tx>
          <c:spPr>
            <a:solidFill>
              <a:schemeClr val="accent2"/>
            </a:solidFill>
            <a:ln>
              <a:noFill/>
            </a:ln>
            <a:effectLst/>
          </c:spPr>
          <c:invertIfNegative val="0"/>
          <c:cat>
            <c:strRef>
              <c:f>Sheet4!$A$5:$A$9</c:f>
              <c:strCache>
                <c:ptCount val="4"/>
                <c:pt idx="0">
                  <c:v>Africa</c:v>
                </c:pt>
                <c:pt idx="1">
                  <c:v>Americas</c:v>
                </c:pt>
                <c:pt idx="2">
                  <c:v>Asia</c:v>
                </c:pt>
                <c:pt idx="3">
                  <c:v>Europe</c:v>
                </c:pt>
              </c:strCache>
            </c:strRef>
          </c:cat>
          <c:val>
            <c:numRef>
              <c:f>Sheet4!$C$5:$C$9</c:f>
              <c:numCache>
                <c:formatCode>General</c:formatCode>
                <c:ptCount val="4"/>
                <c:pt idx="2">
                  <c:v>14529.414360000001</c:v>
                </c:pt>
              </c:numCache>
            </c:numRef>
          </c:val>
          <c:extLst>
            <c:ext xmlns:c16="http://schemas.microsoft.com/office/drawing/2014/chart" uri="{C3380CC4-5D6E-409C-BE32-E72D297353CC}">
              <c16:uniqueId val="{00000001-3575-4DB5-9DB9-FE4150B2F8E9}"/>
            </c:ext>
          </c:extLst>
        </c:ser>
        <c:ser>
          <c:idx val="2"/>
          <c:order val="2"/>
          <c:tx>
            <c:strRef>
              <c:f>Sheet4!$D$3:$D$4</c:f>
              <c:strCache>
                <c:ptCount val="1"/>
                <c:pt idx="0">
                  <c:v>Marketplace</c:v>
                </c:pt>
              </c:strCache>
            </c:strRef>
          </c:tx>
          <c:spPr>
            <a:solidFill>
              <a:schemeClr val="accent3"/>
            </a:solidFill>
            <a:ln>
              <a:noFill/>
            </a:ln>
            <a:effectLst/>
          </c:spPr>
          <c:invertIfNegative val="0"/>
          <c:cat>
            <c:strRef>
              <c:f>Sheet4!$A$5:$A$9</c:f>
              <c:strCache>
                <c:ptCount val="4"/>
                <c:pt idx="0">
                  <c:v>Africa</c:v>
                </c:pt>
                <c:pt idx="1">
                  <c:v>Americas</c:v>
                </c:pt>
                <c:pt idx="2">
                  <c:v>Asia</c:v>
                </c:pt>
                <c:pt idx="3">
                  <c:v>Europe</c:v>
                </c:pt>
              </c:strCache>
            </c:strRef>
          </c:cat>
          <c:val>
            <c:numRef>
              <c:f>Sheet4!$D$5:$D$9</c:f>
              <c:numCache>
                <c:formatCode>General</c:formatCode>
                <c:ptCount val="4"/>
                <c:pt idx="0">
                  <c:v>2404.4722199999997</c:v>
                </c:pt>
                <c:pt idx="3">
                  <c:v>-5343.5467799999969</c:v>
                </c:pt>
              </c:numCache>
            </c:numRef>
          </c:val>
          <c:extLst>
            <c:ext xmlns:c16="http://schemas.microsoft.com/office/drawing/2014/chart" uri="{C3380CC4-5D6E-409C-BE32-E72D297353CC}">
              <c16:uniqueId val="{00000002-3575-4DB5-9DB9-FE4150B2F8E9}"/>
            </c:ext>
          </c:extLst>
        </c:ser>
        <c:ser>
          <c:idx val="3"/>
          <c:order val="3"/>
          <c:tx>
            <c:strRef>
              <c:f>Sheet4!$E$3:$E$4</c:f>
              <c:strCache>
                <c:ptCount val="1"/>
                <c:pt idx="0">
                  <c:v>Online</c:v>
                </c:pt>
              </c:strCache>
            </c:strRef>
          </c:tx>
          <c:spPr>
            <a:solidFill>
              <a:schemeClr val="accent4"/>
            </a:solidFill>
            <a:ln>
              <a:noFill/>
            </a:ln>
            <a:effectLst/>
          </c:spPr>
          <c:invertIfNegative val="0"/>
          <c:cat>
            <c:strRef>
              <c:f>Sheet4!$A$5:$A$9</c:f>
              <c:strCache>
                <c:ptCount val="4"/>
                <c:pt idx="0">
                  <c:v>Africa</c:v>
                </c:pt>
                <c:pt idx="1">
                  <c:v>Americas</c:v>
                </c:pt>
                <c:pt idx="2">
                  <c:v>Asia</c:v>
                </c:pt>
                <c:pt idx="3">
                  <c:v>Europe</c:v>
                </c:pt>
              </c:strCache>
            </c:strRef>
          </c:cat>
          <c:val>
            <c:numRef>
              <c:f>Sheet4!$E$5:$E$9</c:f>
              <c:numCache>
                <c:formatCode>General</c:formatCode>
                <c:ptCount val="4"/>
                <c:pt idx="1">
                  <c:v>34086.702599999997</c:v>
                </c:pt>
                <c:pt idx="2">
                  <c:v>5307.8548499999997</c:v>
                </c:pt>
              </c:numCache>
            </c:numRef>
          </c:val>
          <c:extLst>
            <c:ext xmlns:c16="http://schemas.microsoft.com/office/drawing/2014/chart" uri="{C3380CC4-5D6E-409C-BE32-E72D297353CC}">
              <c16:uniqueId val="{00000003-3575-4DB5-9DB9-FE4150B2F8E9}"/>
            </c:ext>
          </c:extLst>
        </c:ser>
        <c:ser>
          <c:idx val="4"/>
          <c:order val="4"/>
          <c:tx>
            <c:strRef>
              <c:f>Sheet4!$F$3:$F$4</c:f>
              <c:strCache>
                <c:ptCount val="1"/>
                <c:pt idx="0">
                  <c:v>Retail</c:v>
                </c:pt>
              </c:strCache>
            </c:strRef>
          </c:tx>
          <c:spPr>
            <a:solidFill>
              <a:schemeClr val="accent5"/>
            </a:solidFill>
            <a:ln>
              <a:noFill/>
            </a:ln>
            <a:effectLst/>
          </c:spPr>
          <c:invertIfNegative val="0"/>
          <c:cat>
            <c:strRef>
              <c:f>Sheet4!$A$5:$A$9</c:f>
              <c:strCache>
                <c:ptCount val="4"/>
                <c:pt idx="0">
                  <c:v>Africa</c:v>
                </c:pt>
                <c:pt idx="1">
                  <c:v>Americas</c:v>
                </c:pt>
                <c:pt idx="2">
                  <c:v>Asia</c:v>
                </c:pt>
                <c:pt idx="3">
                  <c:v>Europe</c:v>
                </c:pt>
              </c:strCache>
            </c:strRef>
          </c:cat>
          <c:val>
            <c:numRef>
              <c:f>Sheet4!$F$5:$F$9</c:f>
              <c:numCache>
                <c:formatCode>General</c:formatCode>
                <c:ptCount val="4"/>
                <c:pt idx="0">
                  <c:v>6995.9311299999954</c:v>
                </c:pt>
                <c:pt idx="1">
                  <c:v>12346.561240000001</c:v>
                </c:pt>
              </c:numCache>
            </c:numRef>
          </c:val>
          <c:extLst>
            <c:ext xmlns:c16="http://schemas.microsoft.com/office/drawing/2014/chart" uri="{C3380CC4-5D6E-409C-BE32-E72D297353CC}">
              <c16:uniqueId val="{00000004-3575-4DB5-9DB9-FE4150B2F8E9}"/>
            </c:ext>
          </c:extLst>
        </c:ser>
        <c:dLbls>
          <c:showLegendKey val="0"/>
          <c:showVal val="0"/>
          <c:showCatName val="0"/>
          <c:showSerName val="0"/>
          <c:showPercent val="0"/>
          <c:showBubbleSize val="0"/>
        </c:dLbls>
        <c:gapWidth val="219"/>
        <c:overlap val="-27"/>
        <c:axId val="1256608144"/>
        <c:axId val="1256600528"/>
      </c:barChart>
      <c:catAx>
        <c:axId val="125660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600528"/>
        <c:crosses val="autoZero"/>
        <c:auto val="1"/>
        <c:lblAlgn val="ctr"/>
        <c:lblOffset val="100"/>
        <c:noMultiLvlLbl val="0"/>
      </c:catAx>
      <c:valAx>
        <c:axId val="125660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60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Brief1.xlsx]Sheet4!PivotTable3</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stacked"/>
        <c:varyColors val="0"/>
        <c:ser>
          <c:idx val="0"/>
          <c:order val="0"/>
          <c:tx>
            <c:strRef>
              <c:f>Sheet4!$B$3:$B$4</c:f>
              <c:strCache>
                <c:ptCount val="1"/>
                <c:pt idx="0">
                  <c:v>Direct</c:v>
                </c:pt>
              </c:strCache>
            </c:strRef>
          </c:tx>
          <c:spPr>
            <a:solidFill>
              <a:schemeClr val="accent1"/>
            </a:solidFill>
            <a:ln>
              <a:noFill/>
            </a:ln>
            <a:effectLst/>
          </c:spPr>
          <c:invertIfNegative val="0"/>
          <c:cat>
            <c:strRef>
              <c:f>Sheet4!$A$5:$A$9</c:f>
              <c:strCache>
                <c:ptCount val="4"/>
                <c:pt idx="0">
                  <c:v>Africa</c:v>
                </c:pt>
                <c:pt idx="1">
                  <c:v>Americas</c:v>
                </c:pt>
                <c:pt idx="2">
                  <c:v>Asia</c:v>
                </c:pt>
                <c:pt idx="3">
                  <c:v>Europe</c:v>
                </c:pt>
              </c:strCache>
            </c:strRef>
          </c:cat>
          <c:val>
            <c:numRef>
              <c:f>Sheet4!$B$5:$B$9</c:f>
              <c:numCache>
                <c:formatCode>General</c:formatCode>
                <c:ptCount val="4"/>
                <c:pt idx="0">
                  <c:v>903.68360000000007</c:v>
                </c:pt>
                <c:pt idx="1">
                  <c:v>20607.028059999997</c:v>
                </c:pt>
                <c:pt idx="2">
                  <c:v>11819.496389999997</c:v>
                </c:pt>
              </c:numCache>
            </c:numRef>
          </c:val>
          <c:extLst>
            <c:ext xmlns:c16="http://schemas.microsoft.com/office/drawing/2014/chart" uri="{C3380CC4-5D6E-409C-BE32-E72D297353CC}">
              <c16:uniqueId val="{00000000-AC20-49AC-8F34-80BA63498F09}"/>
            </c:ext>
          </c:extLst>
        </c:ser>
        <c:ser>
          <c:idx val="1"/>
          <c:order val="1"/>
          <c:tx>
            <c:strRef>
              <c:f>Sheet4!$C$3:$C$4</c:f>
              <c:strCache>
                <c:ptCount val="1"/>
                <c:pt idx="0">
                  <c:v>Distributor</c:v>
                </c:pt>
              </c:strCache>
            </c:strRef>
          </c:tx>
          <c:spPr>
            <a:solidFill>
              <a:schemeClr val="accent2"/>
            </a:solidFill>
            <a:ln>
              <a:noFill/>
            </a:ln>
            <a:effectLst/>
          </c:spPr>
          <c:invertIfNegative val="0"/>
          <c:cat>
            <c:strRef>
              <c:f>Sheet4!$A$5:$A$9</c:f>
              <c:strCache>
                <c:ptCount val="4"/>
                <c:pt idx="0">
                  <c:v>Africa</c:v>
                </c:pt>
                <c:pt idx="1">
                  <c:v>Americas</c:v>
                </c:pt>
                <c:pt idx="2">
                  <c:v>Asia</c:v>
                </c:pt>
                <c:pt idx="3">
                  <c:v>Europe</c:v>
                </c:pt>
              </c:strCache>
            </c:strRef>
          </c:cat>
          <c:val>
            <c:numRef>
              <c:f>Sheet4!$C$5:$C$9</c:f>
              <c:numCache>
                <c:formatCode>General</c:formatCode>
                <c:ptCount val="4"/>
                <c:pt idx="2">
                  <c:v>14529.414360000001</c:v>
                </c:pt>
              </c:numCache>
            </c:numRef>
          </c:val>
          <c:extLst>
            <c:ext xmlns:c16="http://schemas.microsoft.com/office/drawing/2014/chart" uri="{C3380CC4-5D6E-409C-BE32-E72D297353CC}">
              <c16:uniqueId val="{00000001-AC20-49AC-8F34-80BA63498F09}"/>
            </c:ext>
          </c:extLst>
        </c:ser>
        <c:ser>
          <c:idx val="2"/>
          <c:order val="2"/>
          <c:tx>
            <c:strRef>
              <c:f>Sheet4!$D$3:$D$4</c:f>
              <c:strCache>
                <c:ptCount val="1"/>
                <c:pt idx="0">
                  <c:v>Marketplace</c:v>
                </c:pt>
              </c:strCache>
            </c:strRef>
          </c:tx>
          <c:spPr>
            <a:solidFill>
              <a:schemeClr val="accent3"/>
            </a:solidFill>
            <a:ln>
              <a:noFill/>
            </a:ln>
            <a:effectLst/>
          </c:spPr>
          <c:invertIfNegative val="0"/>
          <c:cat>
            <c:strRef>
              <c:f>Sheet4!$A$5:$A$9</c:f>
              <c:strCache>
                <c:ptCount val="4"/>
                <c:pt idx="0">
                  <c:v>Africa</c:v>
                </c:pt>
                <c:pt idx="1">
                  <c:v>Americas</c:v>
                </c:pt>
                <c:pt idx="2">
                  <c:v>Asia</c:v>
                </c:pt>
                <c:pt idx="3">
                  <c:v>Europe</c:v>
                </c:pt>
              </c:strCache>
            </c:strRef>
          </c:cat>
          <c:val>
            <c:numRef>
              <c:f>Sheet4!$D$5:$D$9</c:f>
              <c:numCache>
                <c:formatCode>General</c:formatCode>
                <c:ptCount val="4"/>
                <c:pt idx="0">
                  <c:v>2404.4722199999997</c:v>
                </c:pt>
                <c:pt idx="3">
                  <c:v>-5343.5467799999969</c:v>
                </c:pt>
              </c:numCache>
            </c:numRef>
          </c:val>
          <c:extLst>
            <c:ext xmlns:c16="http://schemas.microsoft.com/office/drawing/2014/chart" uri="{C3380CC4-5D6E-409C-BE32-E72D297353CC}">
              <c16:uniqueId val="{00000002-AC20-49AC-8F34-80BA63498F09}"/>
            </c:ext>
          </c:extLst>
        </c:ser>
        <c:ser>
          <c:idx val="3"/>
          <c:order val="3"/>
          <c:tx>
            <c:strRef>
              <c:f>Sheet4!$E$3:$E$4</c:f>
              <c:strCache>
                <c:ptCount val="1"/>
                <c:pt idx="0">
                  <c:v>Online</c:v>
                </c:pt>
              </c:strCache>
            </c:strRef>
          </c:tx>
          <c:spPr>
            <a:solidFill>
              <a:schemeClr val="accent4"/>
            </a:solidFill>
            <a:ln>
              <a:noFill/>
            </a:ln>
            <a:effectLst/>
          </c:spPr>
          <c:invertIfNegative val="0"/>
          <c:cat>
            <c:strRef>
              <c:f>Sheet4!$A$5:$A$9</c:f>
              <c:strCache>
                <c:ptCount val="4"/>
                <c:pt idx="0">
                  <c:v>Africa</c:v>
                </c:pt>
                <c:pt idx="1">
                  <c:v>Americas</c:v>
                </c:pt>
                <c:pt idx="2">
                  <c:v>Asia</c:v>
                </c:pt>
                <c:pt idx="3">
                  <c:v>Europe</c:v>
                </c:pt>
              </c:strCache>
            </c:strRef>
          </c:cat>
          <c:val>
            <c:numRef>
              <c:f>Sheet4!$E$5:$E$9</c:f>
              <c:numCache>
                <c:formatCode>General</c:formatCode>
                <c:ptCount val="4"/>
                <c:pt idx="1">
                  <c:v>34086.702599999997</c:v>
                </c:pt>
                <c:pt idx="2">
                  <c:v>5307.8548499999997</c:v>
                </c:pt>
              </c:numCache>
            </c:numRef>
          </c:val>
          <c:extLst>
            <c:ext xmlns:c16="http://schemas.microsoft.com/office/drawing/2014/chart" uri="{C3380CC4-5D6E-409C-BE32-E72D297353CC}">
              <c16:uniqueId val="{00000003-AC20-49AC-8F34-80BA63498F09}"/>
            </c:ext>
          </c:extLst>
        </c:ser>
        <c:ser>
          <c:idx val="4"/>
          <c:order val="4"/>
          <c:tx>
            <c:strRef>
              <c:f>Sheet4!$F$3:$F$4</c:f>
              <c:strCache>
                <c:ptCount val="1"/>
                <c:pt idx="0">
                  <c:v>Retail</c:v>
                </c:pt>
              </c:strCache>
            </c:strRef>
          </c:tx>
          <c:spPr>
            <a:solidFill>
              <a:schemeClr val="accent5"/>
            </a:solidFill>
            <a:ln>
              <a:noFill/>
            </a:ln>
            <a:effectLst/>
          </c:spPr>
          <c:invertIfNegative val="0"/>
          <c:cat>
            <c:strRef>
              <c:f>Sheet4!$A$5:$A$9</c:f>
              <c:strCache>
                <c:ptCount val="4"/>
                <c:pt idx="0">
                  <c:v>Africa</c:v>
                </c:pt>
                <c:pt idx="1">
                  <c:v>Americas</c:v>
                </c:pt>
                <c:pt idx="2">
                  <c:v>Asia</c:v>
                </c:pt>
                <c:pt idx="3">
                  <c:v>Europe</c:v>
                </c:pt>
              </c:strCache>
            </c:strRef>
          </c:cat>
          <c:val>
            <c:numRef>
              <c:f>Sheet4!$F$5:$F$9</c:f>
              <c:numCache>
                <c:formatCode>General</c:formatCode>
                <c:ptCount val="4"/>
                <c:pt idx="0">
                  <c:v>6995.9311299999954</c:v>
                </c:pt>
                <c:pt idx="1">
                  <c:v>12346.561240000001</c:v>
                </c:pt>
              </c:numCache>
            </c:numRef>
          </c:val>
          <c:extLst>
            <c:ext xmlns:c16="http://schemas.microsoft.com/office/drawing/2014/chart" uri="{C3380CC4-5D6E-409C-BE32-E72D297353CC}">
              <c16:uniqueId val="{00000004-AC20-49AC-8F34-80BA63498F09}"/>
            </c:ext>
          </c:extLst>
        </c:ser>
        <c:dLbls>
          <c:showLegendKey val="0"/>
          <c:showVal val="0"/>
          <c:showCatName val="0"/>
          <c:showSerName val="0"/>
          <c:showPercent val="0"/>
          <c:showBubbleSize val="0"/>
        </c:dLbls>
        <c:gapWidth val="219"/>
        <c:overlap val="100"/>
        <c:axId val="1256610864"/>
        <c:axId val="1256604336"/>
      </c:barChart>
      <c:catAx>
        <c:axId val="12566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604336"/>
        <c:crosses val="autoZero"/>
        <c:auto val="1"/>
        <c:lblAlgn val="ctr"/>
        <c:lblOffset val="100"/>
        <c:noMultiLvlLbl val="0"/>
      </c:catAx>
      <c:valAx>
        <c:axId val="125660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61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Brief1.xlsx]Sheet6!PivotTable4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SKUs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Sheet6!$A$4:$A$14</c:f>
              <c:strCache>
                <c:ptCount val="10"/>
                <c:pt idx="0">
                  <c:v>CMP-3093</c:v>
                </c:pt>
                <c:pt idx="1">
                  <c:v>LAP-4483</c:v>
                </c:pt>
                <c:pt idx="2">
                  <c:v>MON-6341</c:v>
                </c:pt>
                <c:pt idx="3">
                  <c:v>NET-1145</c:v>
                </c:pt>
                <c:pt idx="4">
                  <c:v>NET-9835</c:v>
                </c:pt>
                <c:pt idx="5">
                  <c:v>PHN-4568</c:v>
                </c:pt>
                <c:pt idx="6">
                  <c:v>PHN-8804</c:v>
                </c:pt>
                <c:pt idx="7">
                  <c:v>PRN-2749</c:v>
                </c:pt>
                <c:pt idx="8">
                  <c:v>PRN-6068</c:v>
                </c:pt>
                <c:pt idx="9">
                  <c:v>PRN-9557</c:v>
                </c:pt>
              </c:strCache>
            </c:strRef>
          </c:cat>
          <c:val>
            <c:numRef>
              <c:f>Sheet6!$B$4:$B$14</c:f>
              <c:numCache>
                <c:formatCode>General</c:formatCode>
                <c:ptCount val="10"/>
                <c:pt idx="0">
                  <c:v>26015.449459999996</c:v>
                </c:pt>
                <c:pt idx="1">
                  <c:v>40563.321749999996</c:v>
                </c:pt>
                <c:pt idx="2">
                  <c:v>31191.64716</c:v>
                </c:pt>
                <c:pt idx="3">
                  <c:v>25249.613219999999</c:v>
                </c:pt>
                <c:pt idx="4">
                  <c:v>20028.787380000002</c:v>
                </c:pt>
                <c:pt idx="5">
                  <c:v>42495.805439999996</c:v>
                </c:pt>
                <c:pt idx="6">
                  <c:v>37038.581760000001</c:v>
                </c:pt>
                <c:pt idx="7">
                  <c:v>28211.92124</c:v>
                </c:pt>
                <c:pt idx="8">
                  <c:v>15825.399369999997</c:v>
                </c:pt>
                <c:pt idx="9">
                  <c:v>21664.440000000002</c:v>
                </c:pt>
              </c:numCache>
            </c:numRef>
          </c:val>
          <c:extLst>
            <c:ext xmlns:c16="http://schemas.microsoft.com/office/drawing/2014/chart" uri="{C3380CC4-5D6E-409C-BE32-E72D297353CC}">
              <c16:uniqueId val="{00000000-5D5D-4A5F-878B-80153BA72DA8}"/>
            </c:ext>
          </c:extLst>
        </c:ser>
        <c:dLbls>
          <c:showLegendKey val="0"/>
          <c:showVal val="0"/>
          <c:showCatName val="0"/>
          <c:showSerName val="0"/>
          <c:showPercent val="0"/>
          <c:showBubbleSize val="0"/>
        </c:dLbls>
        <c:gapWidth val="219"/>
        <c:overlap val="-27"/>
        <c:axId val="1256608688"/>
        <c:axId val="1256598896"/>
      </c:barChart>
      <c:catAx>
        <c:axId val="125660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598896"/>
        <c:crosses val="autoZero"/>
        <c:auto val="1"/>
        <c:lblAlgn val="ctr"/>
        <c:lblOffset val="100"/>
        <c:noMultiLvlLbl val="0"/>
      </c:catAx>
      <c:valAx>
        <c:axId val="125659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60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Brief1.xlsx]Sheet8!PivotTable5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Sheet8!$A$4:$A$22</c:f>
              <c:strCache>
                <c:ptCount val="18"/>
                <c:pt idx="0">
                  <c:v>CMP-3093</c:v>
                </c:pt>
                <c:pt idx="1">
                  <c:v>CMP-7563</c:v>
                </c:pt>
                <c:pt idx="2">
                  <c:v>LAP-4483</c:v>
                </c:pt>
                <c:pt idx="3">
                  <c:v>LAP-5150</c:v>
                </c:pt>
                <c:pt idx="4">
                  <c:v>MON-3504</c:v>
                </c:pt>
                <c:pt idx="5">
                  <c:v>MON-5249</c:v>
                </c:pt>
                <c:pt idx="6">
                  <c:v>MON-6341</c:v>
                </c:pt>
                <c:pt idx="7">
                  <c:v>NET-1145</c:v>
                </c:pt>
                <c:pt idx="8">
                  <c:v>NET-7998</c:v>
                </c:pt>
                <c:pt idx="9">
                  <c:v>NET-9835</c:v>
                </c:pt>
                <c:pt idx="10">
                  <c:v>PHN-4568</c:v>
                </c:pt>
                <c:pt idx="11">
                  <c:v>PHN-8804</c:v>
                </c:pt>
                <c:pt idx="12">
                  <c:v>PRN-1141</c:v>
                </c:pt>
                <c:pt idx="13">
                  <c:v>PRN-2749</c:v>
                </c:pt>
                <c:pt idx="14">
                  <c:v>PRN-3014</c:v>
                </c:pt>
                <c:pt idx="15">
                  <c:v>PRN-3917</c:v>
                </c:pt>
                <c:pt idx="16">
                  <c:v>PRN-6068</c:v>
                </c:pt>
                <c:pt idx="17">
                  <c:v>PRN-9557</c:v>
                </c:pt>
              </c:strCache>
            </c:strRef>
          </c:cat>
          <c:val>
            <c:numRef>
              <c:f>Sheet8!$B$4:$B$22</c:f>
              <c:numCache>
                <c:formatCode>General</c:formatCode>
                <c:ptCount val="18"/>
                <c:pt idx="0">
                  <c:v>5.0999999999999997E-2</c:v>
                </c:pt>
                <c:pt idx="1">
                  <c:v>0.14299999999999999</c:v>
                </c:pt>
                <c:pt idx="2">
                  <c:v>0.16300000000000001</c:v>
                </c:pt>
                <c:pt idx="3">
                  <c:v>0.16900000000000001</c:v>
                </c:pt>
                <c:pt idx="4">
                  <c:v>0.122</c:v>
                </c:pt>
                <c:pt idx="5">
                  <c:v>0.187</c:v>
                </c:pt>
                <c:pt idx="6">
                  <c:v>0.159</c:v>
                </c:pt>
                <c:pt idx="7">
                  <c:v>4.2000000000000003E-2</c:v>
                </c:pt>
                <c:pt idx="8">
                  <c:v>0.214</c:v>
                </c:pt>
                <c:pt idx="9">
                  <c:v>0.13400000000000001</c:v>
                </c:pt>
                <c:pt idx="10">
                  <c:v>2.1000000000000001E-2</c:v>
                </c:pt>
                <c:pt idx="11">
                  <c:v>0.126</c:v>
                </c:pt>
                <c:pt idx="12">
                  <c:v>0.11600000000000001</c:v>
                </c:pt>
                <c:pt idx="13">
                  <c:v>0.26600000000000001</c:v>
                </c:pt>
                <c:pt idx="14">
                  <c:v>0.128</c:v>
                </c:pt>
                <c:pt idx="15">
                  <c:v>9.0999999999999998E-2</c:v>
                </c:pt>
                <c:pt idx="16">
                  <c:v>0.20300000000000001</c:v>
                </c:pt>
                <c:pt idx="17">
                  <c:v>0</c:v>
                </c:pt>
              </c:numCache>
            </c:numRef>
          </c:val>
          <c:extLst>
            <c:ext xmlns:c16="http://schemas.microsoft.com/office/drawing/2014/chart" uri="{C3380CC4-5D6E-409C-BE32-E72D297353CC}">
              <c16:uniqueId val="{00000000-2D74-48FF-902B-185A68832132}"/>
            </c:ext>
          </c:extLst>
        </c:ser>
        <c:dLbls>
          <c:showLegendKey val="0"/>
          <c:showVal val="0"/>
          <c:showCatName val="0"/>
          <c:showSerName val="0"/>
          <c:showPercent val="0"/>
          <c:showBubbleSize val="0"/>
        </c:dLbls>
        <c:gapWidth val="219"/>
        <c:overlap val="-27"/>
        <c:axId val="1256610320"/>
        <c:axId val="1256609232"/>
      </c:barChart>
      <c:catAx>
        <c:axId val="125661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609232"/>
        <c:crosses val="autoZero"/>
        <c:auto val="1"/>
        <c:lblAlgn val="ctr"/>
        <c:lblOffset val="100"/>
        <c:noMultiLvlLbl val="0"/>
      </c:catAx>
      <c:valAx>
        <c:axId val="125660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61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Brief1.xlsx]Sheet9!PivotTable7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Outlier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Sheet9!$B$1</c:f>
              <c:strCache>
                <c:ptCount val="1"/>
                <c:pt idx="0">
                  <c:v>Total</c:v>
                </c:pt>
              </c:strCache>
            </c:strRef>
          </c:tx>
          <c:spPr>
            <a:solidFill>
              <a:schemeClr val="accent1"/>
            </a:solidFill>
            <a:ln>
              <a:noFill/>
            </a:ln>
            <a:effectLst/>
          </c:spPr>
          <c:invertIfNegative val="0"/>
          <c:cat>
            <c:strRef>
              <c:f>Sheet9!$A$2:$A$20</c:f>
              <c:strCache>
                <c:ptCount val="18"/>
                <c:pt idx="0">
                  <c:v>CMP-3093</c:v>
                </c:pt>
                <c:pt idx="1">
                  <c:v>CMP-7563</c:v>
                </c:pt>
                <c:pt idx="2">
                  <c:v>LAP-4483</c:v>
                </c:pt>
                <c:pt idx="3">
                  <c:v>LAP-5150</c:v>
                </c:pt>
                <c:pt idx="4">
                  <c:v>MON-3504</c:v>
                </c:pt>
                <c:pt idx="5">
                  <c:v>MON-5249</c:v>
                </c:pt>
                <c:pt idx="6">
                  <c:v>MON-6341</c:v>
                </c:pt>
                <c:pt idx="7">
                  <c:v>NET-1145</c:v>
                </c:pt>
                <c:pt idx="8">
                  <c:v>NET-7998</c:v>
                </c:pt>
                <c:pt idx="9">
                  <c:v>NET-9835</c:v>
                </c:pt>
                <c:pt idx="10">
                  <c:v>PHN-4568</c:v>
                </c:pt>
                <c:pt idx="11">
                  <c:v>PHN-8804</c:v>
                </c:pt>
                <c:pt idx="12">
                  <c:v>PRN-1141</c:v>
                </c:pt>
                <c:pt idx="13">
                  <c:v>PRN-2749</c:v>
                </c:pt>
                <c:pt idx="14">
                  <c:v>PRN-3014</c:v>
                </c:pt>
                <c:pt idx="15">
                  <c:v>PRN-3917</c:v>
                </c:pt>
                <c:pt idx="16">
                  <c:v>PRN-6068</c:v>
                </c:pt>
                <c:pt idx="17">
                  <c:v>PRN-9557</c:v>
                </c:pt>
              </c:strCache>
            </c:strRef>
          </c:cat>
          <c:val>
            <c:numRef>
              <c:f>Sheet9!$B$2:$B$20</c:f>
              <c:numCache>
                <c:formatCode>General</c:formatCode>
                <c:ptCount val="18"/>
                <c:pt idx="0">
                  <c:v>5.0999999999999997E-2</c:v>
                </c:pt>
                <c:pt idx="1">
                  <c:v>0.14299999999999999</c:v>
                </c:pt>
                <c:pt idx="2">
                  <c:v>0.16300000000000001</c:v>
                </c:pt>
                <c:pt idx="3">
                  <c:v>0.16900000000000001</c:v>
                </c:pt>
                <c:pt idx="4">
                  <c:v>0.122</c:v>
                </c:pt>
                <c:pt idx="5">
                  <c:v>0.187</c:v>
                </c:pt>
                <c:pt idx="6">
                  <c:v>0.159</c:v>
                </c:pt>
                <c:pt idx="7">
                  <c:v>4.2000000000000003E-2</c:v>
                </c:pt>
                <c:pt idx="8">
                  <c:v>0.214</c:v>
                </c:pt>
                <c:pt idx="9">
                  <c:v>0.13400000000000001</c:v>
                </c:pt>
                <c:pt idx="10">
                  <c:v>2.1000000000000001E-2</c:v>
                </c:pt>
                <c:pt idx="11">
                  <c:v>0.126</c:v>
                </c:pt>
                <c:pt idx="12">
                  <c:v>0.11600000000000001</c:v>
                </c:pt>
                <c:pt idx="13">
                  <c:v>0.26600000000000001</c:v>
                </c:pt>
                <c:pt idx="14">
                  <c:v>0.128</c:v>
                </c:pt>
                <c:pt idx="15">
                  <c:v>9.0999999999999998E-2</c:v>
                </c:pt>
                <c:pt idx="16">
                  <c:v>0.20300000000000001</c:v>
                </c:pt>
                <c:pt idx="17">
                  <c:v>0</c:v>
                </c:pt>
              </c:numCache>
            </c:numRef>
          </c:val>
          <c:extLst>
            <c:ext xmlns:c16="http://schemas.microsoft.com/office/drawing/2014/chart" uri="{C3380CC4-5D6E-409C-BE32-E72D297353CC}">
              <c16:uniqueId val="{00000000-71E1-4425-AD52-E301BC549462}"/>
            </c:ext>
          </c:extLst>
        </c:ser>
        <c:dLbls>
          <c:showLegendKey val="0"/>
          <c:showVal val="0"/>
          <c:showCatName val="0"/>
          <c:showSerName val="0"/>
          <c:showPercent val="0"/>
          <c:showBubbleSize val="0"/>
        </c:dLbls>
        <c:gapWidth val="219"/>
        <c:overlap val="-27"/>
        <c:axId val="1256611408"/>
        <c:axId val="1256601072"/>
      </c:barChart>
      <c:catAx>
        <c:axId val="125661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601072"/>
        <c:crosses val="autoZero"/>
        <c:auto val="1"/>
        <c:lblAlgn val="ctr"/>
        <c:lblOffset val="100"/>
        <c:noMultiLvlLbl val="0"/>
      </c:catAx>
      <c:valAx>
        <c:axId val="1256601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61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Data!$Z$1</c:f>
              <c:strCache>
                <c:ptCount val="1"/>
                <c:pt idx="0">
                  <c:v>Clean_DiscountPct</c:v>
                </c:pt>
              </c:strCache>
            </c:strRef>
          </c:tx>
          <c:spPr>
            <a:ln w="28575" cap="rnd">
              <a:noFill/>
              <a:round/>
            </a:ln>
            <a:effectLst/>
          </c:spPr>
          <c:marker>
            <c:symbol val="circle"/>
            <c:size val="5"/>
            <c:spPr>
              <a:solidFill>
                <a:schemeClr val="accent1"/>
              </a:solidFill>
              <a:ln w="9525">
                <a:solidFill>
                  <a:schemeClr val="accent1"/>
                </a:solidFill>
              </a:ln>
              <a:effectLst/>
            </c:spPr>
          </c:marker>
          <c:yVal>
            <c:numRef>
              <c:f>Data!$Z$2:$Z$634</c:f>
              <c:numCache>
                <c:formatCode>0.00</c:formatCode>
                <c:ptCount val="633"/>
                <c:pt idx="0">
                  <c:v>0.112</c:v>
                </c:pt>
                <c:pt idx="1">
                  <c:v>0.23699999999999999</c:v>
                </c:pt>
                <c:pt idx="2">
                  <c:v>0.13100000000000001</c:v>
                </c:pt>
                <c:pt idx="3">
                  <c:v>7.1999999999999995E-2</c:v>
                </c:pt>
                <c:pt idx="4">
                  <c:v>0.10199999999999999</c:v>
                </c:pt>
                <c:pt idx="5">
                  <c:v>0</c:v>
                </c:pt>
                <c:pt idx="6">
                  <c:v>0.14699999999999999</c:v>
                </c:pt>
                <c:pt idx="7">
                  <c:v>0.19400000000000001</c:v>
                </c:pt>
                <c:pt idx="8">
                  <c:v>3.1E-2</c:v>
                </c:pt>
                <c:pt idx="9">
                  <c:v>0.14899999999999999</c:v>
                </c:pt>
                <c:pt idx="10">
                  <c:v>6.0000000000000001E-3</c:v>
                </c:pt>
                <c:pt idx="11">
                  <c:v>0.25</c:v>
                </c:pt>
                <c:pt idx="12">
                  <c:v>9.4E-2</c:v>
                </c:pt>
                <c:pt idx="13">
                  <c:v>0</c:v>
                </c:pt>
                <c:pt idx="14">
                  <c:v>0</c:v>
                </c:pt>
                <c:pt idx="15">
                  <c:v>7.3999999999999996E-2</c:v>
                </c:pt>
                <c:pt idx="16">
                  <c:v>0.109</c:v>
                </c:pt>
                <c:pt idx="17">
                  <c:v>0.183</c:v>
                </c:pt>
                <c:pt idx="18">
                  <c:v>0.109</c:v>
                </c:pt>
                <c:pt idx="19">
                  <c:v>3.7999999999999999E-2</c:v>
                </c:pt>
                <c:pt idx="20">
                  <c:v>7.1999999999999995E-2</c:v>
                </c:pt>
                <c:pt idx="21">
                  <c:v>0.14299999999999999</c:v>
                </c:pt>
                <c:pt idx="22">
                  <c:v>0.12</c:v>
                </c:pt>
                <c:pt idx="23">
                  <c:v>0.01</c:v>
                </c:pt>
                <c:pt idx="24">
                  <c:v>7.0000000000000001E-3</c:v>
                </c:pt>
                <c:pt idx="25">
                  <c:v>0.16800000000000001</c:v>
                </c:pt>
                <c:pt idx="26">
                  <c:v>0</c:v>
                </c:pt>
                <c:pt idx="27">
                  <c:v>0.125</c:v>
                </c:pt>
                <c:pt idx="28">
                  <c:v>0</c:v>
                </c:pt>
                <c:pt idx="29">
                  <c:v>0.13900000000000001</c:v>
                </c:pt>
                <c:pt idx="30">
                  <c:v>8.6999999999999994E-2</c:v>
                </c:pt>
                <c:pt idx="31">
                  <c:v>8.8999999999999996E-2</c:v>
                </c:pt>
                <c:pt idx="32">
                  <c:v>8.4000000000000005E-2</c:v>
                </c:pt>
                <c:pt idx="33">
                  <c:v>0</c:v>
                </c:pt>
                <c:pt idx="34">
                  <c:v>0</c:v>
                </c:pt>
                <c:pt idx="35">
                  <c:v>0.10100000000000001</c:v>
                </c:pt>
                <c:pt idx="36">
                  <c:v>0.24299999999999999</c:v>
                </c:pt>
                <c:pt idx="37">
                  <c:v>0.13600000000000001</c:v>
                </c:pt>
                <c:pt idx="38">
                  <c:v>0.17499999999999999</c:v>
                </c:pt>
                <c:pt idx="39">
                  <c:v>0.129</c:v>
                </c:pt>
                <c:pt idx="40">
                  <c:v>3.6999999999999998E-2</c:v>
                </c:pt>
                <c:pt idx="41">
                  <c:v>0</c:v>
                </c:pt>
                <c:pt idx="42">
                  <c:v>0.3</c:v>
                </c:pt>
                <c:pt idx="43">
                  <c:v>0.14599999999999999</c:v>
                </c:pt>
                <c:pt idx="44">
                  <c:v>0.182</c:v>
                </c:pt>
                <c:pt idx="45">
                  <c:v>0.16900000000000001</c:v>
                </c:pt>
                <c:pt idx="46">
                  <c:v>0</c:v>
                </c:pt>
                <c:pt idx="47">
                  <c:v>0</c:v>
                </c:pt>
                <c:pt idx="48">
                  <c:v>0.187</c:v>
                </c:pt>
                <c:pt idx="49">
                  <c:v>0.126</c:v>
                </c:pt>
                <c:pt idx="50">
                  <c:v>0.29199999999999998</c:v>
                </c:pt>
                <c:pt idx="51">
                  <c:v>0.29499999999999998</c:v>
                </c:pt>
                <c:pt idx="52">
                  <c:v>0</c:v>
                </c:pt>
                <c:pt idx="53">
                  <c:v>0.182</c:v>
                </c:pt>
                <c:pt idx="54">
                  <c:v>0.14399999999999999</c:v>
                </c:pt>
                <c:pt idx="55">
                  <c:v>0.14699999999999999</c:v>
                </c:pt>
                <c:pt idx="56">
                  <c:v>3.5000000000000003E-2</c:v>
                </c:pt>
                <c:pt idx="57">
                  <c:v>0.14699999999999999</c:v>
                </c:pt>
                <c:pt idx="58">
                  <c:v>7.4999999999999997E-2</c:v>
                </c:pt>
                <c:pt idx="59">
                  <c:v>0.20499999999999999</c:v>
                </c:pt>
                <c:pt idx="60">
                  <c:v>0.11899999999999999</c:v>
                </c:pt>
                <c:pt idx="61">
                  <c:v>0.11</c:v>
                </c:pt>
                <c:pt idx="62">
                  <c:v>0.2</c:v>
                </c:pt>
                <c:pt idx="63">
                  <c:v>0.255</c:v>
                </c:pt>
                <c:pt idx="64">
                  <c:v>0.13</c:v>
                </c:pt>
                <c:pt idx="65">
                  <c:v>0.184</c:v>
                </c:pt>
                <c:pt idx="66">
                  <c:v>0.189</c:v>
                </c:pt>
                <c:pt idx="67">
                  <c:v>0.105</c:v>
                </c:pt>
                <c:pt idx="68">
                  <c:v>0.20399999999999999</c:v>
                </c:pt>
                <c:pt idx="69">
                  <c:v>0.05</c:v>
                </c:pt>
                <c:pt idx="70">
                  <c:v>6.8000000000000005E-2</c:v>
                </c:pt>
                <c:pt idx="71">
                  <c:v>0.14199999999999999</c:v>
                </c:pt>
                <c:pt idx="72">
                  <c:v>0.185</c:v>
                </c:pt>
                <c:pt idx="73">
                  <c:v>4.7E-2</c:v>
                </c:pt>
                <c:pt idx="74">
                  <c:v>0.3</c:v>
                </c:pt>
                <c:pt idx="75">
                  <c:v>0.114</c:v>
                </c:pt>
                <c:pt idx="76">
                  <c:v>0.13400000000000001</c:v>
                </c:pt>
                <c:pt idx="77">
                  <c:v>7.1999999999999995E-2</c:v>
                </c:pt>
                <c:pt idx="78">
                  <c:v>0.25700000000000001</c:v>
                </c:pt>
                <c:pt idx="79">
                  <c:v>0.186</c:v>
                </c:pt>
                <c:pt idx="80">
                  <c:v>0.161</c:v>
                </c:pt>
                <c:pt idx="81">
                  <c:v>0.24099999999999999</c:v>
                </c:pt>
                <c:pt idx="82">
                  <c:v>8.4000000000000005E-2</c:v>
                </c:pt>
                <c:pt idx="83">
                  <c:v>0.215</c:v>
                </c:pt>
                <c:pt idx="84">
                  <c:v>0.104</c:v>
                </c:pt>
                <c:pt idx="85">
                  <c:v>7.0000000000000007E-2</c:v>
                </c:pt>
                <c:pt idx="86">
                  <c:v>0.154</c:v>
                </c:pt>
                <c:pt idx="87">
                  <c:v>0.188</c:v>
                </c:pt>
                <c:pt idx="88">
                  <c:v>0.03</c:v>
                </c:pt>
                <c:pt idx="89">
                  <c:v>6.6000000000000003E-2</c:v>
                </c:pt>
                <c:pt idx="90">
                  <c:v>7.3999999999999996E-2</c:v>
                </c:pt>
                <c:pt idx="91">
                  <c:v>0.14399999999999999</c:v>
                </c:pt>
                <c:pt idx="92">
                  <c:v>9.6000000000000002E-2</c:v>
                </c:pt>
                <c:pt idx="93">
                  <c:v>9.9000000000000005E-2</c:v>
                </c:pt>
                <c:pt idx="94">
                  <c:v>0.16</c:v>
                </c:pt>
                <c:pt idx="95">
                  <c:v>3.4000000000000002E-2</c:v>
                </c:pt>
                <c:pt idx="96">
                  <c:v>0.14599999999999999</c:v>
                </c:pt>
                <c:pt idx="97">
                  <c:v>0</c:v>
                </c:pt>
                <c:pt idx="98">
                  <c:v>9.1999999999999998E-2</c:v>
                </c:pt>
                <c:pt idx="99">
                  <c:v>0.29199999999999998</c:v>
                </c:pt>
                <c:pt idx="100">
                  <c:v>0</c:v>
                </c:pt>
                <c:pt idx="101">
                  <c:v>0.14000000000000001</c:v>
                </c:pt>
                <c:pt idx="102">
                  <c:v>0</c:v>
                </c:pt>
                <c:pt idx="103">
                  <c:v>0.18</c:v>
                </c:pt>
                <c:pt idx="104">
                  <c:v>0.16900000000000001</c:v>
                </c:pt>
                <c:pt idx="105">
                  <c:v>0.27800000000000002</c:v>
                </c:pt>
                <c:pt idx="106">
                  <c:v>0.13700000000000001</c:v>
                </c:pt>
                <c:pt idx="107">
                  <c:v>0.123</c:v>
                </c:pt>
                <c:pt idx="108">
                  <c:v>0</c:v>
                </c:pt>
                <c:pt idx="109">
                  <c:v>0.22900000000000001</c:v>
                </c:pt>
                <c:pt idx="110">
                  <c:v>0</c:v>
                </c:pt>
                <c:pt idx="111">
                  <c:v>1.2E-2</c:v>
                </c:pt>
                <c:pt idx="112">
                  <c:v>0.11799999999999999</c:v>
                </c:pt>
                <c:pt idx="113">
                  <c:v>0.11899999999999999</c:v>
                </c:pt>
                <c:pt idx="114">
                  <c:v>0</c:v>
                </c:pt>
                <c:pt idx="115">
                  <c:v>0.108</c:v>
                </c:pt>
                <c:pt idx="116">
                  <c:v>0.157</c:v>
                </c:pt>
                <c:pt idx="117">
                  <c:v>0.184</c:v>
                </c:pt>
                <c:pt idx="118">
                  <c:v>7.0999999999999994E-2</c:v>
                </c:pt>
                <c:pt idx="119">
                  <c:v>4.2999999999999997E-2</c:v>
                </c:pt>
                <c:pt idx="120">
                  <c:v>0.123</c:v>
                </c:pt>
                <c:pt idx="121">
                  <c:v>6.9000000000000006E-2</c:v>
                </c:pt>
                <c:pt idx="122">
                  <c:v>0.20300000000000001</c:v>
                </c:pt>
                <c:pt idx="123">
                  <c:v>5.7000000000000002E-2</c:v>
                </c:pt>
                <c:pt idx="124">
                  <c:v>8.8999999999999996E-2</c:v>
                </c:pt>
                <c:pt idx="125">
                  <c:v>8.4000000000000005E-2</c:v>
                </c:pt>
                <c:pt idx="126">
                  <c:v>7.2999999999999995E-2</c:v>
                </c:pt>
                <c:pt idx="127">
                  <c:v>0.17899999999999999</c:v>
                </c:pt>
                <c:pt idx="128">
                  <c:v>0.187</c:v>
                </c:pt>
                <c:pt idx="129">
                  <c:v>0.111</c:v>
                </c:pt>
                <c:pt idx="130">
                  <c:v>6.3E-2</c:v>
                </c:pt>
                <c:pt idx="131">
                  <c:v>0.14199999999999999</c:v>
                </c:pt>
                <c:pt idx="132">
                  <c:v>0.22</c:v>
                </c:pt>
                <c:pt idx="133">
                  <c:v>0.187</c:v>
                </c:pt>
                <c:pt idx="134">
                  <c:v>0.192</c:v>
                </c:pt>
                <c:pt idx="135">
                  <c:v>9.4E-2</c:v>
                </c:pt>
                <c:pt idx="136">
                  <c:v>8.9999999999999993E-3</c:v>
                </c:pt>
                <c:pt idx="137">
                  <c:v>0.26500000000000001</c:v>
                </c:pt>
                <c:pt idx="138">
                  <c:v>0.129</c:v>
                </c:pt>
                <c:pt idx="139">
                  <c:v>0.25900000000000001</c:v>
                </c:pt>
                <c:pt idx="140">
                  <c:v>0.11799999999999999</c:v>
                </c:pt>
                <c:pt idx="141">
                  <c:v>0.01</c:v>
                </c:pt>
                <c:pt idx="142">
                  <c:v>0.151</c:v>
                </c:pt>
                <c:pt idx="143">
                  <c:v>0.245</c:v>
                </c:pt>
                <c:pt idx="144">
                  <c:v>8.2000000000000003E-2</c:v>
                </c:pt>
                <c:pt idx="145">
                  <c:v>0.107</c:v>
                </c:pt>
                <c:pt idx="146">
                  <c:v>0.185</c:v>
                </c:pt>
                <c:pt idx="147">
                  <c:v>0</c:v>
                </c:pt>
                <c:pt idx="148">
                  <c:v>0.188</c:v>
                </c:pt>
                <c:pt idx="149">
                  <c:v>2.1000000000000001E-2</c:v>
                </c:pt>
                <c:pt idx="150">
                  <c:v>0.13100000000000001</c:v>
                </c:pt>
                <c:pt idx="151">
                  <c:v>4.4999999999999998E-2</c:v>
                </c:pt>
                <c:pt idx="152">
                  <c:v>0.184</c:v>
                </c:pt>
                <c:pt idx="153">
                  <c:v>0.13600000000000001</c:v>
                </c:pt>
                <c:pt idx="154">
                  <c:v>0.184</c:v>
                </c:pt>
                <c:pt idx="155">
                  <c:v>0.111</c:v>
                </c:pt>
                <c:pt idx="156">
                  <c:v>1.7999999999999999E-2</c:v>
                </c:pt>
                <c:pt idx="157">
                  <c:v>2.5000000000000001E-2</c:v>
                </c:pt>
                <c:pt idx="158">
                  <c:v>0.127</c:v>
                </c:pt>
                <c:pt idx="159">
                  <c:v>0.18099999999999999</c:v>
                </c:pt>
                <c:pt idx="160">
                  <c:v>0.157</c:v>
                </c:pt>
                <c:pt idx="161">
                  <c:v>7.1999999999999995E-2</c:v>
                </c:pt>
                <c:pt idx="162">
                  <c:v>0.13300000000000001</c:v>
                </c:pt>
                <c:pt idx="163">
                  <c:v>0.14000000000000001</c:v>
                </c:pt>
                <c:pt idx="164">
                  <c:v>0.02</c:v>
                </c:pt>
                <c:pt idx="165">
                  <c:v>5.2999999999999999E-2</c:v>
                </c:pt>
                <c:pt idx="166">
                  <c:v>0.19700000000000001</c:v>
                </c:pt>
                <c:pt idx="167">
                  <c:v>0.254</c:v>
                </c:pt>
                <c:pt idx="168">
                  <c:v>0.185</c:v>
                </c:pt>
                <c:pt idx="169">
                  <c:v>0.13900000000000001</c:v>
                </c:pt>
                <c:pt idx="170">
                  <c:v>0.254</c:v>
                </c:pt>
                <c:pt idx="171">
                  <c:v>0.13400000000000001</c:v>
                </c:pt>
                <c:pt idx="172">
                  <c:v>4.7E-2</c:v>
                </c:pt>
                <c:pt idx="173">
                  <c:v>7.8E-2</c:v>
                </c:pt>
                <c:pt idx="174">
                  <c:v>2.1999999999999999E-2</c:v>
                </c:pt>
                <c:pt idx="175">
                  <c:v>0.255</c:v>
                </c:pt>
                <c:pt idx="176">
                  <c:v>9.0999999999999998E-2</c:v>
                </c:pt>
                <c:pt idx="177">
                  <c:v>0.17699999999999999</c:v>
                </c:pt>
                <c:pt idx="178">
                  <c:v>5.6000000000000001E-2</c:v>
                </c:pt>
                <c:pt idx="179">
                  <c:v>0.17299999999999999</c:v>
                </c:pt>
                <c:pt idx="180">
                  <c:v>0.21199999999999999</c:v>
                </c:pt>
                <c:pt idx="181">
                  <c:v>6.3E-2</c:v>
                </c:pt>
                <c:pt idx="182">
                  <c:v>0.19600000000000001</c:v>
                </c:pt>
                <c:pt idx="183">
                  <c:v>0.10100000000000001</c:v>
                </c:pt>
                <c:pt idx="184">
                  <c:v>0.153</c:v>
                </c:pt>
                <c:pt idx="185">
                  <c:v>2.5000000000000001E-2</c:v>
                </c:pt>
                <c:pt idx="186">
                  <c:v>0.21099999999999999</c:v>
                </c:pt>
                <c:pt idx="187">
                  <c:v>0.23300000000000001</c:v>
                </c:pt>
                <c:pt idx="188">
                  <c:v>0.11799999999999999</c:v>
                </c:pt>
                <c:pt idx="189">
                  <c:v>1.2E-2</c:v>
                </c:pt>
                <c:pt idx="190">
                  <c:v>0.215</c:v>
                </c:pt>
                <c:pt idx="191">
                  <c:v>9.4E-2</c:v>
                </c:pt>
                <c:pt idx="192">
                  <c:v>0.23599999999999999</c:v>
                </c:pt>
                <c:pt idx="193">
                  <c:v>7.1999999999999995E-2</c:v>
                </c:pt>
                <c:pt idx="194">
                  <c:v>9.4E-2</c:v>
                </c:pt>
                <c:pt idx="195">
                  <c:v>0.159</c:v>
                </c:pt>
                <c:pt idx="196">
                  <c:v>0.185</c:v>
                </c:pt>
                <c:pt idx="197">
                  <c:v>5.0999999999999997E-2</c:v>
                </c:pt>
                <c:pt idx="198">
                  <c:v>0.186</c:v>
                </c:pt>
                <c:pt idx="199">
                  <c:v>0.155</c:v>
                </c:pt>
                <c:pt idx="200">
                  <c:v>5.7000000000000002E-2</c:v>
                </c:pt>
                <c:pt idx="201">
                  <c:v>0.25800000000000001</c:v>
                </c:pt>
                <c:pt idx="202">
                  <c:v>0</c:v>
                </c:pt>
                <c:pt idx="203">
                  <c:v>0.24299999999999999</c:v>
                </c:pt>
                <c:pt idx="204">
                  <c:v>5.5E-2</c:v>
                </c:pt>
                <c:pt idx="205">
                  <c:v>2.9000000000000001E-2</c:v>
                </c:pt>
                <c:pt idx="206">
                  <c:v>3.7999999999999999E-2</c:v>
                </c:pt>
                <c:pt idx="207">
                  <c:v>0.14799999999999999</c:v>
                </c:pt>
                <c:pt idx="208">
                  <c:v>0.20300000000000001</c:v>
                </c:pt>
                <c:pt idx="209">
                  <c:v>0.13600000000000001</c:v>
                </c:pt>
                <c:pt idx="210">
                  <c:v>0.152</c:v>
                </c:pt>
                <c:pt idx="211">
                  <c:v>0.10199999999999999</c:v>
                </c:pt>
                <c:pt idx="212">
                  <c:v>0.128</c:v>
                </c:pt>
                <c:pt idx="213">
                  <c:v>0</c:v>
                </c:pt>
                <c:pt idx="214">
                  <c:v>0.157</c:v>
                </c:pt>
                <c:pt idx="215">
                  <c:v>0.20100000000000001</c:v>
                </c:pt>
                <c:pt idx="216">
                  <c:v>0.113</c:v>
                </c:pt>
                <c:pt idx="217">
                  <c:v>0.19600000000000001</c:v>
                </c:pt>
                <c:pt idx="218">
                  <c:v>4.0000000000000001E-3</c:v>
                </c:pt>
                <c:pt idx="219">
                  <c:v>0.26600000000000001</c:v>
                </c:pt>
                <c:pt idx="220">
                  <c:v>5.5E-2</c:v>
                </c:pt>
                <c:pt idx="221">
                  <c:v>0.20399999999999999</c:v>
                </c:pt>
                <c:pt idx="222">
                  <c:v>9.2999999999999999E-2</c:v>
                </c:pt>
                <c:pt idx="223">
                  <c:v>5.0999999999999997E-2</c:v>
                </c:pt>
                <c:pt idx="224">
                  <c:v>5.0999999999999997E-2</c:v>
                </c:pt>
                <c:pt idx="225">
                  <c:v>0.14699999999999999</c:v>
                </c:pt>
                <c:pt idx="226">
                  <c:v>0.13100000000000001</c:v>
                </c:pt>
                <c:pt idx="227">
                  <c:v>6.7000000000000004E-2</c:v>
                </c:pt>
                <c:pt idx="228">
                  <c:v>0.123</c:v>
                </c:pt>
                <c:pt idx="229">
                  <c:v>0.189</c:v>
                </c:pt>
                <c:pt idx="230">
                  <c:v>0.14799999999999999</c:v>
                </c:pt>
                <c:pt idx="231">
                  <c:v>0.109</c:v>
                </c:pt>
                <c:pt idx="232">
                  <c:v>0.11600000000000001</c:v>
                </c:pt>
                <c:pt idx="233">
                  <c:v>0.187</c:v>
                </c:pt>
                <c:pt idx="234">
                  <c:v>0.10199999999999999</c:v>
                </c:pt>
                <c:pt idx="235">
                  <c:v>6.8000000000000005E-2</c:v>
                </c:pt>
                <c:pt idx="236">
                  <c:v>0.126</c:v>
                </c:pt>
                <c:pt idx="237">
                  <c:v>0.17199999999999999</c:v>
                </c:pt>
                <c:pt idx="238">
                  <c:v>0.23499999999999999</c:v>
                </c:pt>
                <c:pt idx="239">
                  <c:v>0.13</c:v>
                </c:pt>
                <c:pt idx="240">
                  <c:v>8.5999999999999993E-2</c:v>
                </c:pt>
                <c:pt idx="241">
                  <c:v>9.5000000000000001E-2</c:v>
                </c:pt>
                <c:pt idx="242">
                  <c:v>0.13600000000000001</c:v>
                </c:pt>
                <c:pt idx="243">
                  <c:v>0.23799999999999999</c:v>
                </c:pt>
                <c:pt idx="244">
                  <c:v>0.17499999999999999</c:v>
                </c:pt>
                <c:pt idx="245">
                  <c:v>0.16700000000000001</c:v>
                </c:pt>
                <c:pt idx="246">
                  <c:v>0.26300000000000001</c:v>
                </c:pt>
                <c:pt idx="247">
                  <c:v>0.151</c:v>
                </c:pt>
                <c:pt idx="248">
                  <c:v>0.11</c:v>
                </c:pt>
                <c:pt idx="249">
                  <c:v>0.107</c:v>
                </c:pt>
                <c:pt idx="250">
                  <c:v>0.14299999999999999</c:v>
                </c:pt>
                <c:pt idx="251">
                  <c:v>0.20300000000000001</c:v>
                </c:pt>
                <c:pt idx="252">
                  <c:v>0.22500000000000001</c:v>
                </c:pt>
                <c:pt idx="253">
                  <c:v>0.122</c:v>
                </c:pt>
                <c:pt idx="254">
                  <c:v>5.2999999999999999E-2</c:v>
                </c:pt>
                <c:pt idx="255">
                  <c:v>3.4000000000000002E-2</c:v>
                </c:pt>
                <c:pt idx="256">
                  <c:v>0.17299999999999999</c:v>
                </c:pt>
                <c:pt idx="257">
                  <c:v>0.19700000000000001</c:v>
                </c:pt>
                <c:pt idx="258">
                  <c:v>0.20499999999999999</c:v>
                </c:pt>
                <c:pt idx="259">
                  <c:v>0.14000000000000001</c:v>
                </c:pt>
                <c:pt idx="260">
                  <c:v>7.8E-2</c:v>
                </c:pt>
                <c:pt idx="261">
                  <c:v>4.0000000000000001E-3</c:v>
                </c:pt>
                <c:pt idx="262">
                  <c:v>0.216</c:v>
                </c:pt>
                <c:pt idx="263">
                  <c:v>5.7000000000000002E-2</c:v>
                </c:pt>
                <c:pt idx="264">
                  <c:v>0.126</c:v>
                </c:pt>
                <c:pt idx="265">
                  <c:v>0.19600000000000001</c:v>
                </c:pt>
                <c:pt idx="266">
                  <c:v>0.184</c:v>
                </c:pt>
                <c:pt idx="267">
                  <c:v>0.107</c:v>
                </c:pt>
                <c:pt idx="268">
                  <c:v>0</c:v>
                </c:pt>
                <c:pt idx="269">
                  <c:v>0.154</c:v>
                </c:pt>
                <c:pt idx="270">
                  <c:v>0.13400000000000001</c:v>
                </c:pt>
                <c:pt idx="271">
                  <c:v>0.17399999999999999</c:v>
                </c:pt>
                <c:pt idx="272">
                  <c:v>0.13900000000000001</c:v>
                </c:pt>
                <c:pt idx="273">
                  <c:v>0.16400000000000001</c:v>
                </c:pt>
                <c:pt idx="274">
                  <c:v>0.13500000000000001</c:v>
                </c:pt>
                <c:pt idx="275">
                  <c:v>0.13500000000000001</c:v>
                </c:pt>
                <c:pt idx="276">
                  <c:v>0.115</c:v>
                </c:pt>
                <c:pt idx="277">
                  <c:v>0.151</c:v>
                </c:pt>
                <c:pt idx="278">
                  <c:v>0.12</c:v>
                </c:pt>
                <c:pt idx="279">
                  <c:v>0.13800000000000001</c:v>
                </c:pt>
                <c:pt idx="280">
                  <c:v>0.112</c:v>
                </c:pt>
                <c:pt idx="281">
                  <c:v>0.3</c:v>
                </c:pt>
                <c:pt idx="282">
                  <c:v>0</c:v>
                </c:pt>
                <c:pt idx="283">
                  <c:v>0.114</c:v>
                </c:pt>
                <c:pt idx="284">
                  <c:v>0.155</c:v>
                </c:pt>
                <c:pt idx="285">
                  <c:v>0.22</c:v>
                </c:pt>
                <c:pt idx="286">
                  <c:v>0.13400000000000001</c:v>
                </c:pt>
                <c:pt idx="287">
                  <c:v>0.13400000000000001</c:v>
                </c:pt>
                <c:pt idx="288">
                  <c:v>6.6000000000000003E-2</c:v>
                </c:pt>
                <c:pt idx="289">
                  <c:v>0.192</c:v>
                </c:pt>
                <c:pt idx="290">
                  <c:v>0.14599999999999999</c:v>
                </c:pt>
                <c:pt idx="291">
                  <c:v>0.156</c:v>
                </c:pt>
                <c:pt idx="292">
                  <c:v>0.20699999999999999</c:v>
                </c:pt>
                <c:pt idx="293">
                  <c:v>5.8999999999999997E-2</c:v>
                </c:pt>
                <c:pt idx="294">
                  <c:v>0.08</c:v>
                </c:pt>
                <c:pt idx="295">
                  <c:v>0.113</c:v>
                </c:pt>
                <c:pt idx="296">
                  <c:v>0.16900000000000001</c:v>
                </c:pt>
                <c:pt idx="297">
                  <c:v>0.108</c:v>
                </c:pt>
                <c:pt idx="298">
                  <c:v>0.11899999999999999</c:v>
                </c:pt>
                <c:pt idx="299">
                  <c:v>0</c:v>
                </c:pt>
                <c:pt idx="300">
                  <c:v>5.6000000000000001E-2</c:v>
                </c:pt>
                <c:pt idx="301">
                  <c:v>0.19400000000000001</c:v>
                </c:pt>
                <c:pt idx="302">
                  <c:v>0.129</c:v>
                </c:pt>
                <c:pt idx="303">
                  <c:v>0.17399999999999999</c:v>
                </c:pt>
                <c:pt idx="304">
                  <c:v>0.08</c:v>
                </c:pt>
                <c:pt idx="305">
                  <c:v>3.7999999999999999E-2</c:v>
                </c:pt>
                <c:pt idx="306">
                  <c:v>0.1</c:v>
                </c:pt>
                <c:pt idx="307">
                  <c:v>0.17599999999999999</c:v>
                </c:pt>
                <c:pt idx="308">
                  <c:v>0.153</c:v>
                </c:pt>
                <c:pt idx="309">
                  <c:v>8.8999999999999996E-2</c:v>
                </c:pt>
                <c:pt idx="310">
                  <c:v>0.185</c:v>
                </c:pt>
                <c:pt idx="311">
                  <c:v>4.4999999999999998E-2</c:v>
                </c:pt>
                <c:pt idx="312">
                  <c:v>8.7999999999999995E-2</c:v>
                </c:pt>
                <c:pt idx="313">
                  <c:v>0</c:v>
                </c:pt>
                <c:pt idx="314">
                  <c:v>3.1E-2</c:v>
                </c:pt>
                <c:pt idx="315">
                  <c:v>0.09</c:v>
                </c:pt>
                <c:pt idx="316">
                  <c:v>0.14099999999999999</c:v>
                </c:pt>
                <c:pt idx="317">
                  <c:v>7.4999999999999997E-2</c:v>
                </c:pt>
                <c:pt idx="318">
                  <c:v>1.4E-2</c:v>
                </c:pt>
                <c:pt idx="319">
                  <c:v>0.151</c:v>
                </c:pt>
                <c:pt idx="320">
                  <c:v>7.5999999999999998E-2</c:v>
                </c:pt>
                <c:pt idx="321">
                  <c:v>0.215</c:v>
                </c:pt>
                <c:pt idx="322">
                  <c:v>0.10299999999999999</c:v>
                </c:pt>
                <c:pt idx="323">
                  <c:v>0.17599999999999999</c:v>
                </c:pt>
                <c:pt idx="324">
                  <c:v>5.0999999999999997E-2</c:v>
                </c:pt>
                <c:pt idx="325">
                  <c:v>0.121</c:v>
                </c:pt>
                <c:pt idx="326">
                  <c:v>4.2000000000000003E-2</c:v>
                </c:pt>
                <c:pt idx="327">
                  <c:v>0.109</c:v>
                </c:pt>
                <c:pt idx="328">
                  <c:v>0.3</c:v>
                </c:pt>
                <c:pt idx="329">
                  <c:v>0.2</c:v>
                </c:pt>
                <c:pt idx="330">
                  <c:v>6.5000000000000002E-2</c:v>
                </c:pt>
                <c:pt idx="331">
                  <c:v>0.23899999999999999</c:v>
                </c:pt>
                <c:pt idx="332">
                  <c:v>0.27</c:v>
                </c:pt>
                <c:pt idx="333">
                  <c:v>2.8000000000000001E-2</c:v>
                </c:pt>
                <c:pt idx="334">
                  <c:v>0.14499999999999999</c:v>
                </c:pt>
                <c:pt idx="335">
                  <c:v>0.158</c:v>
                </c:pt>
                <c:pt idx="336">
                  <c:v>6.6000000000000003E-2</c:v>
                </c:pt>
                <c:pt idx="337">
                  <c:v>0.21</c:v>
                </c:pt>
                <c:pt idx="338">
                  <c:v>0.24</c:v>
                </c:pt>
                <c:pt idx="339">
                  <c:v>0.29899999999999999</c:v>
                </c:pt>
                <c:pt idx="340">
                  <c:v>0.3</c:v>
                </c:pt>
                <c:pt idx="341">
                  <c:v>0.28199999999999997</c:v>
                </c:pt>
                <c:pt idx="342">
                  <c:v>0</c:v>
                </c:pt>
                <c:pt idx="343">
                  <c:v>0.26100000000000001</c:v>
                </c:pt>
                <c:pt idx="344">
                  <c:v>7.0999999999999994E-2</c:v>
                </c:pt>
                <c:pt idx="345">
                  <c:v>0.02</c:v>
                </c:pt>
                <c:pt idx="346">
                  <c:v>0.10299999999999999</c:v>
                </c:pt>
                <c:pt idx="347">
                  <c:v>0</c:v>
                </c:pt>
                <c:pt idx="348">
                  <c:v>0.14399999999999999</c:v>
                </c:pt>
                <c:pt idx="349">
                  <c:v>0.113</c:v>
                </c:pt>
                <c:pt idx="350">
                  <c:v>0.188</c:v>
                </c:pt>
                <c:pt idx="351">
                  <c:v>0.113</c:v>
                </c:pt>
                <c:pt idx="352">
                  <c:v>3.9E-2</c:v>
                </c:pt>
                <c:pt idx="353">
                  <c:v>0.17899999999999999</c:v>
                </c:pt>
                <c:pt idx="354">
                  <c:v>0.128</c:v>
                </c:pt>
                <c:pt idx="355">
                  <c:v>0.16700000000000001</c:v>
                </c:pt>
                <c:pt idx="356">
                  <c:v>0</c:v>
                </c:pt>
                <c:pt idx="357">
                  <c:v>0.17</c:v>
                </c:pt>
                <c:pt idx="358">
                  <c:v>0</c:v>
                </c:pt>
                <c:pt idx="359">
                  <c:v>0.17599999999999999</c:v>
                </c:pt>
                <c:pt idx="360">
                  <c:v>0.11</c:v>
                </c:pt>
                <c:pt idx="361">
                  <c:v>7.8E-2</c:v>
                </c:pt>
                <c:pt idx="362">
                  <c:v>1.4E-2</c:v>
                </c:pt>
                <c:pt idx="363">
                  <c:v>0.27200000000000002</c:v>
                </c:pt>
                <c:pt idx="364">
                  <c:v>0.13200000000000001</c:v>
                </c:pt>
                <c:pt idx="365">
                  <c:v>8.9999999999999993E-3</c:v>
                </c:pt>
                <c:pt idx="366">
                  <c:v>0.192</c:v>
                </c:pt>
                <c:pt idx="367">
                  <c:v>0.105</c:v>
                </c:pt>
                <c:pt idx="368">
                  <c:v>0.106</c:v>
                </c:pt>
                <c:pt idx="369">
                  <c:v>0.115</c:v>
                </c:pt>
                <c:pt idx="370">
                  <c:v>5.8000000000000003E-2</c:v>
                </c:pt>
                <c:pt idx="371">
                  <c:v>0</c:v>
                </c:pt>
                <c:pt idx="372">
                  <c:v>0.107</c:v>
                </c:pt>
                <c:pt idx="373">
                  <c:v>3.4000000000000002E-2</c:v>
                </c:pt>
                <c:pt idx="374">
                  <c:v>0.25600000000000001</c:v>
                </c:pt>
                <c:pt idx="375">
                  <c:v>6.3E-2</c:v>
                </c:pt>
                <c:pt idx="376">
                  <c:v>9.9000000000000005E-2</c:v>
                </c:pt>
                <c:pt idx="377">
                  <c:v>0.13900000000000001</c:v>
                </c:pt>
                <c:pt idx="378">
                  <c:v>9.1999999999999998E-2</c:v>
                </c:pt>
                <c:pt idx="379">
                  <c:v>3.2000000000000001E-2</c:v>
                </c:pt>
                <c:pt idx="380">
                  <c:v>0.16300000000000001</c:v>
                </c:pt>
                <c:pt idx="381">
                  <c:v>0.17599999999999999</c:v>
                </c:pt>
                <c:pt idx="382">
                  <c:v>7.8E-2</c:v>
                </c:pt>
                <c:pt idx="383">
                  <c:v>0.09</c:v>
                </c:pt>
                <c:pt idx="384">
                  <c:v>5.8000000000000003E-2</c:v>
                </c:pt>
                <c:pt idx="385">
                  <c:v>0.19</c:v>
                </c:pt>
                <c:pt idx="386">
                  <c:v>0.104</c:v>
                </c:pt>
                <c:pt idx="387">
                  <c:v>0.127</c:v>
                </c:pt>
                <c:pt idx="388">
                  <c:v>0.14699999999999999</c:v>
                </c:pt>
                <c:pt idx="389">
                  <c:v>7.1999999999999995E-2</c:v>
                </c:pt>
                <c:pt idx="390">
                  <c:v>8.9999999999999993E-3</c:v>
                </c:pt>
                <c:pt idx="391">
                  <c:v>0.105</c:v>
                </c:pt>
                <c:pt idx="392">
                  <c:v>0.3</c:v>
                </c:pt>
                <c:pt idx="393">
                  <c:v>0.254</c:v>
                </c:pt>
                <c:pt idx="394">
                  <c:v>0.14799999999999999</c:v>
                </c:pt>
                <c:pt idx="395">
                  <c:v>9.8000000000000004E-2</c:v>
                </c:pt>
                <c:pt idx="396">
                  <c:v>0.10299999999999999</c:v>
                </c:pt>
                <c:pt idx="397">
                  <c:v>0.24099999999999999</c:v>
                </c:pt>
                <c:pt idx="398">
                  <c:v>8.3000000000000004E-2</c:v>
                </c:pt>
                <c:pt idx="399">
                  <c:v>0.122</c:v>
                </c:pt>
                <c:pt idx="400">
                  <c:v>2.5000000000000001E-2</c:v>
                </c:pt>
                <c:pt idx="401">
                  <c:v>0.18</c:v>
                </c:pt>
                <c:pt idx="402">
                  <c:v>0.106</c:v>
                </c:pt>
                <c:pt idx="403">
                  <c:v>0.126</c:v>
                </c:pt>
                <c:pt idx="404">
                  <c:v>0.111</c:v>
                </c:pt>
                <c:pt idx="405">
                  <c:v>6.4000000000000001E-2</c:v>
                </c:pt>
                <c:pt idx="406">
                  <c:v>7.6999999999999999E-2</c:v>
                </c:pt>
                <c:pt idx="407">
                  <c:v>0.13800000000000001</c:v>
                </c:pt>
                <c:pt idx="408">
                  <c:v>0.19600000000000001</c:v>
                </c:pt>
                <c:pt idx="409">
                  <c:v>0</c:v>
                </c:pt>
                <c:pt idx="410">
                  <c:v>0.24099999999999999</c:v>
                </c:pt>
                <c:pt idx="411">
                  <c:v>0.23899999999999999</c:v>
                </c:pt>
                <c:pt idx="412">
                  <c:v>0.112</c:v>
                </c:pt>
                <c:pt idx="413">
                  <c:v>8.3000000000000004E-2</c:v>
                </c:pt>
                <c:pt idx="414">
                  <c:v>7.1999999999999995E-2</c:v>
                </c:pt>
                <c:pt idx="415">
                  <c:v>3.2000000000000001E-2</c:v>
                </c:pt>
                <c:pt idx="416">
                  <c:v>0.245</c:v>
                </c:pt>
                <c:pt idx="417">
                  <c:v>0.09</c:v>
                </c:pt>
                <c:pt idx="418">
                  <c:v>0.217</c:v>
                </c:pt>
                <c:pt idx="419">
                  <c:v>0.22600000000000001</c:v>
                </c:pt>
                <c:pt idx="420">
                  <c:v>0.151</c:v>
                </c:pt>
                <c:pt idx="421">
                  <c:v>1.9E-2</c:v>
                </c:pt>
                <c:pt idx="422">
                  <c:v>0.157</c:v>
                </c:pt>
                <c:pt idx="423">
                  <c:v>0.16800000000000001</c:v>
                </c:pt>
                <c:pt idx="424">
                  <c:v>0.24299999999999999</c:v>
                </c:pt>
                <c:pt idx="425">
                  <c:v>0.17299999999999999</c:v>
                </c:pt>
                <c:pt idx="426">
                  <c:v>0.25</c:v>
                </c:pt>
                <c:pt idx="427">
                  <c:v>0.3</c:v>
                </c:pt>
                <c:pt idx="428">
                  <c:v>0</c:v>
                </c:pt>
                <c:pt idx="429">
                  <c:v>0.17499999999999999</c:v>
                </c:pt>
                <c:pt idx="430">
                  <c:v>0.115</c:v>
                </c:pt>
                <c:pt idx="431">
                  <c:v>0</c:v>
                </c:pt>
                <c:pt idx="432">
                  <c:v>5.6000000000000001E-2</c:v>
                </c:pt>
                <c:pt idx="433">
                  <c:v>5.8999999999999997E-2</c:v>
                </c:pt>
                <c:pt idx="434">
                  <c:v>0.214</c:v>
                </c:pt>
                <c:pt idx="435">
                  <c:v>0</c:v>
                </c:pt>
                <c:pt idx="436">
                  <c:v>0.113</c:v>
                </c:pt>
                <c:pt idx="437">
                  <c:v>0.14699999999999999</c:v>
                </c:pt>
                <c:pt idx="438">
                  <c:v>0.17399999999999999</c:v>
                </c:pt>
                <c:pt idx="439">
                  <c:v>4.1000000000000002E-2</c:v>
                </c:pt>
                <c:pt idx="440">
                  <c:v>0.15</c:v>
                </c:pt>
                <c:pt idx="441">
                  <c:v>0.14799999999999999</c:v>
                </c:pt>
                <c:pt idx="442">
                  <c:v>0.157</c:v>
                </c:pt>
                <c:pt idx="443">
                  <c:v>4.2999999999999997E-2</c:v>
                </c:pt>
                <c:pt idx="444">
                  <c:v>0</c:v>
                </c:pt>
                <c:pt idx="445">
                  <c:v>2.8000000000000001E-2</c:v>
                </c:pt>
                <c:pt idx="446">
                  <c:v>7.3999999999999996E-2</c:v>
                </c:pt>
                <c:pt idx="447">
                  <c:v>0.29299999999999998</c:v>
                </c:pt>
                <c:pt idx="448">
                  <c:v>0.104</c:v>
                </c:pt>
                <c:pt idx="449">
                  <c:v>0.216</c:v>
                </c:pt>
                <c:pt idx="450">
                  <c:v>0.16500000000000001</c:v>
                </c:pt>
                <c:pt idx="451">
                  <c:v>6.6000000000000003E-2</c:v>
                </c:pt>
                <c:pt idx="452">
                  <c:v>7.0999999999999994E-2</c:v>
                </c:pt>
                <c:pt idx="453">
                  <c:v>0.115</c:v>
                </c:pt>
                <c:pt idx="454">
                  <c:v>1.7000000000000001E-2</c:v>
                </c:pt>
                <c:pt idx="455">
                  <c:v>0.111</c:v>
                </c:pt>
                <c:pt idx="456">
                  <c:v>0</c:v>
                </c:pt>
                <c:pt idx="457">
                  <c:v>0.13600000000000001</c:v>
                </c:pt>
                <c:pt idx="458">
                  <c:v>0.125</c:v>
                </c:pt>
                <c:pt idx="459">
                  <c:v>0</c:v>
                </c:pt>
                <c:pt idx="460">
                  <c:v>0.107</c:v>
                </c:pt>
                <c:pt idx="461">
                  <c:v>0.129</c:v>
                </c:pt>
                <c:pt idx="462">
                  <c:v>0.152</c:v>
                </c:pt>
                <c:pt idx="463">
                  <c:v>0.124</c:v>
                </c:pt>
                <c:pt idx="464">
                  <c:v>0.25700000000000001</c:v>
                </c:pt>
                <c:pt idx="465">
                  <c:v>0.21099999999999999</c:v>
                </c:pt>
                <c:pt idx="466">
                  <c:v>0.22900000000000001</c:v>
                </c:pt>
                <c:pt idx="467">
                  <c:v>7.0999999999999994E-2</c:v>
                </c:pt>
                <c:pt idx="468">
                  <c:v>0.23</c:v>
                </c:pt>
                <c:pt idx="469">
                  <c:v>4.5999999999999999E-2</c:v>
                </c:pt>
                <c:pt idx="470">
                  <c:v>4.9000000000000002E-2</c:v>
                </c:pt>
                <c:pt idx="471">
                  <c:v>0.13800000000000001</c:v>
                </c:pt>
                <c:pt idx="472">
                  <c:v>7.3999999999999996E-2</c:v>
                </c:pt>
                <c:pt idx="473">
                  <c:v>0.126</c:v>
                </c:pt>
                <c:pt idx="474">
                  <c:v>0.20499999999999999</c:v>
                </c:pt>
                <c:pt idx="475">
                  <c:v>4.2000000000000003E-2</c:v>
                </c:pt>
                <c:pt idx="476">
                  <c:v>8.8999999999999996E-2</c:v>
                </c:pt>
                <c:pt idx="477">
                  <c:v>0.16500000000000001</c:v>
                </c:pt>
                <c:pt idx="478">
                  <c:v>0.216</c:v>
                </c:pt>
                <c:pt idx="479">
                  <c:v>0.02</c:v>
                </c:pt>
                <c:pt idx="480">
                  <c:v>7.5999999999999998E-2</c:v>
                </c:pt>
                <c:pt idx="481">
                  <c:v>9.0999999999999998E-2</c:v>
                </c:pt>
                <c:pt idx="482">
                  <c:v>0.13200000000000001</c:v>
                </c:pt>
                <c:pt idx="483">
                  <c:v>5.2999999999999999E-2</c:v>
                </c:pt>
                <c:pt idx="484">
                  <c:v>0.123</c:v>
                </c:pt>
                <c:pt idx="485">
                  <c:v>9.1999999999999998E-2</c:v>
                </c:pt>
                <c:pt idx="486">
                  <c:v>0.222</c:v>
                </c:pt>
                <c:pt idx="487">
                  <c:v>7.3999999999999996E-2</c:v>
                </c:pt>
                <c:pt idx="488">
                  <c:v>0.19700000000000001</c:v>
                </c:pt>
                <c:pt idx="489">
                  <c:v>0.13500000000000001</c:v>
                </c:pt>
                <c:pt idx="490">
                  <c:v>0</c:v>
                </c:pt>
                <c:pt idx="491">
                  <c:v>0</c:v>
                </c:pt>
                <c:pt idx="492">
                  <c:v>8.3000000000000004E-2</c:v>
                </c:pt>
                <c:pt idx="493">
                  <c:v>0.13200000000000001</c:v>
                </c:pt>
                <c:pt idx="494">
                  <c:v>4.2000000000000003E-2</c:v>
                </c:pt>
                <c:pt idx="495">
                  <c:v>0.113</c:v>
                </c:pt>
                <c:pt idx="496">
                  <c:v>0.14199999999999999</c:v>
                </c:pt>
                <c:pt idx="497">
                  <c:v>4.2000000000000003E-2</c:v>
                </c:pt>
                <c:pt idx="498">
                  <c:v>5.7000000000000002E-2</c:v>
                </c:pt>
                <c:pt idx="499">
                  <c:v>0.218</c:v>
                </c:pt>
                <c:pt idx="500">
                  <c:v>4.1000000000000002E-2</c:v>
                </c:pt>
                <c:pt idx="501">
                  <c:v>0.16700000000000001</c:v>
                </c:pt>
                <c:pt idx="502">
                  <c:v>6.9000000000000006E-2</c:v>
                </c:pt>
                <c:pt idx="503">
                  <c:v>0.10100000000000001</c:v>
                </c:pt>
                <c:pt idx="504">
                  <c:v>7.0000000000000007E-2</c:v>
                </c:pt>
                <c:pt idx="505">
                  <c:v>0.123</c:v>
                </c:pt>
                <c:pt idx="506">
                  <c:v>0.23499999999999999</c:v>
                </c:pt>
                <c:pt idx="507">
                  <c:v>0.02</c:v>
                </c:pt>
                <c:pt idx="508">
                  <c:v>9.8000000000000004E-2</c:v>
                </c:pt>
                <c:pt idx="509">
                  <c:v>0.108</c:v>
                </c:pt>
                <c:pt idx="510">
                  <c:v>0.20899999999999999</c:v>
                </c:pt>
                <c:pt idx="511">
                  <c:v>0.11899999999999999</c:v>
                </c:pt>
                <c:pt idx="512">
                  <c:v>0.14599999999999999</c:v>
                </c:pt>
                <c:pt idx="513">
                  <c:v>3.2000000000000001E-2</c:v>
                </c:pt>
                <c:pt idx="514">
                  <c:v>0</c:v>
                </c:pt>
                <c:pt idx="515">
                  <c:v>0</c:v>
                </c:pt>
                <c:pt idx="516">
                  <c:v>0.157</c:v>
                </c:pt>
                <c:pt idx="517">
                  <c:v>0.107</c:v>
                </c:pt>
                <c:pt idx="518">
                  <c:v>0.13800000000000001</c:v>
                </c:pt>
                <c:pt idx="519">
                  <c:v>4.9000000000000002E-2</c:v>
                </c:pt>
                <c:pt idx="520">
                  <c:v>0.18</c:v>
                </c:pt>
                <c:pt idx="521">
                  <c:v>0.1</c:v>
                </c:pt>
                <c:pt idx="522">
                  <c:v>0</c:v>
                </c:pt>
                <c:pt idx="523">
                  <c:v>9.4E-2</c:v>
                </c:pt>
                <c:pt idx="524">
                  <c:v>0.17</c:v>
                </c:pt>
                <c:pt idx="525">
                  <c:v>0.22500000000000001</c:v>
                </c:pt>
                <c:pt idx="526">
                  <c:v>0.13500000000000001</c:v>
                </c:pt>
                <c:pt idx="527">
                  <c:v>0</c:v>
                </c:pt>
                <c:pt idx="528">
                  <c:v>5.8999999999999997E-2</c:v>
                </c:pt>
                <c:pt idx="529">
                  <c:v>0</c:v>
                </c:pt>
                <c:pt idx="530">
                  <c:v>3.7999999999999999E-2</c:v>
                </c:pt>
                <c:pt idx="531">
                  <c:v>0.122</c:v>
                </c:pt>
                <c:pt idx="532">
                  <c:v>0.114</c:v>
                </c:pt>
                <c:pt idx="533">
                  <c:v>6.6000000000000003E-2</c:v>
                </c:pt>
                <c:pt idx="534">
                  <c:v>0.248</c:v>
                </c:pt>
                <c:pt idx="535">
                  <c:v>0.19</c:v>
                </c:pt>
                <c:pt idx="536">
                  <c:v>0.14899999999999999</c:v>
                </c:pt>
                <c:pt idx="537">
                  <c:v>8.6999999999999994E-2</c:v>
                </c:pt>
                <c:pt idx="538">
                  <c:v>4.3999999999999997E-2</c:v>
                </c:pt>
                <c:pt idx="539">
                  <c:v>0.107</c:v>
                </c:pt>
                <c:pt idx="540">
                  <c:v>8.8999999999999996E-2</c:v>
                </c:pt>
                <c:pt idx="541">
                  <c:v>0</c:v>
                </c:pt>
                <c:pt idx="542">
                  <c:v>0.13300000000000001</c:v>
                </c:pt>
                <c:pt idx="543">
                  <c:v>5.8999999999999997E-2</c:v>
                </c:pt>
                <c:pt idx="544">
                  <c:v>0.115</c:v>
                </c:pt>
                <c:pt idx="545">
                  <c:v>0.21199999999999999</c:v>
                </c:pt>
                <c:pt idx="546">
                  <c:v>0.23699999999999999</c:v>
                </c:pt>
                <c:pt idx="547">
                  <c:v>0.20799999999999999</c:v>
                </c:pt>
                <c:pt idx="548">
                  <c:v>0.123</c:v>
                </c:pt>
                <c:pt idx="549">
                  <c:v>0.17499999999999999</c:v>
                </c:pt>
                <c:pt idx="550">
                  <c:v>0.17</c:v>
                </c:pt>
                <c:pt idx="551">
                  <c:v>0.21199999999999999</c:v>
                </c:pt>
                <c:pt idx="552">
                  <c:v>0.157</c:v>
                </c:pt>
                <c:pt idx="553">
                  <c:v>4.2000000000000003E-2</c:v>
                </c:pt>
                <c:pt idx="554">
                  <c:v>8.6999999999999994E-2</c:v>
                </c:pt>
                <c:pt idx="555">
                  <c:v>0.125</c:v>
                </c:pt>
                <c:pt idx="556">
                  <c:v>0</c:v>
                </c:pt>
                <c:pt idx="557">
                  <c:v>5.3999999999999999E-2</c:v>
                </c:pt>
                <c:pt idx="558">
                  <c:v>0.21099999999999999</c:v>
                </c:pt>
                <c:pt idx="559">
                  <c:v>0.122</c:v>
                </c:pt>
                <c:pt idx="560">
                  <c:v>0.12</c:v>
                </c:pt>
                <c:pt idx="561">
                  <c:v>0.14499999999999999</c:v>
                </c:pt>
                <c:pt idx="562">
                  <c:v>5.5E-2</c:v>
                </c:pt>
                <c:pt idx="563">
                  <c:v>0.13700000000000001</c:v>
                </c:pt>
                <c:pt idx="564">
                  <c:v>6.8000000000000005E-2</c:v>
                </c:pt>
                <c:pt idx="565">
                  <c:v>0.14299999999999999</c:v>
                </c:pt>
                <c:pt idx="566">
                  <c:v>0.126</c:v>
                </c:pt>
                <c:pt idx="567">
                  <c:v>9.1999999999999998E-2</c:v>
                </c:pt>
                <c:pt idx="568">
                  <c:v>0.19700000000000001</c:v>
                </c:pt>
                <c:pt idx="569">
                  <c:v>0</c:v>
                </c:pt>
                <c:pt idx="570">
                  <c:v>2.9000000000000001E-2</c:v>
                </c:pt>
                <c:pt idx="571">
                  <c:v>8.2000000000000003E-2</c:v>
                </c:pt>
                <c:pt idx="572">
                  <c:v>6.4000000000000001E-2</c:v>
                </c:pt>
                <c:pt idx="573">
                  <c:v>0.20699999999999999</c:v>
                </c:pt>
                <c:pt idx="574">
                  <c:v>5.6000000000000001E-2</c:v>
                </c:pt>
                <c:pt idx="575">
                  <c:v>0.121</c:v>
                </c:pt>
                <c:pt idx="576">
                  <c:v>7.1999999999999995E-2</c:v>
                </c:pt>
                <c:pt idx="577">
                  <c:v>7.1999999999999995E-2</c:v>
                </c:pt>
                <c:pt idx="578">
                  <c:v>0.13500000000000001</c:v>
                </c:pt>
                <c:pt idx="579">
                  <c:v>6.7000000000000004E-2</c:v>
                </c:pt>
                <c:pt idx="580">
                  <c:v>0.13200000000000001</c:v>
                </c:pt>
                <c:pt idx="581">
                  <c:v>0.01</c:v>
                </c:pt>
                <c:pt idx="582">
                  <c:v>0.22600000000000001</c:v>
                </c:pt>
                <c:pt idx="583">
                  <c:v>0.16300000000000001</c:v>
                </c:pt>
                <c:pt idx="584">
                  <c:v>0.14099999999999999</c:v>
                </c:pt>
                <c:pt idx="585">
                  <c:v>4.1000000000000002E-2</c:v>
                </c:pt>
                <c:pt idx="586">
                  <c:v>0</c:v>
                </c:pt>
                <c:pt idx="587">
                  <c:v>9.2999999999999999E-2</c:v>
                </c:pt>
                <c:pt idx="588">
                  <c:v>0.10299999999999999</c:v>
                </c:pt>
                <c:pt idx="589">
                  <c:v>8.7999999999999995E-2</c:v>
                </c:pt>
                <c:pt idx="590">
                  <c:v>0</c:v>
                </c:pt>
                <c:pt idx="591">
                  <c:v>0.17399999999999999</c:v>
                </c:pt>
                <c:pt idx="592">
                  <c:v>0.14599999999999999</c:v>
                </c:pt>
                <c:pt idx="593">
                  <c:v>0.192</c:v>
                </c:pt>
                <c:pt idx="594">
                  <c:v>0.08</c:v>
                </c:pt>
                <c:pt idx="595">
                  <c:v>7.2999999999999995E-2</c:v>
                </c:pt>
                <c:pt idx="596">
                  <c:v>4.2999999999999997E-2</c:v>
                </c:pt>
                <c:pt idx="597">
                  <c:v>0.14000000000000001</c:v>
                </c:pt>
                <c:pt idx="598">
                  <c:v>0.187</c:v>
                </c:pt>
                <c:pt idx="599">
                  <c:v>0.13300000000000001</c:v>
                </c:pt>
                <c:pt idx="600">
                  <c:v>8.9999999999999993E-3</c:v>
                </c:pt>
                <c:pt idx="601">
                  <c:v>0.16</c:v>
                </c:pt>
                <c:pt idx="602">
                  <c:v>7.0999999999999994E-2</c:v>
                </c:pt>
                <c:pt idx="603">
                  <c:v>0.15</c:v>
                </c:pt>
                <c:pt idx="604">
                  <c:v>0.19</c:v>
                </c:pt>
                <c:pt idx="605">
                  <c:v>0.186</c:v>
                </c:pt>
                <c:pt idx="606">
                  <c:v>0.10299999999999999</c:v>
                </c:pt>
                <c:pt idx="607">
                  <c:v>9.7000000000000003E-2</c:v>
                </c:pt>
                <c:pt idx="608">
                  <c:v>0.16300000000000001</c:v>
                </c:pt>
                <c:pt idx="609">
                  <c:v>0.12</c:v>
                </c:pt>
                <c:pt idx="610">
                  <c:v>0.104</c:v>
                </c:pt>
                <c:pt idx="611">
                  <c:v>0.19400000000000001</c:v>
                </c:pt>
                <c:pt idx="612">
                  <c:v>0</c:v>
                </c:pt>
                <c:pt idx="613">
                  <c:v>2.1999999999999999E-2</c:v>
                </c:pt>
                <c:pt idx="614">
                  <c:v>0.17100000000000001</c:v>
                </c:pt>
                <c:pt idx="615">
                  <c:v>8.1000000000000003E-2</c:v>
                </c:pt>
                <c:pt idx="616">
                  <c:v>4.0000000000000001E-3</c:v>
                </c:pt>
                <c:pt idx="617">
                  <c:v>0.10199999999999999</c:v>
                </c:pt>
                <c:pt idx="618">
                  <c:v>0.109</c:v>
                </c:pt>
                <c:pt idx="619">
                  <c:v>4.7E-2</c:v>
                </c:pt>
                <c:pt idx="620">
                  <c:v>0.16500000000000001</c:v>
                </c:pt>
                <c:pt idx="621">
                  <c:v>0.186</c:v>
                </c:pt>
                <c:pt idx="622">
                  <c:v>0.192</c:v>
                </c:pt>
                <c:pt idx="623">
                  <c:v>0.113</c:v>
                </c:pt>
                <c:pt idx="624">
                  <c:v>0.161</c:v>
                </c:pt>
                <c:pt idx="625">
                  <c:v>0.114</c:v>
                </c:pt>
                <c:pt idx="626">
                  <c:v>0.159</c:v>
                </c:pt>
                <c:pt idx="627">
                  <c:v>0.151</c:v>
                </c:pt>
                <c:pt idx="628">
                  <c:v>0</c:v>
                </c:pt>
                <c:pt idx="629">
                  <c:v>6.2E-2</c:v>
                </c:pt>
                <c:pt idx="630">
                  <c:v>0.13900000000000001</c:v>
                </c:pt>
                <c:pt idx="631">
                  <c:v>0.17299999999999999</c:v>
                </c:pt>
              </c:numCache>
            </c:numRef>
          </c:yVal>
          <c:smooth val="0"/>
          <c:extLst>
            <c:ext xmlns:c16="http://schemas.microsoft.com/office/drawing/2014/chart" uri="{C3380CC4-5D6E-409C-BE32-E72D297353CC}">
              <c16:uniqueId val="{00000000-1DC3-4661-9424-6B8DAD6B3C59}"/>
            </c:ext>
          </c:extLst>
        </c:ser>
        <c:dLbls>
          <c:showLegendKey val="0"/>
          <c:showVal val="0"/>
          <c:showCatName val="0"/>
          <c:showSerName val="0"/>
          <c:showPercent val="0"/>
          <c:showBubbleSize val="0"/>
        </c:dLbls>
        <c:axId val="1256611952"/>
        <c:axId val="1256596720"/>
      </c:scatterChart>
      <c:valAx>
        <c:axId val="1256611952"/>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596720"/>
        <c:crosses val="autoZero"/>
        <c:crossBetween val="midCat"/>
      </c:valAx>
      <c:valAx>
        <c:axId val="12565967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6119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Data!$Z$1</c:f>
              <c:strCache>
                <c:ptCount val="1"/>
                <c:pt idx="0">
                  <c:v>Clean_DiscountPct</c:v>
                </c:pt>
              </c:strCache>
            </c:strRef>
          </c:tx>
          <c:spPr>
            <a:ln w="28575" cap="rnd">
              <a:noFill/>
              <a:round/>
            </a:ln>
            <a:effectLst/>
          </c:spPr>
          <c:marker>
            <c:symbol val="circle"/>
            <c:size val="5"/>
            <c:spPr>
              <a:solidFill>
                <a:schemeClr val="accent1"/>
              </a:solidFill>
              <a:ln w="9525">
                <a:solidFill>
                  <a:schemeClr val="accent1"/>
                </a:solidFill>
              </a:ln>
              <a:effectLst/>
            </c:spPr>
          </c:marker>
          <c:xVal>
            <c:strRef>
              <c:f>Data!$R$2:$R$634</c:f>
              <c:strCache>
                <c:ptCount val="632"/>
                <c:pt idx="0">
                  <c:v>CMP-8270</c:v>
                </c:pt>
                <c:pt idx="1">
                  <c:v>PRN-9322</c:v>
                </c:pt>
                <c:pt idx="2">
                  <c:v>NET-9666</c:v>
                </c:pt>
                <c:pt idx="3">
                  <c:v>PHN-4556</c:v>
                </c:pt>
                <c:pt idx="4">
                  <c:v>PRN-8041</c:v>
                </c:pt>
                <c:pt idx="5">
                  <c:v>LAP-8555</c:v>
                </c:pt>
                <c:pt idx="6">
                  <c:v>MON-8629</c:v>
                </c:pt>
                <c:pt idx="7">
                  <c:v>PRN-6276</c:v>
                </c:pt>
                <c:pt idx="8">
                  <c:v>MON-6892</c:v>
                </c:pt>
                <c:pt idx="9">
                  <c:v>CMP-3731</c:v>
                </c:pt>
                <c:pt idx="10">
                  <c:v>ACC-7938</c:v>
                </c:pt>
                <c:pt idx="11">
                  <c:v>PHN-7019</c:v>
                </c:pt>
                <c:pt idx="12">
                  <c:v>CMP-3693</c:v>
                </c:pt>
                <c:pt idx="13">
                  <c:v>PRN-8392</c:v>
                </c:pt>
                <c:pt idx="14">
                  <c:v>ACC-1663</c:v>
                </c:pt>
                <c:pt idx="15">
                  <c:v>LAP-1698</c:v>
                </c:pt>
                <c:pt idx="16">
                  <c:v>PRN-6791</c:v>
                </c:pt>
                <c:pt idx="17">
                  <c:v>PHN-1197</c:v>
                </c:pt>
                <c:pt idx="18">
                  <c:v>ACC-8098</c:v>
                </c:pt>
                <c:pt idx="19">
                  <c:v>LAP-3385</c:v>
                </c:pt>
                <c:pt idx="20">
                  <c:v>LAP-9815</c:v>
                </c:pt>
                <c:pt idx="21">
                  <c:v>NET-3255</c:v>
                </c:pt>
                <c:pt idx="22">
                  <c:v>ACC-3961</c:v>
                </c:pt>
                <c:pt idx="23">
                  <c:v>LAP-4987</c:v>
                </c:pt>
                <c:pt idx="24">
                  <c:v>CMP-2693</c:v>
                </c:pt>
                <c:pt idx="25">
                  <c:v>ACC-8683</c:v>
                </c:pt>
                <c:pt idx="26">
                  <c:v>PRN-4170</c:v>
                </c:pt>
                <c:pt idx="27">
                  <c:v>PHN-6854</c:v>
                </c:pt>
                <c:pt idx="28">
                  <c:v>PHN-1784</c:v>
                </c:pt>
                <c:pt idx="29">
                  <c:v>NET-9716</c:v>
                </c:pt>
                <c:pt idx="30">
                  <c:v>CMP-6919</c:v>
                </c:pt>
                <c:pt idx="31">
                  <c:v>PHN-4854</c:v>
                </c:pt>
                <c:pt idx="32">
                  <c:v>NET-7966</c:v>
                </c:pt>
                <c:pt idx="33">
                  <c:v>LAP-9932</c:v>
                </c:pt>
                <c:pt idx="34">
                  <c:v>CMP-1559</c:v>
                </c:pt>
                <c:pt idx="35">
                  <c:v>PRN-4506</c:v>
                </c:pt>
                <c:pt idx="36">
                  <c:v>CMP-7617</c:v>
                </c:pt>
                <c:pt idx="37">
                  <c:v>CMP-8390</c:v>
                </c:pt>
                <c:pt idx="38">
                  <c:v>PRN-7303</c:v>
                </c:pt>
                <c:pt idx="39">
                  <c:v>PRN-6536</c:v>
                </c:pt>
                <c:pt idx="40">
                  <c:v>MON-9967</c:v>
                </c:pt>
                <c:pt idx="41">
                  <c:v>NET-1412</c:v>
                </c:pt>
                <c:pt idx="42">
                  <c:v>PRN-3143</c:v>
                </c:pt>
                <c:pt idx="43">
                  <c:v>PRN-9787</c:v>
                </c:pt>
                <c:pt idx="44">
                  <c:v>CMP-5946</c:v>
                </c:pt>
                <c:pt idx="45">
                  <c:v>NET-2062</c:v>
                </c:pt>
                <c:pt idx="46">
                  <c:v>PRN-2542</c:v>
                </c:pt>
                <c:pt idx="47">
                  <c:v>NET-2365</c:v>
                </c:pt>
                <c:pt idx="48">
                  <c:v>NET-5268</c:v>
                </c:pt>
                <c:pt idx="49">
                  <c:v>PRN-1504</c:v>
                </c:pt>
                <c:pt idx="50">
                  <c:v>ACC-6348</c:v>
                </c:pt>
                <c:pt idx="51">
                  <c:v>MON-4330</c:v>
                </c:pt>
                <c:pt idx="52">
                  <c:v>LAP-7819</c:v>
                </c:pt>
                <c:pt idx="53">
                  <c:v>LAP-3779</c:v>
                </c:pt>
                <c:pt idx="54">
                  <c:v>NET-9989</c:v>
                </c:pt>
                <c:pt idx="55">
                  <c:v>MON-4925</c:v>
                </c:pt>
                <c:pt idx="56">
                  <c:v>LAP-6989</c:v>
                </c:pt>
                <c:pt idx="57">
                  <c:v>ACC-5780</c:v>
                </c:pt>
                <c:pt idx="58">
                  <c:v>ACC-1770</c:v>
                </c:pt>
                <c:pt idx="59">
                  <c:v>ACC-2252</c:v>
                </c:pt>
                <c:pt idx="60">
                  <c:v>CMP-8002</c:v>
                </c:pt>
                <c:pt idx="61">
                  <c:v>CMP-6971</c:v>
                </c:pt>
                <c:pt idx="62">
                  <c:v>PHN-8350</c:v>
                </c:pt>
                <c:pt idx="63">
                  <c:v>MON-5188</c:v>
                </c:pt>
                <c:pt idx="64">
                  <c:v>LAP-3393</c:v>
                </c:pt>
                <c:pt idx="65">
                  <c:v>PHN-4644</c:v>
                </c:pt>
                <c:pt idx="66">
                  <c:v>ACC-9150</c:v>
                </c:pt>
                <c:pt idx="67">
                  <c:v>MON-6870</c:v>
                </c:pt>
                <c:pt idx="68">
                  <c:v>MON-2296</c:v>
                </c:pt>
                <c:pt idx="69">
                  <c:v>CMP-7371</c:v>
                </c:pt>
                <c:pt idx="70">
                  <c:v>ACC-2761</c:v>
                </c:pt>
                <c:pt idx="71">
                  <c:v>LAP-4517</c:v>
                </c:pt>
                <c:pt idx="72">
                  <c:v>LAP-8489</c:v>
                </c:pt>
                <c:pt idx="73">
                  <c:v>NET-1846</c:v>
                </c:pt>
                <c:pt idx="74">
                  <c:v>CMP-5208</c:v>
                </c:pt>
                <c:pt idx="75">
                  <c:v>CMP-1009</c:v>
                </c:pt>
                <c:pt idx="76">
                  <c:v>ACC-4490</c:v>
                </c:pt>
                <c:pt idx="77">
                  <c:v>ACC-9162</c:v>
                </c:pt>
                <c:pt idx="78">
                  <c:v>CMP-5820</c:v>
                </c:pt>
                <c:pt idx="79">
                  <c:v>MON-7943</c:v>
                </c:pt>
                <c:pt idx="80">
                  <c:v>NET-5018</c:v>
                </c:pt>
                <c:pt idx="81">
                  <c:v>PRN-9669</c:v>
                </c:pt>
                <c:pt idx="82">
                  <c:v>CMP-2865</c:v>
                </c:pt>
                <c:pt idx="83">
                  <c:v>MON-3371</c:v>
                </c:pt>
                <c:pt idx="84">
                  <c:v>NET-7166</c:v>
                </c:pt>
                <c:pt idx="85">
                  <c:v>CMP-4531</c:v>
                </c:pt>
                <c:pt idx="86">
                  <c:v>CMP-8196</c:v>
                </c:pt>
                <c:pt idx="87">
                  <c:v>CMP-2854</c:v>
                </c:pt>
                <c:pt idx="88">
                  <c:v>MON-8973</c:v>
                </c:pt>
                <c:pt idx="89">
                  <c:v>MON-2990</c:v>
                </c:pt>
                <c:pt idx="90">
                  <c:v>NET-1966</c:v>
                </c:pt>
                <c:pt idx="91">
                  <c:v>PHN-3482</c:v>
                </c:pt>
                <c:pt idx="92">
                  <c:v>PRN-6490</c:v>
                </c:pt>
                <c:pt idx="93">
                  <c:v>ACC-9038</c:v>
                </c:pt>
                <c:pt idx="94">
                  <c:v>PHN-6954</c:v>
                </c:pt>
                <c:pt idx="95">
                  <c:v>PRN-8970</c:v>
                </c:pt>
                <c:pt idx="96">
                  <c:v>MON-1822</c:v>
                </c:pt>
                <c:pt idx="97">
                  <c:v>ACC-5177</c:v>
                </c:pt>
                <c:pt idx="98">
                  <c:v>NET-1804</c:v>
                </c:pt>
                <c:pt idx="99">
                  <c:v>LAP-3679</c:v>
                </c:pt>
                <c:pt idx="100">
                  <c:v>PHN-8368</c:v>
                </c:pt>
                <c:pt idx="101">
                  <c:v>CMP-8141</c:v>
                </c:pt>
                <c:pt idx="102">
                  <c:v>LAP-7136</c:v>
                </c:pt>
                <c:pt idx="103">
                  <c:v>ACC-2386</c:v>
                </c:pt>
                <c:pt idx="104">
                  <c:v>LAP-5150</c:v>
                </c:pt>
                <c:pt idx="105">
                  <c:v>CMP-8101</c:v>
                </c:pt>
                <c:pt idx="106">
                  <c:v>PHN-8970</c:v>
                </c:pt>
                <c:pt idx="107">
                  <c:v>PHN-2341</c:v>
                </c:pt>
                <c:pt idx="108">
                  <c:v>NET-6387</c:v>
                </c:pt>
                <c:pt idx="109">
                  <c:v>ACC-9820</c:v>
                </c:pt>
                <c:pt idx="110">
                  <c:v>CMP-6392</c:v>
                </c:pt>
                <c:pt idx="111">
                  <c:v>LAP-9230</c:v>
                </c:pt>
                <c:pt idx="112">
                  <c:v>NET-4241</c:v>
                </c:pt>
                <c:pt idx="113">
                  <c:v>ACC-4511</c:v>
                </c:pt>
                <c:pt idx="114">
                  <c:v>NET-3033</c:v>
                </c:pt>
                <c:pt idx="115">
                  <c:v>MON-2828</c:v>
                </c:pt>
                <c:pt idx="116">
                  <c:v>PRN-6429</c:v>
                </c:pt>
                <c:pt idx="117">
                  <c:v>LAP-8214</c:v>
                </c:pt>
                <c:pt idx="118">
                  <c:v>MON-9194</c:v>
                </c:pt>
                <c:pt idx="119">
                  <c:v>LAP-2218</c:v>
                </c:pt>
                <c:pt idx="120">
                  <c:v>NET-6370</c:v>
                </c:pt>
                <c:pt idx="121">
                  <c:v>MON-3745</c:v>
                </c:pt>
                <c:pt idx="122">
                  <c:v>PHN-7924</c:v>
                </c:pt>
                <c:pt idx="123">
                  <c:v>NET-8561</c:v>
                </c:pt>
                <c:pt idx="124">
                  <c:v>CMP-2136</c:v>
                </c:pt>
                <c:pt idx="125">
                  <c:v>CMP-6352</c:v>
                </c:pt>
                <c:pt idx="126">
                  <c:v>CMP-2040</c:v>
                </c:pt>
                <c:pt idx="127">
                  <c:v>CMP-6346</c:v>
                </c:pt>
                <c:pt idx="128">
                  <c:v>PHN-4356</c:v>
                </c:pt>
                <c:pt idx="129">
                  <c:v>NET-4155</c:v>
                </c:pt>
                <c:pt idx="130">
                  <c:v>MON-5179</c:v>
                </c:pt>
                <c:pt idx="131">
                  <c:v>ACC-4056</c:v>
                </c:pt>
                <c:pt idx="132">
                  <c:v>LAP-9782</c:v>
                </c:pt>
                <c:pt idx="133">
                  <c:v>PHN-2875</c:v>
                </c:pt>
                <c:pt idx="134">
                  <c:v>PRN-4788</c:v>
                </c:pt>
                <c:pt idx="135">
                  <c:v>MON-3043</c:v>
                </c:pt>
                <c:pt idx="136">
                  <c:v>CMP-3720</c:v>
                </c:pt>
                <c:pt idx="137">
                  <c:v>PHN-8014</c:v>
                </c:pt>
                <c:pt idx="138">
                  <c:v>PRN-4911</c:v>
                </c:pt>
                <c:pt idx="139">
                  <c:v>ACC-1021</c:v>
                </c:pt>
                <c:pt idx="140">
                  <c:v>MON-2266</c:v>
                </c:pt>
                <c:pt idx="141">
                  <c:v>PHN-8057</c:v>
                </c:pt>
                <c:pt idx="142">
                  <c:v>ACC-7078</c:v>
                </c:pt>
                <c:pt idx="143">
                  <c:v>PRN-4453</c:v>
                </c:pt>
                <c:pt idx="144">
                  <c:v>NET-2394</c:v>
                </c:pt>
                <c:pt idx="145">
                  <c:v>LAP-1525</c:v>
                </c:pt>
                <c:pt idx="146">
                  <c:v>LAP-3278</c:v>
                </c:pt>
                <c:pt idx="147">
                  <c:v>ACC-6543</c:v>
                </c:pt>
                <c:pt idx="148">
                  <c:v>PRN-4432</c:v>
                </c:pt>
                <c:pt idx="149">
                  <c:v>PHN-4568</c:v>
                </c:pt>
                <c:pt idx="150">
                  <c:v>PRN-6178</c:v>
                </c:pt>
                <c:pt idx="151">
                  <c:v>LAP-6342</c:v>
                </c:pt>
                <c:pt idx="152">
                  <c:v>PRN-8175</c:v>
                </c:pt>
                <c:pt idx="153">
                  <c:v>PRN-7089</c:v>
                </c:pt>
                <c:pt idx="154">
                  <c:v>ACC-4124</c:v>
                </c:pt>
                <c:pt idx="155">
                  <c:v>NET-7924</c:v>
                </c:pt>
                <c:pt idx="156">
                  <c:v>NET-8761</c:v>
                </c:pt>
                <c:pt idx="157">
                  <c:v>CMP-3875</c:v>
                </c:pt>
                <c:pt idx="158">
                  <c:v>ACC-3989</c:v>
                </c:pt>
                <c:pt idx="159">
                  <c:v>PHN-9234</c:v>
                </c:pt>
                <c:pt idx="160">
                  <c:v>MON-9906</c:v>
                </c:pt>
                <c:pt idx="161">
                  <c:v>CMP-4610</c:v>
                </c:pt>
                <c:pt idx="162">
                  <c:v>PHN-5445</c:v>
                </c:pt>
                <c:pt idx="163">
                  <c:v>MON-9227</c:v>
                </c:pt>
                <c:pt idx="164">
                  <c:v>PRN-4097</c:v>
                </c:pt>
                <c:pt idx="165">
                  <c:v>MON-6699</c:v>
                </c:pt>
                <c:pt idx="166">
                  <c:v>LAP-1482</c:v>
                </c:pt>
                <c:pt idx="167">
                  <c:v>MON-2100</c:v>
                </c:pt>
                <c:pt idx="168">
                  <c:v>MON-7602</c:v>
                </c:pt>
                <c:pt idx="169">
                  <c:v>CMP-1072</c:v>
                </c:pt>
                <c:pt idx="170">
                  <c:v>ACC-2735</c:v>
                </c:pt>
                <c:pt idx="171">
                  <c:v>CMP-5211</c:v>
                </c:pt>
                <c:pt idx="172">
                  <c:v>CMP-1632</c:v>
                </c:pt>
                <c:pt idx="173">
                  <c:v>LAP-7099</c:v>
                </c:pt>
                <c:pt idx="174">
                  <c:v>PRN-3785</c:v>
                </c:pt>
                <c:pt idx="175">
                  <c:v>MON-6962</c:v>
                </c:pt>
                <c:pt idx="176">
                  <c:v>PRN-5107</c:v>
                </c:pt>
                <c:pt idx="177">
                  <c:v>CMP-9264</c:v>
                </c:pt>
                <c:pt idx="178">
                  <c:v>MON-5259</c:v>
                </c:pt>
                <c:pt idx="179">
                  <c:v>PRN-8137</c:v>
                </c:pt>
                <c:pt idx="180">
                  <c:v>ACC-6777</c:v>
                </c:pt>
                <c:pt idx="181">
                  <c:v>PHN-7488</c:v>
                </c:pt>
                <c:pt idx="182">
                  <c:v>ACC-9591</c:v>
                </c:pt>
                <c:pt idx="183">
                  <c:v>MON-5517</c:v>
                </c:pt>
                <c:pt idx="184">
                  <c:v>MON-8758</c:v>
                </c:pt>
                <c:pt idx="185">
                  <c:v>ACC-3385</c:v>
                </c:pt>
                <c:pt idx="186">
                  <c:v>MON-1593</c:v>
                </c:pt>
                <c:pt idx="187">
                  <c:v>ACC-4631</c:v>
                </c:pt>
                <c:pt idx="188">
                  <c:v>MON-7869</c:v>
                </c:pt>
                <c:pt idx="189">
                  <c:v>MON-4271</c:v>
                </c:pt>
                <c:pt idx="190">
                  <c:v>LAP-5531</c:v>
                </c:pt>
                <c:pt idx="191">
                  <c:v>MON-7511</c:v>
                </c:pt>
                <c:pt idx="192">
                  <c:v>LAP-7979</c:v>
                </c:pt>
                <c:pt idx="193">
                  <c:v>PRN-4983</c:v>
                </c:pt>
                <c:pt idx="194">
                  <c:v>NET-5941</c:v>
                </c:pt>
                <c:pt idx="195">
                  <c:v>MON-6341</c:v>
                </c:pt>
                <c:pt idx="196">
                  <c:v>PHN-9789</c:v>
                </c:pt>
                <c:pt idx="197">
                  <c:v>PHN-5082</c:v>
                </c:pt>
                <c:pt idx="198">
                  <c:v>NET-3460</c:v>
                </c:pt>
                <c:pt idx="199">
                  <c:v>PRN-7019</c:v>
                </c:pt>
                <c:pt idx="200">
                  <c:v>PHN-3159</c:v>
                </c:pt>
                <c:pt idx="201">
                  <c:v>PRN-8604</c:v>
                </c:pt>
                <c:pt idx="202">
                  <c:v>PHN-2013</c:v>
                </c:pt>
                <c:pt idx="203">
                  <c:v>NET-6036</c:v>
                </c:pt>
                <c:pt idx="204">
                  <c:v>MON-4959</c:v>
                </c:pt>
                <c:pt idx="205">
                  <c:v>MON-1663</c:v>
                </c:pt>
                <c:pt idx="206">
                  <c:v>CMP-7256</c:v>
                </c:pt>
                <c:pt idx="207">
                  <c:v>ACC-1659</c:v>
                </c:pt>
                <c:pt idx="208">
                  <c:v>PRN-6068</c:v>
                </c:pt>
                <c:pt idx="209">
                  <c:v>ACC-8999</c:v>
                </c:pt>
                <c:pt idx="210">
                  <c:v>CMP-3978</c:v>
                </c:pt>
                <c:pt idx="211">
                  <c:v>MON-7868</c:v>
                </c:pt>
                <c:pt idx="212">
                  <c:v>PRN-3014</c:v>
                </c:pt>
                <c:pt idx="213">
                  <c:v>PHN-1671</c:v>
                </c:pt>
                <c:pt idx="214">
                  <c:v>ACC-5260</c:v>
                </c:pt>
                <c:pt idx="215">
                  <c:v>NET-7588</c:v>
                </c:pt>
                <c:pt idx="216">
                  <c:v>MON-1572</c:v>
                </c:pt>
                <c:pt idx="217">
                  <c:v>MON-2537</c:v>
                </c:pt>
                <c:pt idx="218">
                  <c:v>PRN-5666</c:v>
                </c:pt>
                <c:pt idx="219">
                  <c:v>PRN-2749</c:v>
                </c:pt>
                <c:pt idx="220">
                  <c:v>CMP-4970</c:v>
                </c:pt>
                <c:pt idx="221">
                  <c:v>ACC-3551</c:v>
                </c:pt>
                <c:pt idx="222">
                  <c:v>CMP-7063</c:v>
                </c:pt>
                <c:pt idx="223">
                  <c:v>NET-1612</c:v>
                </c:pt>
                <c:pt idx="224">
                  <c:v>LAP-9766</c:v>
                </c:pt>
                <c:pt idx="225">
                  <c:v>PHN-7274</c:v>
                </c:pt>
                <c:pt idx="226">
                  <c:v>NET-1645</c:v>
                </c:pt>
                <c:pt idx="227">
                  <c:v>ACC-5079</c:v>
                </c:pt>
                <c:pt idx="228">
                  <c:v>PRN-2098</c:v>
                </c:pt>
                <c:pt idx="229">
                  <c:v>PRN-7049</c:v>
                </c:pt>
                <c:pt idx="230">
                  <c:v>CMP-6925</c:v>
                </c:pt>
                <c:pt idx="231">
                  <c:v>PHN-2787</c:v>
                </c:pt>
                <c:pt idx="232">
                  <c:v>PRN-1141</c:v>
                </c:pt>
                <c:pt idx="233">
                  <c:v>MON-5249</c:v>
                </c:pt>
                <c:pt idx="234">
                  <c:v>CMP-8230</c:v>
                </c:pt>
                <c:pt idx="235">
                  <c:v>PRN-7816</c:v>
                </c:pt>
                <c:pt idx="236">
                  <c:v>PHN-8804</c:v>
                </c:pt>
                <c:pt idx="237">
                  <c:v>CMP-8851</c:v>
                </c:pt>
                <c:pt idx="238">
                  <c:v>PHN-2447</c:v>
                </c:pt>
                <c:pt idx="239">
                  <c:v>LAP-2846</c:v>
                </c:pt>
                <c:pt idx="240">
                  <c:v>PRN-5005</c:v>
                </c:pt>
                <c:pt idx="241">
                  <c:v>PHN-3800</c:v>
                </c:pt>
                <c:pt idx="242">
                  <c:v>LAP-4828</c:v>
                </c:pt>
                <c:pt idx="243">
                  <c:v>PRN-5492</c:v>
                </c:pt>
                <c:pt idx="244">
                  <c:v>PHN-7132</c:v>
                </c:pt>
                <c:pt idx="245">
                  <c:v>PHN-4741</c:v>
                </c:pt>
                <c:pt idx="246">
                  <c:v>LAP-2774</c:v>
                </c:pt>
                <c:pt idx="247">
                  <c:v>MON-2842</c:v>
                </c:pt>
                <c:pt idx="248">
                  <c:v>NET-2628</c:v>
                </c:pt>
                <c:pt idx="249">
                  <c:v>MON-2998</c:v>
                </c:pt>
                <c:pt idx="250">
                  <c:v>CMP-7563</c:v>
                </c:pt>
                <c:pt idx="251">
                  <c:v>LAP-6160</c:v>
                </c:pt>
                <c:pt idx="252">
                  <c:v>MON-4361</c:v>
                </c:pt>
                <c:pt idx="253">
                  <c:v>PRN-2829</c:v>
                </c:pt>
                <c:pt idx="254">
                  <c:v>MON-8939</c:v>
                </c:pt>
                <c:pt idx="255">
                  <c:v>LAP-5009</c:v>
                </c:pt>
                <c:pt idx="256">
                  <c:v>CMP-4807</c:v>
                </c:pt>
                <c:pt idx="257">
                  <c:v>NET-2439</c:v>
                </c:pt>
                <c:pt idx="258">
                  <c:v>MON-7626</c:v>
                </c:pt>
                <c:pt idx="259">
                  <c:v>ACC-3567</c:v>
                </c:pt>
                <c:pt idx="260">
                  <c:v>CMP-4630</c:v>
                </c:pt>
                <c:pt idx="261">
                  <c:v>ACC-1882</c:v>
                </c:pt>
                <c:pt idx="262">
                  <c:v>NET-9125</c:v>
                </c:pt>
                <c:pt idx="263">
                  <c:v>PHN-3819</c:v>
                </c:pt>
                <c:pt idx="264">
                  <c:v>LAP-3490</c:v>
                </c:pt>
                <c:pt idx="265">
                  <c:v>PRN-1276</c:v>
                </c:pt>
                <c:pt idx="266">
                  <c:v>MON-9733</c:v>
                </c:pt>
                <c:pt idx="267">
                  <c:v>CMP-9392</c:v>
                </c:pt>
                <c:pt idx="268">
                  <c:v>PHN-3014</c:v>
                </c:pt>
                <c:pt idx="269">
                  <c:v>PRN-6776</c:v>
                </c:pt>
                <c:pt idx="270">
                  <c:v>ACC-3951</c:v>
                </c:pt>
                <c:pt idx="271">
                  <c:v>MON-1436</c:v>
                </c:pt>
                <c:pt idx="272">
                  <c:v>MON-8651</c:v>
                </c:pt>
                <c:pt idx="273">
                  <c:v>MON-3307</c:v>
                </c:pt>
                <c:pt idx="274">
                  <c:v>PRN-8758</c:v>
                </c:pt>
                <c:pt idx="275">
                  <c:v>LAP-7056</c:v>
                </c:pt>
                <c:pt idx="276">
                  <c:v>NET-5523</c:v>
                </c:pt>
                <c:pt idx="277">
                  <c:v>ACC-8094</c:v>
                </c:pt>
                <c:pt idx="278">
                  <c:v>PHN-6832</c:v>
                </c:pt>
                <c:pt idx="279">
                  <c:v>LAP-2378</c:v>
                </c:pt>
                <c:pt idx="280">
                  <c:v>MON-5424</c:v>
                </c:pt>
                <c:pt idx="281">
                  <c:v>NET-8430</c:v>
                </c:pt>
                <c:pt idx="282">
                  <c:v>PHN-1234</c:v>
                </c:pt>
                <c:pt idx="283">
                  <c:v>LAP-9016</c:v>
                </c:pt>
                <c:pt idx="284">
                  <c:v>LAP-9931</c:v>
                </c:pt>
                <c:pt idx="285">
                  <c:v>PHN-6818</c:v>
                </c:pt>
                <c:pt idx="286">
                  <c:v>PHN-3803</c:v>
                </c:pt>
                <c:pt idx="287">
                  <c:v>NET-9835</c:v>
                </c:pt>
                <c:pt idx="288">
                  <c:v>ACC-6223</c:v>
                </c:pt>
                <c:pt idx="289">
                  <c:v>CMP-8659</c:v>
                </c:pt>
                <c:pt idx="290">
                  <c:v>ACC-4483</c:v>
                </c:pt>
                <c:pt idx="291">
                  <c:v>PRN-8763</c:v>
                </c:pt>
                <c:pt idx="292">
                  <c:v>ACC-8557</c:v>
                </c:pt>
                <c:pt idx="293">
                  <c:v>ACC-1492</c:v>
                </c:pt>
                <c:pt idx="294">
                  <c:v>CMP-3743</c:v>
                </c:pt>
                <c:pt idx="295">
                  <c:v>LAP-1619</c:v>
                </c:pt>
                <c:pt idx="296">
                  <c:v>PRN-7976</c:v>
                </c:pt>
                <c:pt idx="297">
                  <c:v>MON-4326</c:v>
                </c:pt>
                <c:pt idx="298">
                  <c:v>MON-5444</c:v>
                </c:pt>
                <c:pt idx="299">
                  <c:v>ACC-5422</c:v>
                </c:pt>
                <c:pt idx="300">
                  <c:v>CMP-9307</c:v>
                </c:pt>
                <c:pt idx="301">
                  <c:v>PRN-6520</c:v>
                </c:pt>
                <c:pt idx="302">
                  <c:v>NET-1699</c:v>
                </c:pt>
                <c:pt idx="303">
                  <c:v>PHN-5316</c:v>
                </c:pt>
                <c:pt idx="304">
                  <c:v>LAP-4607</c:v>
                </c:pt>
                <c:pt idx="305">
                  <c:v>MON-5276</c:v>
                </c:pt>
                <c:pt idx="306">
                  <c:v>ACC-9533</c:v>
                </c:pt>
                <c:pt idx="307">
                  <c:v>NET-3749</c:v>
                </c:pt>
                <c:pt idx="308">
                  <c:v>PRN-2991</c:v>
                </c:pt>
                <c:pt idx="309">
                  <c:v>LAP-4551</c:v>
                </c:pt>
                <c:pt idx="310">
                  <c:v>MON-6310</c:v>
                </c:pt>
                <c:pt idx="311">
                  <c:v>NET-1166</c:v>
                </c:pt>
                <c:pt idx="312">
                  <c:v>ACC-2903</c:v>
                </c:pt>
                <c:pt idx="313">
                  <c:v>PRN-2293</c:v>
                </c:pt>
                <c:pt idx="314">
                  <c:v>MON-1389</c:v>
                </c:pt>
                <c:pt idx="315">
                  <c:v>CMP-4093</c:v>
                </c:pt>
                <c:pt idx="316">
                  <c:v>PHN-6131</c:v>
                </c:pt>
                <c:pt idx="317">
                  <c:v>NET-4104</c:v>
                </c:pt>
                <c:pt idx="318">
                  <c:v>MON-9319</c:v>
                </c:pt>
                <c:pt idx="319">
                  <c:v>ACC-2988</c:v>
                </c:pt>
                <c:pt idx="320">
                  <c:v>PHN-9399</c:v>
                </c:pt>
                <c:pt idx="321">
                  <c:v>NET-4554</c:v>
                </c:pt>
                <c:pt idx="322">
                  <c:v>NET-5195</c:v>
                </c:pt>
                <c:pt idx="323">
                  <c:v>CMP-9801</c:v>
                </c:pt>
                <c:pt idx="324">
                  <c:v>CMP-3093</c:v>
                </c:pt>
                <c:pt idx="325">
                  <c:v>ACC-2364</c:v>
                </c:pt>
                <c:pt idx="326">
                  <c:v>CMP-5138</c:v>
                </c:pt>
                <c:pt idx="327">
                  <c:v>PHN-2337</c:v>
                </c:pt>
                <c:pt idx="328">
                  <c:v>MON-2993</c:v>
                </c:pt>
                <c:pt idx="329">
                  <c:v>LAP-9024</c:v>
                </c:pt>
                <c:pt idx="330">
                  <c:v>PHN-6307</c:v>
                </c:pt>
                <c:pt idx="331">
                  <c:v>NET-9003</c:v>
                </c:pt>
                <c:pt idx="332">
                  <c:v>ACC-3068</c:v>
                </c:pt>
                <c:pt idx="333">
                  <c:v>ACC-1060</c:v>
                </c:pt>
                <c:pt idx="334">
                  <c:v>PHN-3854</c:v>
                </c:pt>
                <c:pt idx="335">
                  <c:v>PRN-1086</c:v>
                </c:pt>
                <c:pt idx="336">
                  <c:v>PHN-7815</c:v>
                </c:pt>
                <c:pt idx="337">
                  <c:v>PRN-5384</c:v>
                </c:pt>
                <c:pt idx="338">
                  <c:v>ACC-8178</c:v>
                </c:pt>
                <c:pt idx="339">
                  <c:v>MON-1018</c:v>
                </c:pt>
                <c:pt idx="340">
                  <c:v>ACC-1238</c:v>
                </c:pt>
                <c:pt idx="341">
                  <c:v>NET-1816</c:v>
                </c:pt>
                <c:pt idx="342">
                  <c:v>PRN-4893</c:v>
                </c:pt>
                <c:pt idx="343">
                  <c:v>PHN-1717</c:v>
                </c:pt>
                <c:pt idx="344">
                  <c:v>NET-9575</c:v>
                </c:pt>
                <c:pt idx="345">
                  <c:v>LAP-3604</c:v>
                </c:pt>
                <c:pt idx="346">
                  <c:v>ACC-6626</c:v>
                </c:pt>
                <c:pt idx="347">
                  <c:v>PHN-1670</c:v>
                </c:pt>
                <c:pt idx="348">
                  <c:v>CMP-4792</c:v>
                </c:pt>
                <c:pt idx="349">
                  <c:v>LAP-1990</c:v>
                </c:pt>
                <c:pt idx="350">
                  <c:v>PRN-7410</c:v>
                </c:pt>
                <c:pt idx="351">
                  <c:v>MON-4278</c:v>
                </c:pt>
                <c:pt idx="352">
                  <c:v>ACC-5334</c:v>
                </c:pt>
                <c:pt idx="353">
                  <c:v>NET-8957</c:v>
                </c:pt>
                <c:pt idx="354">
                  <c:v>PRN-9960</c:v>
                </c:pt>
                <c:pt idx="355">
                  <c:v>ACC-3103</c:v>
                </c:pt>
                <c:pt idx="356">
                  <c:v>PRN-9490</c:v>
                </c:pt>
                <c:pt idx="357">
                  <c:v>NET-3850</c:v>
                </c:pt>
                <c:pt idx="358">
                  <c:v>ACC-7047</c:v>
                </c:pt>
                <c:pt idx="359">
                  <c:v>PRN-6660</c:v>
                </c:pt>
                <c:pt idx="360">
                  <c:v>ACC-7838</c:v>
                </c:pt>
                <c:pt idx="361">
                  <c:v>PHN-5383</c:v>
                </c:pt>
                <c:pt idx="362">
                  <c:v>LAP-3904</c:v>
                </c:pt>
                <c:pt idx="363">
                  <c:v>MON-5749</c:v>
                </c:pt>
                <c:pt idx="364">
                  <c:v>PRN-3690</c:v>
                </c:pt>
                <c:pt idx="365">
                  <c:v>CMP-7055</c:v>
                </c:pt>
                <c:pt idx="366">
                  <c:v>PHN-6866</c:v>
                </c:pt>
                <c:pt idx="367">
                  <c:v>CMP-3259</c:v>
                </c:pt>
                <c:pt idx="368">
                  <c:v>LAP-6750</c:v>
                </c:pt>
                <c:pt idx="369">
                  <c:v>PRN-3775</c:v>
                </c:pt>
                <c:pt idx="370">
                  <c:v>LAP-2942</c:v>
                </c:pt>
                <c:pt idx="371">
                  <c:v>PHN-2036</c:v>
                </c:pt>
                <c:pt idx="372">
                  <c:v>MON-4373</c:v>
                </c:pt>
                <c:pt idx="373">
                  <c:v>PRN-8657</c:v>
                </c:pt>
                <c:pt idx="374">
                  <c:v>PHN-7974</c:v>
                </c:pt>
                <c:pt idx="375">
                  <c:v>PHN-4915</c:v>
                </c:pt>
                <c:pt idx="376">
                  <c:v>NET-3535</c:v>
                </c:pt>
                <c:pt idx="377">
                  <c:v>CMP-2574</c:v>
                </c:pt>
                <c:pt idx="378">
                  <c:v>NET-7901</c:v>
                </c:pt>
                <c:pt idx="379">
                  <c:v>NET-5482</c:v>
                </c:pt>
                <c:pt idx="380">
                  <c:v>CMP-5820</c:v>
                </c:pt>
                <c:pt idx="381">
                  <c:v>NET-1336</c:v>
                </c:pt>
                <c:pt idx="382">
                  <c:v>PRN-5876</c:v>
                </c:pt>
                <c:pt idx="383">
                  <c:v>NET-3828</c:v>
                </c:pt>
                <c:pt idx="384">
                  <c:v>MON-7622</c:v>
                </c:pt>
                <c:pt idx="385">
                  <c:v>LAP-2806</c:v>
                </c:pt>
                <c:pt idx="386">
                  <c:v>PRN-8850</c:v>
                </c:pt>
                <c:pt idx="387">
                  <c:v>LAP-9100</c:v>
                </c:pt>
                <c:pt idx="388">
                  <c:v>LAP-5763</c:v>
                </c:pt>
                <c:pt idx="389">
                  <c:v>LAP-7320</c:v>
                </c:pt>
                <c:pt idx="390">
                  <c:v>MON-5891</c:v>
                </c:pt>
                <c:pt idx="391">
                  <c:v>PRN-1183</c:v>
                </c:pt>
                <c:pt idx="392">
                  <c:v>CMP-2096</c:v>
                </c:pt>
                <c:pt idx="393">
                  <c:v>PHN-3398</c:v>
                </c:pt>
                <c:pt idx="394">
                  <c:v>CMP-8545</c:v>
                </c:pt>
                <c:pt idx="395">
                  <c:v>ACC-1249</c:v>
                </c:pt>
                <c:pt idx="396">
                  <c:v>MON-9662</c:v>
                </c:pt>
                <c:pt idx="397">
                  <c:v>LAP-8347</c:v>
                </c:pt>
                <c:pt idx="398">
                  <c:v>CMP-6898</c:v>
                </c:pt>
                <c:pt idx="399">
                  <c:v>MON-3504</c:v>
                </c:pt>
                <c:pt idx="400">
                  <c:v>NET-3432</c:v>
                </c:pt>
                <c:pt idx="401">
                  <c:v>PRN-5591</c:v>
                </c:pt>
                <c:pt idx="402">
                  <c:v>CMP-2015</c:v>
                </c:pt>
                <c:pt idx="403">
                  <c:v>LAP-9901</c:v>
                </c:pt>
                <c:pt idx="404">
                  <c:v>CMP-8658</c:v>
                </c:pt>
                <c:pt idx="405">
                  <c:v>MON-2073</c:v>
                </c:pt>
                <c:pt idx="406">
                  <c:v>PRN-9378</c:v>
                </c:pt>
                <c:pt idx="407">
                  <c:v>PHN-5887</c:v>
                </c:pt>
                <c:pt idx="408">
                  <c:v>LAP-8119</c:v>
                </c:pt>
                <c:pt idx="409">
                  <c:v>ACC-9644</c:v>
                </c:pt>
                <c:pt idx="410">
                  <c:v>LAP-7009</c:v>
                </c:pt>
                <c:pt idx="411">
                  <c:v>PRN-1725</c:v>
                </c:pt>
                <c:pt idx="412">
                  <c:v>PHN-8483</c:v>
                </c:pt>
                <c:pt idx="413">
                  <c:v>PHN-3971</c:v>
                </c:pt>
                <c:pt idx="414">
                  <c:v>NET-6578</c:v>
                </c:pt>
                <c:pt idx="415">
                  <c:v>PRN-9975</c:v>
                </c:pt>
                <c:pt idx="416">
                  <c:v>ACC-1075</c:v>
                </c:pt>
                <c:pt idx="417">
                  <c:v>ACC-2902</c:v>
                </c:pt>
                <c:pt idx="418">
                  <c:v>PRN-5815</c:v>
                </c:pt>
                <c:pt idx="419">
                  <c:v>MON-4195</c:v>
                </c:pt>
                <c:pt idx="420">
                  <c:v>PHN-8478</c:v>
                </c:pt>
                <c:pt idx="421">
                  <c:v>PHN-1044</c:v>
                </c:pt>
                <c:pt idx="422">
                  <c:v>LAP-8910</c:v>
                </c:pt>
                <c:pt idx="423">
                  <c:v>PHN-2859</c:v>
                </c:pt>
                <c:pt idx="424">
                  <c:v>PRN-6308</c:v>
                </c:pt>
                <c:pt idx="425">
                  <c:v>LAP-8469</c:v>
                </c:pt>
                <c:pt idx="426">
                  <c:v>LAP-7553</c:v>
                </c:pt>
                <c:pt idx="427">
                  <c:v>PHN-3077</c:v>
                </c:pt>
                <c:pt idx="428">
                  <c:v>MON-3350</c:v>
                </c:pt>
                <c:pt idx="429">
                  <c:v>PHN-5683</c:v>
                </c:pt>
                <c:pt idx="430">
                  <c:v>PRN-2409</c:v>
                </c:pt>
                <c:pt idx="431">
                  <c:v>LAP-8825</c:v>
                </c:pt>
                <c:pt idx="432">
                  <c:v>MON-8697</c:v>
                </c:pt>
                <c:pt idx="433">
                  <c:v>MON-4789</c:v>
                </c:pt>
                <c:pt idx="434">
                  <c:v>NET-7998</c:v>
                </c:pt>
                <c:pt idx="435">
                  <c:v>PHN-8891</c:v>
                </c:pt>
                <c:pt idx="436">
                  <c:v>NET-9832</c:v>
                </c:pt>
                <c:pt idx="437">
                  <c:v>CMP-8604</c:v>
                </c:pt>
                <c:pt idx="438">
                  <c:v>ACC-6594</c:v>
                </c:pt>
                <c:pt idx="439">
                  <c:v>NET-2499</c:v>
                </c:pt>
                <c:pt idx="440">
                  <c:v>PRN-1923</c:v>
                </c:pt>
                <c:pt idx="441">
                  <c:v>PHN-4346</c:v>
                </c:pt>
                <c:pt idx="442">
                  <c:v>ACC-1375</c:v>
                </c:pt>
                <c:pt idx="443">
                  <c:v>PRN-4892</c:v>
                </c:pt>
                <c:pt idx="444">
                  <c:v>PRN-9557</c:v>
                </c:pt>
                <c:pt idx="445">
                  <c:v>PRN-8008</c:v>
                </c:pt>
                <c:pt idx="446">
                  <c:v>LAP-1946</c:v>
                </c:pt>
                <c:pt idx="447">
                  <c:v>MON-7106</c:v>
                </c:pt>
                <c:pt idx="448">
                  <c:v>MON-5386</c:v>
                </c:pt>
                <c:pt idx="449">
                  <c:v>PHN-2436</c:v>
                </c:pt>
                <c:pt idx="450">
                  <c:v>PRN-2301</c:v>
                </c:pt>
                <c:pt idx="451">
                  <c:v>ACC-3645</c:v>
                </c:pt>
                <c:pt idx="452">
                  <c:v>CMP-6811</c:v>
                </c:pt>
                <c:pt idx="453">
                  <c:v>PHN-5675</c:v>
                </c:pt>
                <c:pt idx="454">
                  <c:v>MON-6882</c:v>
                </c:pt>
                <c:pt idx="455">
                  <c:v>ACC-8620</c:v>
                </c:pt>
                <c:pt idx="456">
                  <c:v>PHN-6506</c:v>
                </c:pt>
                <c:pt idx="457">
                  <c:v>MON-5086</c:v>
                </c:pt>
                <c:pt idx="458">
                  <c:v>LAP-4899</c:v>
                </c:pt>
                <c:pt idx="459">
                  <c:v>CMP-3313</c:v>
                </c:pt>
                <c:pt idx="460">
                  <c:v>CMP-6649</c:v>
                </c:pt>
                <c:pt idx="461">
                  <c:v>ACC-5206</c:v>
                </c:pt>
                <c:pt idx="462">
                  <c:v>PRN-6911</c:v>
                </c:pt>
                <c:pt idx="463">
                  <c:v>NET-5270</c:v>
                </c:pt>
                <c:pt idx="464">
                  <c:v>CMP-5658</c:v>
                </c:pt>
                <c:pt idx="465">
                  <c:v>CMP-3938</c:v>
                </c:pt>
                <c:pt idx="466">
                  <c:v>ACC-7671</c:v>
                </c:pt>
                <c:pt idx="467">
                  <c:v>NET-6014</c:v>
                </c:pt>
                <c:pt idx="468">
                  <c:v>CMP-4159</c:v>
                </c:pt>
                <c:pt idx="469">
                  <c:v>PRN-3159</c:v>
                </c:pt>
                <c:pt idx="470">
                  <c:v>PRN-9488</c:v>
                </c:pt>
                <c:pt idx="471">
                  <c:v>PRN-7079</c:v>
                </c:pt>
                <c:pt idx="472">
                  <c:v>CMP-1220</c:v>
                </c:pt>
                <c:pt idx="473">
                  <c:v>MON-2462</c:v>
                </c:pt>
                <c:pt idx="474">
                  <c:v>PHN-9465</c:v>
                </c:pt>
                <c:pt idx="475">
                  <c:v>PRN-1271</c:v>
                </c:pt>
                <c:pt idx="476">
                  <c:v>LAP-1066</c:v>
                </c:pt>
                <c:pt idx="477">
                  <c:v>CMP-8675</c:v>
                </c:pt>
                <c:pt idx="478">
                  <c:v>LAP-1178</c:v>
                </c:pt>
                <c:pt idx="479">
                  <c:v>ACC-1731</c:v>
                </c:pt>
                <c:pt idx="480">
                  <c:v>NET-1893</c:v>
                </c:pt>
                <c:pt idx="481">
                  <c:v>PRN-3917</c:v>
                </c:pt>
                <c:pt idx="482">
                  <c:v>LAP-3220</c:v>
                </c:pt>
                <c:pt idx="483">
                  <c:v>PHN-2462</c:v>
                </c:pt>
                <c:pt idx="484">
                  <c:v>NET-2894</c:v>
                </c:pt>
                <c:pt idx="485">
                  <c:v>CMP-2335</c:v>
                </c:pt>
                <c:pt idx="486">
                  <c:v>PHN-5938</c:v>
                </c:pt>
                <c:pt idx="487">
                  <c:v>PRN-1371</c:v>
                </c:pt>
                <c:pt idx="488">
                  <c:v>PRN-5813</c:v>
                </c:pt>
                <c:pt idx="489">
                  <c:v>PHN-6480</c:v>
                </c:pt>
                <c:pt idx="490">
                  <c:v>ACC-2990</c:v>
                </c:pt>
                <c:pt idx="491">
                  <c:v>CMP-5435</c:v>
                </c:pt>
                <c:pt idx="492">
                  <c:v>ACC-1596</c:v>
                </c:pt>
                <c:pt idx="493">
                  <c:v>PHN-7852</c:v>
                </c:pt>
                <c:pt idx="494">
                  <c:v>ACC-7240</c:v>
                </c:pt>
                <c:pt idx="495">
                  <c:v>MON-8867</c:v>
                </c:pt>
                <c:pt idx="496">
                  <c:v>NET-1228</c:v>
                </c:pt>
                <c:pt idx="497">
                  <c:v>NET-1145</c:v>
                </c:pt>
                <c:pt idx="498">
                  <c:v>ACC-2867</c:v>
                </c:pt>
                <c:pt idx="499">
                  <c:v>MON-9274</c:v>
                </c:pt>
                <c:pt idx="500">
                  <c:v>MON-4830</c:v>
                </c:pt>
                <c:pt idx="501">
                  <c:v>PHN-9107</c:v>
                </c:pt>
                <c:pt idx="502">
                  <c:v>PRN-1060</c:v>
                </c:pt>
                <c:pt idx="503">
                  <c:v>NET-8329</c:v>
                </c:pt>
                <c:pt idx="504">
                  <c:v>NET-6269</c:v>
                </c:pt>
                <c:pt idx="505">
                  <c:v>CMP-6529</c:v>
                </c:pt>
                <c:pt idx="506">
                  <c:v>PHN-8776</c:v>
                </c:pt>
                <c:pt idx="507">
                  <c:v>NET-3728</c:v>
                </c:pt>
                <c:pt idx="508">
                  <c:v>LAP-3565</c:v>
                </c:pt>
                <c:pt idx="509">
                  <c:v>LAP-5078</c:v>
                </c:pt>
                <c:pt idx="510">
                  <c:v>MON-2465</c:v>
                </c:pt>
                <c:pt idx="511">
                  <c:v>CMP-3223</c:v>
                </c:pt>
                <c:pt idx="512">
                  <c:v>CMP-8127</c:v>
                </c:pt>
                <c:pt idx="513">
                  <c:v>PHN-1924</c:v>
                </c:pt>
                <c:pt idx="514">
                  <c:v>CMP-1156</c:v>
                </c:pt>
                <c:pt idx="515">
                  <c:v>LAP-3905</c:v>
                </c:pt>
                <c:pt idx="516">
                  <c:v>PRN-1786</c:v>
                </c:pt>
                <c:pt idx="517">
                  <c:v>ACC-3349</c:v>
                </c:pt>
                <c:pt idx="518">
                  <c:v>NET-4228</c:v>
                </c:pt>
                <c:pt idx="519">
                  <c:v>CMP-5633</c:v>
                </c:pt>
                <c:pt idx="520">
                  <c:v>CMP-5825</c:v>
                </c:pt>
                <c:pt idx="521">
                  <c:v>LAP-6499</c:v>
                </c:pt>
                <c:pt idx="522">
                  <c:v>ACC-3721</c:v>
                </c:pt>
                <c:pt idx="523">
                  <c:v>MON-6190</c:v>
                </c:pt>
                <c:pt idx="524">
                  <c:v>CMP-2410</c:v>
                </c:pt>
                <c:pt idx="525">
                  <c:v>PRN-2641</c:v>
                </c:pt>
                <c:pt idx="526">
                  <c:v>PRN-1882</c:v>
                </c:pt>
                <c:pt idx="527">
                  <c:v>PRN-1641</c:v>
                </c:pt>
                <c:pt idx="528">
                  <c:v>LAP-1739</c:v>
                </c:pt>
                <c:pt idx="529">
                  <c:v>PRN-4732</c:v>
                </c:pt>
                <c:pt idx="530">
                  <c:v>NET-9569</c:v>
                </c:pt>
                <c:pt idx="531">
                  <c:v>PHN-3007</c:v>
                </c:pt>
                <c:pt idx="532">
                  <c:v>MON-9216</c:v>
                </c:pt>
                <c:pt idx="533">
                  <c:v>PHN-8072</c:v>
                </c:pt>
                <c:pt idx="534">
                  <c:v>LAP-1308</c:v>
                </c:pt>
                <c:pt idx="535">
                  <c:v>LAP-7353</c:v>
                </c:pt>
                <c:pt idx="536">
                  <c:v>NET-6533</c:v>
                </c:pt>
                <c:pt idx="537">
                  <c:v>LAP-5763</c:v>
                </c:pt>
                <c:pt idx="538">
                  <c:v>ACC-9445</c:v>
                </c:pt>
                <c:pt idx="539">
                  <c:v>PRN-1654</c:v>
                </c:pt>
                <c:pt idx="540">
                  <c:v>NET-8787</c:v>
                </c:pt>
                <c:pt idx="541">
                  <c:v>LAP-1989</c:v>
                </c:pt>
                <c:pt idx="542">
                  <c:v>MON-8688</c:v>
                </c:pt>
                <c:pt idx="543">
                  <c:v>ACC-8242</c:v>
                </c:pt>
                <c:pt idx="544">
                  <c:v>LAP-4666</c:v>
                </c:pt>
                <c:pt idx="545">
                  <c:v>NET-5196</c:v>
                </c:pt>
                <c:pt idx="546">
                  <c:v>MON-8422</c:v>
                </c:pt>
                <c:pt idx="547">
                  <c:v>ACC-3415</c:v>
                </c:pt>
                <c:pt idx="548">
                  <c:v>PRN-9624</c:v>
                </c:pt>
                <c:pt idx="549">
                  <c:v>MON-6287</c:v>
                </c:pt>
                <c:pt idx="550">
                  <c:v>NET-4491</c:v>
                </c:pt>
                <c:pt idx="551">
                  <c:v>MON-4317</c:v>
                </c:pt>
                <c:pt idx="552">
                  <c:v>NET-7349</c:v>
                </c:pt>
                <c:pt idx="553">
                  <c:v>ACC-5150</c:v>
                </c:pt>
                <c:pt idx="554">
                  <c:v>ACC-5144</c:v>
                </c:pt>
                <c:pt idx="555">
                  <c:v>PHN-6111</c:v>
                </c:pt>
                <c:pt idx="556">
                  <c:v>ACC-9283</c:v>
                </c:pt>
                <c:pt idx="557">
                  <c:v>PRN-2407</c:v>
                </c:pt>
                <c:pt idx="558">
                  <c:v>MON-7099</c:v>
                </c:pt>
                <c:pt idx="559">
                  <c:v>ACC-7354</c:v>
                </c:pt>
                <c:pt idx="560">
                  <c:v>PRN-6585</c:v>
                </c:pt>
                <c:pt idx="561">
                  <c:v>CMP-9498</c:v>
                </c:pt>
                <c:pt idx="562">
                  <c:v>PHN-1919</c:v>
                </c:pt>
                <c:pt idx="563">
                  <c:v>MON-6053</c:v>
                </c:pt>
                <c:pt idx="564">
                  <c:v>NET-2502</c:v>
                </c:pt>
                <c:pt idx="565">
                  <c:v>LAP-5689</c:v>
                </c:pt>
                <c:pt idx="566">
                  <c:v>CMP-5911</c:v>
                </c:pt>
                <c:pt idx="567">
                  <c:v>LAP-7523</c:v>
                </c:pt>
                <c:pt idx="568">
                  <c:v>MON-1118</c:v>
                </c:pt>
                <c:pt idx="569">
                  <c:v>NET-9177</c:v>
                </c:pt>
                <c:pt idx="570">
                  <c:v>CMP-6495</c:v>
                </c:pt>
                <c:pt idx="571">
                  <c:v>ACC-4587</c:v>
                </c:pt>
                <c:pt idx="572">
                  <c:v>PHN-4395</c:v>
                </c:pt>
                <c:pt idx="573">
                  <c:v>LAP-3581</c:v>
                </c:pt>
                <c:pt idx="574">
                  <c:v>MON-6065</c:v>
                </c:pt>
                <c:pt idx="575">
                  <c:v>CMP-4945</c:v>
                </c:pt>
                <c:pt idx="576">
                  <c:v>NET-3785</c:v>
                </c:pt>
                <c:pt idx="577">
                  <c:v>NET-3689</c:v>
                </c:pt>
                <c:pt idx="578">
                  <c:v>ACC-3833</c:v>
                </c:pt>
                <c:pt idx="579">
                  <c:v>NET-2932</c:v>
                </c:pt>
                <c:pt idx="580">
                  <c:v>PHN-7636</c:v>
                </c:pt>
                <c:pt idx="581">
                  <c:v>CMP-1223</c:v>
                </c:pt>
                <c:pt idx="582">
                  <c:v>MON-7207</c:v>
                </c:pt>
                <c:pt idx="583">
                  <c:v>LAP-4483</c:v>
                </c:pt>
                <c:pt idx="584">
                  <c:v>LAP-1969</c:v>
                </c:pt>
                <c:pt idx="585">
                  <c:v>PHN-4566</c:v>
                </c:pt>
                <c:pt idx="586">
                  <c:v>PHN-5366</c:v>
                </c:pt>
                <c:pt idx="587">
                  <c:v>CMP-9001</c:v>
                </c:pt>
                <c:pt idx="588">
                  <c:v>PHN-9677</c:v>
                </c:pt>
                <c:pt idx="589">
                  <c:v>ACC-1604</c:v>
                </c:pt>
                <c:pt idx="590">
                  <c:v>ACC-4815</c:v>
                </c:pt>
                <c:pt idx="591">
                  <c:v>CMP-5311</c:v>
                </c:pt>
                <c:pt idx="592">
                  <c:v>NET-1282</c:v>
                </c:pt>
                <c:pt idx="593">
                  <c:v>MON-1564</c:v>
                </c:pt>
                <c:pt idx="594">
                  <c:v>ACC-7906</c:v>
                </c:pt>
                <c:pt idx="595">
                  <c:v>LAP-6577</c:v>
                </c:pt>
                <c:pt idx="596">
                  <c:v>CMP-5065</c:v>
                </c:pt>
                <c:pt idx="597">
                  <c:v>PRN-4787</c:v>
                </c:pt>
                <c:pt idx="598">
                  <c:v>PRN-9867</c:v>
                </c:pt>
                <c:pt idx="599">
                  <c:v>MON-2849</c:v>
                </c:pt>
                <c:pt idx="600">
                  <c:v>LAP-8633</c:v>
                </c:pt>
                <c:pt idx="601">
                  <c:v>PRN-9793</c:v>
                </c:pt>
                <c:pt idx="602">
                  <c:v>NET-6218</c:v>
                </c:pt>
                <c:pt idx="603">
                  <c:v>PRN-6131</c:v>
                </c:pt>
                <c:pt idx="604">
                  <c:v>PRN-5067</c:v>
                </c:pt>
                <c:pt idx="605">
                  <c:v>LAP-4932</c:v>
                </c:pt>
                <c:pt idx="606">
                  <c:v>ACC-7713</c:v>
                </c:pt>
                <c:pt idx="607">
                  <c:v>PHN-7379</c:v>
                </c:pt>
                <c:pt idx="608">
                  <c:v>PRN-5569</c:v>
                </c:pt>
                <c:pt idx="609">
                  <c:v>CMP-1470</c:v>
                </c:pt>
                <c:pt idx="610">
                  <c:v>PRN-9249</c:v>
                </c:pt>
                <c:pt idx="611">
                  <c:v>PRN-4906</c:v>
                </c:pt>
                <c:pt idx="612">
                  <c:v>MON-8129</c:v>
                </c:pt>
                <c:pt idx="613">
                  <c:v>NET-5987</c:v>
                </c:pt>
                <c:pt idx="614">
                  <c:v>NET-5423</c:v>
                </c:pt>
                <c:pt idx="615">
                  <c:v>PRN-5264</c:v>
                </c:pt>
                <c:pt idx="616">
                  <c:v>NET-8856</c:v>
                </c:pt>
                <c:pt idx="617">
                  <c:v>MON-4215</c:v>
                </c:pt>
                <c:pt idx="618">
                  <c:v>PRN-5753</c:v>
                </c:pt>
                <c:pt idx="619">
                  <c:v>CMP-5006</c:v>
                </c:pt>
                <c:pt idx="620">
                  <c:v>ACC-4766</c:v>
                </c:pt>
                <c:pt idx="621">
                  <c:v>NET-8610</c:v>
                </c:pt>
                <c:pt idx="622">
                  <c:v>NET-4675</c:v>
                </c:pt>
                <c:pt idx="623">
                  <c:v>ACC-1028</c:v>
                </c:pt>
                <c:pt idx="624">
                  <c:v>NET-4735</c:v>
                </c:pt>
                <c:pt idx="625">
                  <c:v>NET-2460</c:v>
                </c:pt>
                <c:pt idx="626">
                  <c:v>CMP-1555</c:v>
                </c:pt>
                <c:pt idx="627">
                  <c:v>MON-3773</c:v>
                </c:pt>
                <c:pt idx="628">
                  <c:v>PHN-4677</c:v>
                </c:pt>
                <c:pt idx="629">
                  <c:v>CMP-1940</c:v>
                </c:pt>
                <c:pt idx="630">
                  <c:v>PHN-9184</c:v>
                </c:pt>
                <c:pt idx="631">
                  <c:v>LAP-3017</c:v>
                </c:pt>
              </c:strCache>
            </c:strRef>
          </c:xVal>
          <c:yVal>
            <c:numRef>
              <c:f>Data!$Z$2:$Z$634</c:f>
              <c:numCache>
                <c:formatCode>0.00</c:formatCode>
                <c:ptCount val="633"/>
                <c:pt idx="0">
                  <c:v>0.112</c:v>
                </c:pt>
                <c:pt idx="1">
                  <c:v>0.23699999999999999</c:v>
                </c:pt>
                <c:pt idx="2">
                  <c:v>0.13100000000000001</c:v>
                </c:pt>
                <c:pt idx="3">
                  <c:v>7.1999999999999995E-2</c:v>
                </c:pt>
                <c:pt idx="4">
                  <c:v>0.10199999999999999</c:v>
                </c:pt>
                <c:pt idx="5">
                  <c:v>0</c:v>
                </c:pt>
                <c:pt idx="6">
                  <c:v>0.14699999999999999</c:v>
                </c:pt>
                <c:pt idx="7">
                  <c:v>0.19400000000000001</c:v>
                </c:pt>
                <c:pt idx="8">
                  <c:v>3.1E-2</c:v>
                </c:pt>
                <c:pt idx="9">
                  <c:v>0.14899999999999999</c:v>
                </c:pt>
                <c:pt idx="10">
                  <c:v>6.0000000000000001E-3</c:v>
                </c:pt>
                <c:pt idx="11">
                  <c:v>0.25</c:v>
                </c:pt>
                <c:pt idx="12">
                  <c:v>9.4E-2</c:v>
                </c:pt>
                <c:pt idx="13">
                  <c:v>0</c:v>
                </c:pt>
                <c:pt idx="14">
                  <c:v>0</c:v>
                </c:pt>
                <c:pt idx="15">
                  <c:v>7.3999999999999996E-2</c:v>
                </c:pt>
                <c:pt idx="16">
                  <c:v>0.109</c:v>
                </c:pt>
                <c:pt idx="17">
                  <c:v>0.183</c:v>
                </c:pt>
                <c:pt idx="18">
                  <c:v>0.109</c:v>
                </c:pt>
                <c:pt idx="19">
                  <c:v>3.7999999999999999E-2</c:v>
                </c:pt>
                <c:pt idx="20">
                  <c:v>7.1999999999999995E-2</c:v>
                </c:pt>
                <c:pt idx="21">
                  <c:v>0.14299999999999999</c:v>
                </c:pt>
                <c:pt idx="22">
                  <c:v>0.12</c:v>
                </c:pt>
                <c:pt idx="23">
                  <c:v>0.01</c:v>
                </c:pt>
                <c:pt idx="24">
                  <c:v>7.0000000000000001E-3</c:v>
                </c:pt>
                <c:pt idx="25">
                  <c:v>0.16800000000000001</c:v>
                </c:pt>
                <c:pt idx="26">
                  <c:v>0</c:v>
                </c:pt>
                <c:pt idx="27">
                  <c:v>0.125</c:v>
                </c:pt>
                <c:pt idx="28">
                  <c:v>0</c:v>
                </c:pt>
                <c:pt idx="29">
                  <c:v>0.13900000000000001</c:v>
                </c:pt>
                <c:pt idx="30">
                  <c:v>8.6999999999999994E-2</c:v>
                </c:pt>
                <c:pt idx="31">
                  <c:v>8.8999999999999996E-2</c:v>
                </c:pt>
                <c:pt idx="32">
                  <c:v>8.4000000000000005E-2</c:v>
                </c:pt>
                <c:pt idx="33">
                  <c:v>0</c:v>
                </c:pt>
                <c:pt idx="34">
                  <c:v>0</c:v>
                </c:pt>
                <c:pt idx="35">
                  <c:v>0.10100000000000001</c:v>
                </c:pt>
                <c:pt idx="36">
                  <c:v>0.24299999999999999</c:v>
                </c:pt>
                <c:pt idx="37">
                  <c:v>0.13600000000000001</c:v>
                </c:pt>
                <c:pt idx="38">
                  <c:v>0.17499999999999999</c:v>
                </c:pt>
                <c:pt idx="39">
                  <c:v>0.129</c:v>
                </c:pt>
                <c:pt idx="40">
                  <c:v>3.6999999999999998E-2</c:v>
                </c:pt>
                <c:pt idx="41">
                  <c:v>0</c:v>
                </c:pt>
                <c:pt idx="42">
                  <c:v>0.3</c:v>
                </c:pt>
                <c:pt idx="43">
                  <c:v>0.14599999999999999</c:v>
                </c:pt>
                <c:pt idx="44">
                  <c:v>0.182</c:v>
                </c:pt>
                <c:pt idx="45">
                  <c:v>0.16900000000000001</c:v>
                </c:pt>
                <c:pt idx="46">
                  <c:v>0</c:v>
                </c:pt>
                <c:pt idx="47">
                  <c:v>0</c:v>
                </c:pt>
                <c:pt idx="48">
                  <c:v>0.187</c:v>
                </c:pt>
                <c:pt idx="49">
                  <c:v>0.126</c:v>
                </c:pt>
                <c:pt idx="50">
                  <c:v>0.29199999999999998</c:v>
                </c:pt>
                <c:pt idx="51">
                  <c:v>0.29499999999999998</c:v>
                </c:pt>
                <c:pt idx="52">
                  <c:v>0</c:v>
                </c:pt>
                <c:pt idx="53">
                  <c:v>0.182</c:v>
                </c:pt>
                <c:pt idx="54">
                  <c:v>0.14399999999999999</c:v>
                </c:pt>
                <c:pt idx="55">
                  <c:v>0.14699999999999999</c:v>
                </c:pt>
                <c:pt idx="56">
                  <c:v>3.5000000000000003E-2</c:v>
                </c:pt>
                <c:pt idx="57">
                  <c:v>0.14699999999999999</c:v>
                </c:pt>
                <c:pt idx="58">
                  <c:v>7.4999999999999997E-2</c:v>
                </c:pt>
                <c:pt idx="59">
                  <c:v>0.20499999999999999</c:v>
                </c:pt>
                <c:pt idx="60">
                  <c:v>0.11899999999999999</c:v>
                </c:pt>
                <c:pt idx="61">
                  <c:v>0.11</c:v>
                </c:pt>
                <c:pt idx="62">
                  <c:v>0.2</c:v>
                </c:pt>
                <c:pt idx="63">
                  <c:v>0.255</c:v>
                </c:pt>
                <c:pt idx="64">
                  <c:v>0.13</c:v>
                </c:pt>
                <c:pt idx="65">
                  <c:v>0.184</c:v>
                </c:pt>
                <c:pt idx="66">
                  <c:v>0.189</c:v>
                </c:pt>
                <c:pt idx="67">
                  <c:v>0.105</c:v>
                </c:pt>
                <c:pt idx="68">
                  <c:v>0.20399999999999999</c:v>
                </c:pt>
                <c:pt idx="69">
                  <c:v>0.05</c:v>
                </c:pt>
                <c:pt idx="70">
                  <c:v>6.8000000000000005E-2</c:v>
                </c:pt>
                <c:pt idx="71">
                  <c:v>0.14199999999999999</c:v>
                </c:pt>
                <c:pt idx="72">
                  <c:v>0.185</c:v>
                </c:pt>
                <c:pt idx="73">
                  <c:v>4.7E-2</c:v>
                </c:pt>
                <c:pt idx="74">
                  <c:v>0.3</c:v>
                </c:pt>
                <c:pt idx="75">
                  <c:v>0.114</c:v>
                </c:pt>
                <c:pt idx="76">
                  <c:v>0.13400000000000001</c:v>
                </c:pt>
                <c:pt idx="77">
                  <c:v>7.1999999999999995E-2</c:v>
                </c:pt>
                <c:pt idx="78">
                  <c:v>0.25700000000000001</c:v>
                </c:pt>
                <c:pt idx="79">
                  <c:v>0.186</c:v>
                </c:pt>
                <c:pt idx="80">
                  <c:v>0.161</c:v>
                </c:pt>
                <c:pt idx="81">
                  <c:v>0.24099999999999999</c:v>
                </c:pt>
                <c:pt idx="82">
                  <c:v>8.4000000000000005E-2</c:v>
                </c:pt>
                <c:pt idx="83">
                  <c:v>0.215</c:v>
                </c:pt>
                <c:pt idx="84">
                  <c:v>0.104</c:v>
                </c:pt>
                <c:pt idx="85">
                  <c:v>7.0000000000000007E-2</c:v>
                </c:pt>
                <c:pt idx="86">
                  <c:v>0.154</c:v>
                </c:pt>
                <c:pt idx="87">
                  <c:v>0.188</c:v>
                </c:pt>
                <c:pt idx="88">
                  <c:v>0.03</c:v>
                </c:pt>
                <c:pt idx="89">
                  <c:v>6.6000000000000003E-2</c:v>
                </c:pt>
                <c:pt idx="90">
                  <c:v>7.3999999999999996E-2</c:v>
                </c:pt>
                <c:pt idx="91">
                  <c:v>0.14399999999999999</c:v>
                </c:pt>
                <c:pt idx="92">
                  <c:v>9.6000000000000002E-2</c:v>
                </c:pt>
                <c:pt idx="93">
                  <c:v>9.9000000000000005E-2</c:v>
                </c:pt>
                <c:pt idx="94">
                  <c:v>0.16</c:v>
                </c:pt>
                <c:pt idx="95">
                  <c:v>3.4000000000000002E-2</c:v>
                </c:pt>
                <c:pt idx="96">
                  <c:v>0.14599999999999999</c:v>
                </c:pt>
                <c:pt idx="97">
                  <c:v>0</c:v>
                </c:pt>
                <c:pt idx="98">
                  <c:v>9.1999999999999998E-2</c:v>
                </c:pt>
                <c:pt idx="99">
                  <c:v>0.29199999999999998</c:v>
                </c:pt>
                <c:pt idx="100">
                  <c:v>0</c:v>
                </c:pt>
                <c:pt idx="101">
                  <c:v>0.14000000000000001</c:v>
                </c:pt>
                <c:pt idx="102">
                  <c:v>0</c:v>
                </c:pt>
                <c:pt idx="103">
                  <c:v>0.18</c:v>
                </c:pt>
                <c:pt idx="104">
                  <c:v>0.16900000000000001</c:v>
                </c:pt>
                <c:pt idx="105">
                  <c:v>0.27800000000000002</c:v>
                </c:pt>
                <c:pt idx="106">
                  <c:v>0.13700000000000001</c:v>
                </c:pt>
                <c:pt idx="107">
                  <c:v>0.123</c:v>
                </c:pt>
                <c:pt idx="108">
                  <c:v>0</c:v>
                </c:pt>
                <c:pt idx="109">
                  <c:v>0.22900000000000001</c:v>
                </c:pt>
                <c:pt idx="110">
                  <c:v>0</c:v>
                </c:pt>
                <c:pt idx="111">
                  <c:v>1.2E-2</c:v>
                </c:pt>
                <c:pt idx="112">
                  <c:v>0.11799999999999999</c:v>
                </c:pt>
                <c:pt idx="113">
                  <c:v>0.11899999999999999</c:v>
                </c:pt>
                <c:pt idx="114">
                  <c:v>0</c:v>
                </c:pt>
                <c:pt idx="115">
                  <c:v>0.108</c:v>
                </c:pt>
                <c:pt idx="116">
                  <c:v>0.157</c:v>
                </c:pt>
                <c:pt idx="117">
                  <c:v>0.184</c:v>
                </c:pt>
                <c:pt idx="118">
                  <c:v>7.0999999999999994E-2</c:v>
                </c:pt>
                <c:pt idx="119">
                  <c:v>4.2999999999999997E-2</c:v>
                </c:pt>
                <c:pt idx="120">
                  <c:v>0.123</c:v>
                </c:pt>
                <c:pt idx="121">
                  <c:v>6.9000000000000006E-2</c:v>
                </c:pt>
                <c:pt idx="122">
                  <c:v>0.20300000000000001</c:v>
                </c:pt>
                <c:pt idx="123">
                  <c:v>5.7000000000000002E-2</c:v>
                </c:pt>
                <c:pt idx="124">
                  <c:v>8.8999999999999996E-2</c:v>
                </c:pt>
                <c:pt idx="125">
                  <c:v>8.4000000000000005E-2</c:v>
                </c:pt>
                <c:pt idx="126">
                  <c:v>7.2999999999999995E-2</c:v>
                </c:pt>
                <c:pt idx="127">
                  <c:v>0.17899999999999999</c:v>
                </c:pt>
                <c:pt idx="128">
                  <c:v>0.187</c:v>
                </c:pt>
                <c:pt idx="129">
                  <c:v>0.111</c:v>
                </c:pt>
                <c:pt idx="130">
                  <c:v>6.3E-2</c:v>
                </c:pt>
                <c:pt idx="131">
                  <c:v>0.14199999999999999</c:v>
                </c:pt>
                <c:pt idx="132">
                  <c:v>0.22</c:v>
                </c:pt>
                <c:pt idx="133">
                  <c:v>0.187</c:v>
                </c:pt>
                <c:pt idx="134">
                  <c:v>0.192</c:v>
                </c:pt>
                <c:pt idx="135">
                  <c:v>9.4E-2</c:v>
                </c:pt>
                <c:pt idx="136">
                  <c:v>8.9999999999999993E-3</c:v>
                </c:pt>
                <c:pt idx="137">
                  <c:v>0.26500000000000001</c:v>
                </c:pt>
                <c:pt idx="138">
                  <c:v>0.129</c:v>
                </c:pt>
                <c:pt idx="139">
                  <c:v>0.25900000000000001</c:v>
                </c:pt>
                <c:pt idx="140">
                  <c:v>0.11799999999999999</c:v>
                </c:pt>
                <c:pt idx="141">
                  <c:v>0.01</c:v>
                </c:pt>
                <c:pt idx="142">
                  <c:v>0.151</c:v>
                </c:pt>
                <c:pt idx="143">
                  <c:v>0.245</c:v>
                </c:pt>
                <c:pt idx="144">
                  <c:v>8.2000000000000003E-2</c:v>
                </c:pt>
                <c:pt idx="145">
                  <c:v>0.107</c:v>
                </c:pt>
                <c:pt idx="146">
                  <c:v>0.185</c:v>
                </c:pt>
                <c:pt idx="147">
                  <c:v>0</c:v>
                </c:pt>
                <c:pt idx="148">
                  <c:v>0.188</c:v>
                </c:pt>
                <c:pt idx="149">
                  <c:v>2.1000000000000001E-2</c:v>
                </c:pt>
                <c:pt idx="150">
                  <c:v>0.13100000000000001</c:v>
                </c:pt>
                <c:pt idx="151">
                  <c:v>4.4999999999999998E-2</c:v>
                </c:pt>
                <c:pt idx="152">
                  <c:v>0.184</c:v>
                </c:pt>
                <c:pt idx="153">
                  <c:v>0.13600000000000001</c:v>
                </c:pt>
                <c:pt idx="154">
                  <c:v>0.184</c:v>
                </c:pt>
                <c:pt idx="155">
                  <c:v>0.111</c:v>
                </c:pt>
                <c:pt idx="156">
                  <c:v>1.7999999999999999E-2</c:v>
                </c:pt>
                <c:pt idx="157">
                  <c:v>2.5000000000000001E-2</c:v>
                </c:pt>
                <c:pt idx="158">
                  <c:v>0.127</c:v>
                </c:pt>
                <c:pt idx="159">
                  <c:v>0.18099999999999999</c:v>
                </c:pt>
                <c:pt idx="160">
                  <c:v>0.157</c:v>
                </c:pt>
                <c:pt idx="161">
                  <c:v>7.1999999999999995E-2</c:v>
                </c:pt>
                <c:pt idx="162">
                  <c:v>0.13300000000000001</c:v>
                </c:pt>
                <c:pt idx="163">
                  <c:v>0.14000000000000001</c:v>
                </c:pt>
                <c:pt idx="164">
                  <c:v>0.02</c:v>
                </c:pt>
                <c:pt idx="165">
                  <c:v>5.2999999999999999E-2</c:v>
                </c:pt>
                <c:pt idx="166">
                  <c:v>0.19700000000000001</c:v>
                </c:pt>
                <c:pt idx="167">
                  <c:v>0.254</c:v>
                </c:pt>
                <c:pt idx="168">
                  <c:v>0.185</c:v>
                </c:pt>
                <c:pt idx="169">
                  <c:v>0.13900000000000001</c:v>
                </c:pt>
                <c:pt idx="170">
                  <c:v>0.254</c:v>
                </c:pt>
                <c:pt idx="171">
                  <c:v>0.13400000000000001</c:v>
                </c:pt>
                <c:pt idx="172">
                  <c:v>4.7E-2</c:v>
                </c:pt>
                <c:pt idx="173">
                  <c:v>7.8E-2</c:v>
                </c:pt>
                <c:pt idx="174">
                  <c:v>2.1999999999999999E-2</c:v>
                </c:pt>
                <c:pt idx="175">
                  <c:v>0.255</c:v>
                </c:pt>
                <c:pt idx="176">
                  <c:v>9.0999999999999998E-2</c:v>
                </c:pt>
                <c:pt idx="177">
                  <c:v>0.17699999999999999</c:v>
                </c:pt>
                <c:pt idx="178">
                  <c:v>5.6000000000000001E-2</c:v>
                </c:pt>
                <c:pt idx="179">
                  <c:v>0.17299999999999999</c:v>
                </c:pt>
                <c:pt idx="180">
                  <c:v>0.21199999999999999</c:v>
                </c:pt>
                <c:pt idx="181">
                  <c:v>6.3E-2</c:v>
                </c:pt>
                <c:pt idx="182">
                  <c:v>0.19600000000000001</c:v>
                </c:pt>
                <c:pt idx="183">
                  <c:v>0.10100000000000001</c:v>
                </c:pt>
                <c:pt idx="184">
                  <c:v>0.153</c:v>
                </c:pt>
                <c:pt idx="185">
                  <c:v>2.5000000000000001E-2</c:v>
                </c:pt>
                <c:pt idx="186">
                  <c:v>0.21099999999999999</c:v>
                </c:pt>
                <c:pt idx="187">
                  <c:v>0.23300000000000001</c:v>
                </c:pt>
                <c:pt idx="188">
                  <c:v>0.11799999999999999</c:v>
                </c:pt>
                <c:pt idx="189">
                  <c:v>1.2E-2</c:v>
                </c:pt>
                <c:pt idx="190">
                  <c:v>0.215</c:v>
                </c:pt>
                <c:pt idx="191">
                  <c:v>9.4E-2</c:v>
                </c:pt>
                <c:pt idx="192">
                  <c:v>0.23599999999999999</c:v>
                </c:pt>
                <c:pt idx="193">
                  <c:v>7.1999999999999995E-2</c:v>
                </c:pt>
                <c:pt idx="194">
                  <c:v>9.4E-2</c:v>
                </c:pt>
                <c:pt idx="195">
                  <c:v>0.159</c:v>
                </c:pt>
                <c:pt idx="196">
                  <c:v>0.185</c:v>
                </c:pt>
                <c:pt idx="197">
                  <c:v>5.0999999999999997E-2</c:v>
                </c:pt>
                <c:pt idx="198">
                  <c:v>0.186</c:v>
                </c:pt>
                <c:pt idx="199">
                  <c:v>0.155</c:v>
                </c:pt>
                <c:pt idx="200">
                  <c:v>5.7000000000000002E-2</c:v>
                </c:pt>
                <c:pt idx="201">
                  <c:v>0.25800000000000001</c:v>
                </c:pt>
                <c:pt idx="202">
                  <c:v>0</c:v>
                </c:pt>
                <c:pt idx="203">
                  <c:v>0.24299999999999999</c:v>
                </c:pt>
                <c:pt idx="204">
                  <c:v>5.5E-2</c:v>
                </c:pt>
                <c:pt idx="205">
                  <c:v>2.9000000000000001E-2</c:v>
                </c:pt>
                <c:pt idx="206">
                  <c:v>3.7999999999999999E-2</c:v>
                </c:pt>
                <c:pt idx="207">
                  <c:v>0.14799999999999999</c:v>
                </c:pt>
                <c:pt idx="208">
                  <c:v>0.20300000000000001</c:v>
                </c:pt>
                <c:pt idx="209">
                  <c:v>0.13600000000000001</c:v>
                </c:pt>
                <c:pt idx="210">
                  <c:v>0.152</c:v>
                </c:pt>
                <c:pt idx="211">
                  <c:v>0.10199999999999999</c:v>
                </c:pt>
                <c:pt idx="212">
                  <c:v>0.128</c:v>
                </c:pt>
                <c:pt idx="213">
                  <c:v>0</c:v>
                </c:pt>
                <c:pt idx="214">
                  <c:v>0.157</c:v>
                </c:pt>
                <c:pt idx="215">
                  <c:v>0.20100000000000001</c:v>
                </c:pt>
                <c:pt idx="216">
                  <c:v>0.113</c:v>
                </c:pt>
                <c:pt idx="217">
                  <c:v>0.19600000000000001</c:v>
                </c:pt>
                <c:pt idx="218">
                  <c:v>4.0000000000000001E-3</c:v>
                </c:pt>
                <c:pt idx="219">
                  <c:v>0.26600000000000001</c:v>
                </c:pt>
                <c:pt idx="220">
                  <c:v>5.5E-2</c:v>
                </c:pt>
                <c:pt idx="221">
                  <c:v>0.20399999999999999</c:v>
                </c:pt>
                <c:pt idx="222">
                  <c:v>9.2999999999999999E-2</c:v>
                </c:pt>
                <c:pt idx="223">
                  <c:v>5.0999999999999997E-2</c:v>
                </c:pt>
                <c:pt idx="224">
                  <c:v>5.0999999999999997E-2</c:v>
                </c:pt>
                <c:pt idx="225">
                  <c:v>0.14699999999999999</c:v>
                </c:pt>
                <c:pt idx="226">
                  <c:v>0.13100000000000001</c:v>
                </c:pt>
                <c:pt idx="227">
                  <c:v>6.7000000000000004E-2</c:v>
                </c:pt>
                <c:pt idx="228">
                  <c:v>0.123</c:v>
                </c:pt>
                <c:pt idx="229">
                  <c:v>0.189</c:v>
                </c:pt>
                <c:pt idx="230">
                  <c:v>0.14799999999999999</c:v>
                </c:pt>
                <c:pt idx="231">
                  <c:v>0.109</c:v>
                </c:pt>
                <c:pt idx="232">
                  <c:v>0.11600000000000001</c:v>
                </c:pt>
                <c:pt idx="233">
                  <c:v>0.187</c:v>
                </c:pt>
                <c:pt idx="234">
                  <c:v>0.10199999999999999</c:v>
                </c:pt>
                <c:pt idx="235">
                  <c:v>6.8000000000000005E-2</c:v>
                </c:pt>
                <c:pt idx="236">
                  <c:v>0.126</c:v>
                </c:pt>
                <c:pt idx="237">
                  <c:v>0.17199999999999999</c:v>
                </c:pt>
                <c:pt idx="238">
                  <c:v>0.23499999999999999</c:v>
                </c:pt>
                <c:pt idx="239">
                  <c:v>0.13</c:v>
                </c:pt>
                <c:pt idx="240">
                  <c:v>8.5999999999999993E-2</c:v>
                </c:pt>
                <c:pt idx="241">
                  <c:v>9.5000000000000001E-2</c:v>
                </c:pt>
                <c:pt idx="242">
                  <c:v>0.13600000000000001</c:v>
                </c:pt>
                <c:pt idx="243">
                  <c:v>0.23799999999999999</c:v>
                </c:pt>
                <c:pt idx="244">
                  <c:v>0.17499999999999999</c:v>
                </c:pt>
                <c:pt idx="245">
                  <c:v>0.16700000000000001</c:v>
                </c:pt>
                <c:pt idx="246">
                  <c:v>0.26300000000000001</c:v>
                </c:pt>
                <c:pt idx="247">
                  <c:v>0.151</c:v>
                </c:pt>
                <c:pt idx="248">
                  <c:v>0.11</c:v>
                </c:pt>
                <c:pt idx="249">
                  <c:v>0.107</c:v>
                </c:pt>
                <c:pt idx="250">
                  <c:v>0.14299999999999999</c:v>
                </c:pt>
                <c:pt idx="251">
                  <c:v>0.20300000000000001</c:v>
                </c:pt>
                <c:pt idx="252">
                  <c:v>0.22500000000000001</c:v>
                </c:pt>
                <c:pt idx="253">
                  <c:v>0.122</c:v>
                </c:pt>
                <c:pt idx="254">
                  <c:v>5.2999999999999999E-2</c:v>
                </c:pt>
                <c:pt idx="255">
                  <c:v>3.4000000000000002E-2</c:v>
                </c:pt>
                <c:pt idx="256">
                  <c:v>0.17299999999999999</c:v>
                </c:pt>
                <c:pt idx="257">
                  <c:v>0.19700000000000001</c:v>
                </c:pt>
                <c:pt idx="258">
                  <c:v>0.20499999999999999</c:v>
                </c:pt>
                <c:pt idx="259">
                  <c:v>0.14000000000000001</c:v>
                </c:pt>
                <c:pt idx="260">
                  <c:v>7.8E-2</c:v>
                </c:pt>
                <c:pt idx="261">
                  <c:v>4.0000000000000001E-3</c:v>
                </c:pt>
                <c:pt idx="262">
                  <c:v>0.216</c:v>
                </c:pt>
                <c:pt idx="263">
                  <c:v>5.7000000000000002E-2</c:v>
                </c:pt>
                <c:pt idx="264">
                  <c:v>0.126</c:v>
                </c:pt>
                <c:pt idx="265">
                  <c:v>0.19600000000000001</c:v>
                </c:pt>
                <c:pt idx="266">
                  <c:v>0.184</c:v>
                </c:pt>
                <c:pt idx="267">
                  <c:v>0.107</c:v>
                </c:pt>
                <c:pt idx="268">
                  <c:v>0</c:v>
                </c:pt>
                <c:pt idx="269">
                  <c:v>0.154</c:v>
                </c:pt>
                <c:pt idx="270">
                  <c:v>0.13400000000000001</c:v>
                </c:pt>
                <c:pt idx="271">
                  <c:v>0.17399999999999999</c:v>
                </c:pt>
                <c:pt idx="272">
                  <c:v>0.13900000000000001</c:v>
                </c:pt>
                <c:pt idx="273">
                  <c:v>0.16400000000000001</c:v>
                </c:pt>
                <c:pt idx="274">
                  <c:v>0.13500000000000001</c:v>
                </c:pt>
                <c:pt idx="275">
                  <c:v>0.13500000000000001</c:v>
                </c:pt>
                <c:pt idx="276">
                  <c:v>0.115</c:v>
                </c:pt>
                <c:pt idx="277">
                  <c:v>0.151</c:v>
                </c:pt>
                <c:pt idx="278">
                  <c:v>0.12</c:v>
                </c:pt>
                <c:pt idx="279">
                  <c:v>0.13800000000000001</c:v>
                </c:pt>
                <c:pt idx="280">
                  <c:v>0.112</c:v>
                </c:pt>
                <c:pt idx="281">
                  <c:v>0.3</c:v>
                </c:pt>
                <c:pt idx="282">
                  <c:v>0</c:v>
                </c:pt>
                <c:pt idx="283">
                  <c:v>0.114</c:v>
                </c:pt>
                <c:pt idx="284">
                  <c:v>0.155</c:v>
                </c:pt>
                <c:pt idx="285">
                  <c:v>0.22</c:v>
                </c:pt>
                <c:pt idx="286">
                  <c:v>0.13400000000000001</c:v>
                </c:pt>
                <c:pt idx="287">
                  <c:v>0.13400000000000001</c:v>
                </c:pt>
                <c:pt idx="288">
                  <c:v>6.6000000000000003E-2</c:v>
                </c:pt>
                <c:pt idx="289">
                  <c:v>0.192</c:v>
                </c:pt>
                <c:pt idx="290">
                  <c:v>0.14599999999999999</c:v>
                </c:pt>
                <c:pt idx="291">
                  <c:v>0.156</c:v>
                </c:pt>
                <c:pt idx="292">
                  <c:v>0.20699999999999999</c:v>
                </c:pt>
                <c:pt idx="293">
                  <c:v>5.8999999999999997E-2</c:v>
                </c:pt>
                <c:pt idx="294">
                  <c:v>0.08</c:v>
                </c:pt>
                <c:pt idx="295">
                  <c:v>0.113</c:v>
                </c:pt>
                <c:pt idx="296">
                  <c:v>0.16900000000000001</c:v>
                </c:pt>
                <c:pt idx="297">
                  <c:v>0.108</c:v>
                </c:pt>
                <c:pt idx="298">
                  <c:v>0.11899999999999999</c:v>
                </c:pt>
                <c:pt idx="299">
                  <c:v>0</c:v>
                </c:pt>
                <c:pt idx="300">
                  <c:v>5.6000000000000001E-2</c:v>
                </c:pt>
                <c:pt idx="301">
                  <c:v>0.19400000000000001</c:v>
                </c:pt>
                <c:pt idx="302">
                  <c:v>0.129</c:v>
                </c:pt>
                <c:pt idx="303">
                  <c:v>0.17399999999999999</c:v>
                </c:pt>
                <c:pt idx="304">
                  <c:v>0.08</c:v>
                </c:pt>
                <c:pt idx="305">
                  <c:v>3.7999999999999999E-2</c:v>
                </c:pt>
                <c:pt idx="306">
                  <c:v>0.1</c:v>
                </c:pt>
                <c:pt idx="307">
                  <c:v>0.17599999999999999</c:v>
                </c:pt>
                <c:pt idx="308">
                  <c:v>0.153</c:v>
                </c:pt>
                <c:pt idx="309">
                  <c:v>8.8999999999999996E-2</c:v>
                </c:pt>
                <c:pt idx="310">
                  <c:v>0.185</c:v>
                </c:pt>
                <c:pt idx="311">
                  <c:v>4.4999999999999998E-2</c:v>
                </c:pt>
                <c:pt idx="312">
                  <c:v>8.7999999999999995E-2</c:v>
                </c:pt>
                <c:pt idx="313">
                  <c:v>0</c:v>
                </c:pt>
                <c:pt idx="314">
                  <c:v>3.1E-2</c:v>
                </c:pt>
                <c:pt idx="315">
                  <c:v>0.09</c:v>
                </c:pt>
                <c:pt idx="316">
                  <c:v>0.14099999999999999</c:v>
                </c:pt>
                <c:pt idx="317">
                  <c:v>7.4999999999999997E-2</c:v>
                </c:pt>
                <c:pt idx="318">
                  <c:v>1.4E-2</c:v>
                </c:pt>
                <c:pt idx="319">
                  <c:v>0.151</c:v>
                </c:pt>
                <c:pt idx="320">
                  <c:v>7.5999999999999998E-2</c:v>
                </c:pt>
                <c:pt idx="321">
                  <c:v>0.215</c:v>
                </c:pt>
                <c:pt idx="322">
                  <c:v>0.10299999999999999</c:v>
                </c:pt>
                <c:pt idx="323">
                  <c:v>0.17599999999999999</c:v>
                </c:pt>
                <c:pt idx="324">
                  <c:v>5.0999999999999997E-2</c:v>
                </c:pt>
                <c:pt idx="325">
                  <c:v>0.121</c:v>
                </c:pt>
                <c:pt idx="326">
                  <c:v>4.2000000000000003E-2</c:v>
                </c:pt>
                <c:pt idx="327">
                  <c:v>0.109</c:v>
                </c:pt>
                <c:pt idx="328">
                  <c:v>0.3</c:v>
                </c:pt>
                <c:pt idx="329">
                  <c:v>0.2</c:v>
                </c:pt>
                <c:pt idx="330">
                  <c:v>6.5000000000000002E-2</c:v>
                </c:pt>
                <c:pt idx="331">
                  <c:v>0.23899999999999999</c:v>
                </c:pt>
                <c:pt idx="332">
                  <c:v>0.27</c:v>
                </c:pt>
                <c:pt idx="333">
                  <c:v>2.8000000000000001E-2</c:v>
                </c:pt>
                <c:pt idx="334">
                  <c:v>0.14499999999999999</c:v>
                </c:pt>
                <c:pt idx="335">
                  <c:v>0.158</c:v>
                </c:pt>
                <c:pt idx="336">
                  <c:v>6.6000000000000003E-2</c:v>
                </c:pt>
                <c:pt idx="337">
                  <c:v>0.21</c:v>
                </c:pt>
                <c:pt idx="338">
                  <c:v>0.24</c:v>
                </c:pt>
                <c:pt idx="339">
                  <c:v>0.29899999999999999</c:v>
                </c:pt>
                <c:pt idx="340">
                  <c:v>0.3</c:v>
                </c:pt>
                <c:pt idx="341">
                  <c:v>0.28199999999999997</c:v>
                </c:pt>
                <c:pt idx="342">
                  <c:v>0</c:v>
                </c:pt>
                <c:pt idx="343">
                  <c:v>0.26100000000000001</c:v>
                </c:pt>
                <c:pt idx="344">
                  <c:v>7.0999999999999994E-2</c:v>
                </c:pt>
                <c:pt idx="345">
                  <c:v>0.02</c:v>
                </c:pt>
                <c:pt idx="346">
                  <c:v>0.10299999999999999</c:v>
                </c:pt>
                <c:pt idx="347">
                  <c:v>0</c:v>
                </c:pt>
                <c:pt idx="348">
                  <c:v>0.14399999999999999</c:v>
                </c:pt>
                <c:pt idx="349">
                  <c:v>0.113</c:v>
                </c:pt>
                <c:pt idx="350">
                  <c:v>0.188</c:v>
                </c:pt>
                <c:pt idx="351">
                  <c:v>0.113</c:v>
                </c:pt>
                <c:pt idx="352">
                  <c:v>3.9E-2</c:v>
                </c:pt>
                <c:pt idx="353">
                  <c:v>0.17899999999999999</c:v>
                </c:pt>
                <c:pt idx="354">
                  <c:v>0.128</c:v>
                </c:pt>
                <c:pt idx="355">
                  <c:v>0.16700000000000001</c:v>
                </c:pt>
                <c:pt idx="356">
                  <c:v>0</c:v>
                </c:pt>
                <c:pt idx="357">
                  <c:v>0.17</c:v>
                </c:pt>
                <c:pt idx="358">
                  <c:v>0</c:v>
                </c:pt>
                <c:pt idx="359">
                  <c:v>0.17599999999999999</c:v>
                </c:pt>
                <c:pt idx="360">
                  <c:v>0.11</c:v>
                </c:pt>
                <c:pt idx="361">
                  <c:v>7.8E-2</c:v>
                </c:pt>
                <c:pt idx="362">
                  <c:v>1.4E-2</c:v>
                </c:pt>
                <c:pt idx="363">
                  <c:v>0.27200000000000002</c:v>
                </c:pt>
                <c:pt idx="364">
                  <c:v>0.13200000000000001</c:v>
                </c:pt>
                <c:pt idx="365">
                  <c:v>8.9999999999999993E-3</c:v>
                </c:pt>
                <c:pt idx="366">
                  <c:v>0.192</c:v>
                </c:pt>
                <c:pt idx="367">
                  <c:v>0.105</c:v>
                </c:pt>
                <c:pt idx="368">
                  <c:v>0.106</c:v>
                </c:pt>
                <c:pt idx="369">
                  <c:v>0.115</c:v>
                </c:pt>
                <c:pt idx="370">
                  <c:v>5.8000000000000003E-2</c:v>
                </c:pt>
                <c:pt idx="371">
                  <c:v>0</c:v>
                </c:pt>
                <c:pt idx="372">
                  <c:v>0.107</c:v>
                </c:pt>
                <c:pt idx="373">
                  <c:v>3.4000000000000002E-2</c:v>
                </c:pt>
                <c:pt idx="374">
                  <c:v>0.25600000000000001</c:v>
                </c:pt>
                <c:pt idx="375">
                  <c:v>6.3E-2</c:v>
                </c:pt>
                <c:pt idx="376">
                  <c:v>9.9000000000000005E-2</c:v>
                </c:pt>
                <c:pt idx="377">
                  <c:v>0.13900000000000001</c:v>
                </c:pt>
                <c:pt idx="378">
                  <c:v>9.1999999999999998E-2</c:v>
                </c:pt>
                <c:pt idx="379">
                  <c:v>3.2000000000000001E-2</c:v>
                </c:pt>
                <c:pt idx="380">
                  <c:v>0.16300000000000001</c:v>
                </c:pt>
                <c:pt idx="381">
                  <c:v>0.17599999999999999</c:v>
                </c:pt>
                <c:pt idx="382">
                  <c:v>7.8E-2</c:v>
                </c:pt>
                <c:pt idx="383">
                  <c:v>0.09</c:v>
                </c:pt>
                <c:pt idx="384">
                  <c:v>5.8000000000000003E-2</c:v>
                </c:pt>
                <c:pt idx="385">
                  <c:v>0.19</c:v>
                </c:pt>
                <c:pt idx="386">
                  <c:v>0.104</c:v>
                </c:pt>
                <c:pt idx="387">
                  <c:v>0.127</c:v>
                </c:pt>
                <c:pt idx="388">
                  <c:v>0.14699999999999999</c:v>
                </c:pt>
                <c:pt idx="389">
                  <c:v>7.1999999999999995E-2</c:v>
                </c:pt>
                <c:pt idx="390">
                  <c:v>8.9999999999999993E-3</c:v>
                </c:pt>
                <c:pt idx="391">
                  <c:v>0.105</c:v>
                </c:pt>
                <c:pt idx="392">
                  <c:v>0.3</c:v>
                </c:pt>
                <c:pt idx="393">
                  <c:v>0.254</c:v>
                </c:pt>
                <c:pt idx="394">
                  <c:v>0.14799999999999999</c:v>
                </c:pt>
                <c:pt idx="395">
                  <c:v>9.8000000000000004E-2</c:v>
                </c:pt>
                <c:pt idx="396">
                  <c:v>0.10299999999999999</c:v>
                </c:pt>
                <c:pt idx="397">
                  <c:v>0.24099999999999999</c:v>
                </c:pt>
                <c:pt idx="398">
                  <c:v>8.3000000000000004E-2</c:v>
                </c:pt>
                <c:pt idx="399">
                  <c:v>0.122</c:v>
                </c:pt>
                <c:pt idx="400">
                  <c:v>2.5000000000000001E-2</c:v>
                </c:pt>
                <c:pt idx="401">
                  <c:v>0.18</c:v>
                </c:pt>
                <c:pt idx="402">
                  <c:v>0.106</c:v>
                </c:pt>
                <c:pt idx="403">
                  <c:v>0.126</c:v>
                </c:pt>
                <c:pt idx="404">
                  <c:v>0.111</c:v>
                </c:pt>
                <c:pt idx="405">
                  <c:v>6.4000000000000001E-2</c:v>
                </c:pt>
                <c:pt idx="406">
                  <c:v>7.6999999999999999E-2</c:v>
                </c:pt>
                <c:pt idx="407">
                  <c:v>0.13800000000000001</c:v>
                </c:pt>
                <c:pt idx="408">
                  <c:v>0.19600000000000001</c:v>
                </c:pt>
                <c:pt idx="409">
                  <c:v>0</c:v>
                </c:pt>
                <c:pt idx="410">
                  <c:v>0.24099999999999999</c:v>
                </c:pt>
                <c:pt idx="411">
                  <c:v>0.23899999999999999</c:v>
                </c:pt>
                <c:pt idx="412">
                  <c:v>0.112</c:v>
                </c:pt>
                <c:pt idx="413">
                  <c:v>8.3000000000000004E-2</c:v>
                </c:pt>
                <c:pt idx="414">
                  <c:v>7.1999999999999995E-2</c:v>
                </c:pt>
                <c:pt idx="415">
                  <c:v>3.2000000000000001E-2</c:v>
                </c:pt>
                <c:pt idx="416">
                  <c:v>0.245</c:v>
                </c:pt>
                <c:pt idx="417">
                  <c:v>0.09</c:v>
                </c:pt>
                <c:pt idx="418">
                  <c:v>0.217</c:v>
                </c:pt>
                <c:pt idx="419">
                  <c:v>0.22600000000000001</c:v>
                </c:pt>
                <c:pt idx="420">
                  <c:v>0.151</c:v>
                </c:pt>
                <c:pt idx="421">
                  <c:v>1.9E-2</c:v>
                </c:pt>
                <c:pt idx="422">
                  <c:v>0.157</c:v>
                </c:pt>
                <c:pt idx="423">
                  <c:v>0.16800000000000001</c:v>
                </c:pt>
                <c:pt idx="424">
                  <c:v>0.24299999999999999</c:v>
                </c:pt>
                <c:pt idx="425">
                  <c:v>0.17299999999999999</c:v>
                </c:pt>
                <c:pt idx="426">
                  <c:v>0.25</c:v>
                </c:pt>
                <c:pt idx="427">
                  <c:v>0.3</c:v>
                </c:pt>
                <c:pt idx="428">
                  <c:v>0</c:v>
                </c:pt>
                <c:pt idx="429">
                  <c:v>0.17499999999999999</c:v>
                </c:pt>
                <c:pt idx="430">
                  <c:v>0.115</c:v>
                </c:pt>
                <c:pt idx="431">
                  <c:v>0</c:v>
                </c:pt>
                <c:pt idx="432">
                  <c:v>5.6000000000000001E-2</c:v>
                </c:pt>
                <c:pt idx="433">
                  <c:v>5.8999999999999997E-2</c:v>
                </c:pt>
                <c:pt idx="434">
                  <c:v>0.214</c:v>
                </c:pt>
                <c:pt idx="435">
                  <c:v>0</c:v>
                </c:pt>
                <c:pt idx="436">
                  <c:v>0.113</c:v>
                </c:pt>
                <c:pt idx="437">
                  <c:v>0.14699999999999999</c:v>
                </c:pt>
                <c:pt idx="438">
                  <c:v>0.17399999999999999</c:v>
                </c:pt>
                <c:pt idx="439">
                  <c:v>4.1000000000000002E-2</c:v>
                </c:pt>
                <c:pt idx="440">
                  <c:v>0.15</c:v>
                </c:pt>
                <c:pt idx="441">
                  <c:v>0.14799999999999999</c:v>
                </c:pt>
                <c:pt idx="442">
                  <c:v>0.157</c:v>
                </c:pt>
                <c:pt idx="443">
                  <c:v>4.2999999999999997E-2</c:v>
                </c:pt>
                <c:pt idx="444">
                  <c:v>0</c:v>
                </c:pt>
                <c:pt idx="445">
                  <c:v>2.8000000000000001E-2</c:v>
                </c:pt>
                <c:pt idx="446">
                  <c:v>7.3999999999999996E-2</c:v>
                </c:pt>
                <c:pt idx="447">
                  <c:v>0.29299999999999998</c:v>
                </c:pt>
                <c:pt idx="448">
                  <c:v>0.104</c:v>
                </c:pt>
                <c:pt idx="449">
                  <c:v>0.216</c:v>
                </c:pt>
                <c:pt idx="450">
                  <c:v>0.16500000000000001</c:v>
                </c:pt>
                <c:pt idx="451">
                  <c:v>6.6000000000000003E-2</c:v>
                </c:pt>
                <c:pt idx="452">
                  <c:v>7.0999999999999994E-2</c:v>
                </c:pt>
                <c:pt idx="453">
                  <c:v>0.115</c:v>
                </c:pt>
                <c:pt idx="454">
                  <c:v>1.7000000000000001E-2</c:v>
                </c:pt>
                <c:pt idx="455">
                  <c:v>0.111</c:v>
                </c:pt>
                <c:pt idx="456">
                  <c:v>0</c:v>
                </c:pt>
                <c:pt idx="457">
                  <c:v>0.13600000000000001</c:v>
                </c:pt>
                <c:pt idx="458">
                  <c:v>0.125</c:v>
                </c:pt>
                <c:pt idx="459">
                  <c:v>0</c:v>
                </c:pt>
                <c:pt idx="460">
                  <c:v>0.107</c:v>
                </c:pt>
                <c:pt idx="461">
                  <c:v>0.129</c:v>
                </c:pt>
                <c:pt idx="462">
                  <c:v>0.152</c:v>
                </c:pt>
                <c:pt idx="463">
                  <c:v>0.124</c:v>
                </c:pt>
                <c:pt idx="464">
                  <c:v>0.25700000000000001</c:v>
                </c:pt>
                <c:pt idx="465">
                  <c:v>0.21099999999999999</c:v>
                </c:pt>
                <c:pt idx="466">
                  <c:v>0.22900000000000001</c:v>
                </c:pt>
                <c:pt idx="467">
                  <c:v>7.0999999999999994E-2</c:v>
                </c:pt>
                <c:pt idx="468">
                  <c:v>0.23</c:v>
                </c:pt>
                <c:pt idx="469">
                  <c:v>4.5999999999999999E-2</c:v>
                </c:pt>
                <c:pt idx="470">
                  <c:v>4.9000000000000002E-2</c:v>
                </c:pt>
                <c:pt idx="471">
                  <c:v>0.13800000000000001</c:v>
                </c:pt>
                <c:pt idx="472">
                  <c:v>7.3999999999999996E-2</c:v>
                </c:pt>
                <c:pt idx="473">
                  <c:v>0.126</c:v>
                </c:pt>
                <c:pt idx="474">
                  <c:v>0.20499999999999999</c:v>
                </c:pt>
                <c:pt idx="475">
                  <c:v>4.2000000000000003E-2</c:v>
                </c:pt>
                <c:pt idx="476">
                  <c:v>8.8999999999999996E-2</c:v>
                </c:pt>
                <c:pt idx="477">
                  <c:v>0.16500000000000001</c:v>
                </c:pt>
                <c:pt idx="478">
                  <c:v>0.216</c:v>
                </c:pt>
                <c:pt idx="479">
                  <c:v>0.02</c:v>
                </c:pt>
                <c:pt idx="480">
                  <c:v>7.5999999999999998E-2</c:v>
                </c:pt>
                <c:pt idx="481">
                  <c:v>9.0999999999999998E-2</c:v>
                </c:pt>
                <c:pt idx="482">
                  <c:v>0.13200000000000001</c:v>
                </c:pt>
                <c:pt idx="483">
                  <c:v>5.2999999999999999E-2</c:v>
                </c:pt>
                <c:pt idx="484">
                  <c:v>0.123</c:v>
                </c:pt>
                <c:pt idx="485">
                  <c:v>9.1999999999999998E-2</c:v>
                </c:pt>
                <c:pt idx="486">
                  <c:v>0.222</c:v>
                </c:pt>
                <c:pt idx="487">
                  <c:v>7.3999999999999996E-2</c:v>
                </c:pt>
                <c:pt idx="488">
                  <c:v>0.19700000000000001</c:v>
                </c:pt>
                <c:pt idx="489">
                  <c:v>0.13500000000000001</c:v>
                </c:pt>
                <c:pt idx="490">
                  <c:v>0</c:v>
                </c:pt>
                <c:pt idx="491">
                  <c:v>0</c:v>
                </c:pt>
                <c:pt idx="492">
                  <c:v>8.3000000000000004E-2</c:v>
                </c:pt>
                <c:pt idx="493">
                  <c:v>0.13200000000000001</c:v>
                </c:pt>
                <c:pt idx="494">
                  <c:v>4.2000000000000003E-2</c:v>
                </c:pt>
                <c:pt idx="495">
                  <c:v>0.113</c:v>
                </c:pt>
                <c:pt idx="496">
                  <c:v>0.14199999999999999</c:v>
                </c:pt>
                <c:pt idx="497">
                  <c:v>4.2000000000000003E-2</c:v>
                </c:pt>
                <c:pt idx="498">
                  <c:v>5.7000000000000002E-2</c:v>
                </c:pt>
                <c:pt idx="499">
                  <c:v>0.218</c:v>
                </c:pt>
                <c:pt idx="500">
                  <c:v>4.1000000000000002E-2</c:v>
                </c:pt>
                <c:pt idx="501">
                  <c:v>0.16700000000000001</c:v>
                </c:pt>
                <c:pt idx="502">
                  <c:v>6.9000000000000006E-2</c:v>
                </c:pt>
                <c:pt idx="503">
                  <c:v>0.10100000000000001</c:v>
                </c:pt>
                <c:pt idx="504">
                  <c:v>7.0000000000000007E-2</c:v>
                </c:pt>
                <c:pt idx="505">
                  <c:v>0.123</c:v>
                </c:pt>
                <c:pt idx="506">
                  <c:v>0.23499999999999999</c:v>
                </c:pt>
                <c:pt idx="507">
                  <c:v>0.02</c:v>
                </c:pt>
                <c:pt idx="508">
                  <c:v>9.8000000000000004E-2</c:v>
                </c:pt>
                <c:pt idx="509">
                  <c:v>0.108</c:v>
                </c:pt>
                <c:pt idx="510">
                  <c:v>0.20899999999999999</c:v>
                </c:pt>
                <c:pt idx="511">
                  <c:v>0.11899999999999999</c:v>
                </c:pt>
                <c:pt idx="512">
                  <c:v>0.14599999999999999</c:v>
                </c:pt>
                <c:pt idx="513">
                  <c:v>3.2000000000000001E-2</c:v>
                </c:pt>
                <c:pt idx="514">
                  <c:v>0</c:v>
                </c:pt>
                <c:pt idx="515">
                  <c:v>0</c:v>
                </c:pt>
                <c:pt idx="516">
                  <c:v>0.157</c:v>
                </c:pt>
                <c:pt idx="517">
                  <c:v>0.107</c:v>
                </c:pt>
                <c:pt idx="518">
                  <c:v>0.13800000000000001</c:v>
                </c:pt>
                <c:pt idx="519">
                  <c:v>4.9000000000000002E-2</c:v>
                </c:pt>
                <c:pt idx="520">
                  <c:v>0.18</c:v>
                </c:pt>
                <c:pt idx="521">
                  <c:v>0.1</c:v>
                </c:pt>
                <c:pt idx="522">
                  <c:v>0</c:v>
                </c:pt>
                <c:pt idx="523">
                  <c:v>9.4E-2</c:v>
                </c:pt>
                <c:pt idx="524">
                  <c:v>0.17</c:v>
                </c:pt>
                <c:pt idx="525">
                  <c:v>0.22500000000000001</c:v>
                </c:pt>
                <c:pt idx="526">
                  <c:v>0.13500000000000001</c:v>
                </c:pt>
                <c:pt idx="527">
                  <c:v>0</c:v>
                </c:pt>
                <c:pt idx="528">
                  <c:v>5.8999999999999997E-2</c:v>
                </c:pt>
                <c:pt idx="529">
                  <c:v>0</c:v>
                </c:pt>
                <c:pt idx="530">
                  <c:v>3.7999999999999999E-2</c:v>
                </c:pt>
                <c:pt idx="531">
                  <c:v>0.122</c:v>
                </c:pt>
                <c:pt idx="532">
                  <c:v>0.114</c:v>
                </c:pt>
                <c:pt idx="533">
                  <c:v>6.6000000000000003E-2</c:v>
                </c:pt>
                <c:pt idx="534">
                  <c:v>0.248</c:v>
                </c:pt>
                <c:pt idx="535">
                  <c:v>0.19</c:v>
                </c:pt>
                <c:pt idx="536">
                  <c:v>0.14899999999999999</c:v>
                </c:pt>
                <c:pt idx="537">
                  <c:v>8.6999999999999994E-2</c:v>
                </c:pt>
                <c:pt idx="538">
                  <c:v>4.3999999999999997E-2</c:v>
                </c:pt>
                <c:pt idx="539">
                  <c:v>0.107</c:v>
                </c:pt>
                <c:pt idx="540">
                  <c:v>8.8999999999999996E-2</c:v>
                </c:pt>
                <c:pt idx="541">
                  <c:v>0</c:v>
                </c:pt>
                <c:pt idx="542">
                  <c:v>0.13300000000000001</c:v>
                </c:pt>
                <c:pt idx="543">
                  <c:v>5.8999999999999997E-2</c:v>
                </c:pt>
                <c:pt idx="544">
                  <c:v>0.115</c:v>
                </c:pt>
                <c:pt idx="545">
                  <c:v>0.21199999999999999</c:v>
                </c:pt>
                <c:pt idx="546">
                  <c:v>0.23699999999999999</c:v>
                </c:pt>
                <c:pt idx="547">
                  <c:v>0.20799999999999999</c:v>
                </c:pt>
                <c:pt idx="548">
                  <c:v>0.123</c:v>
                </c:pt>
                <c:pt idx="549">
                  <c:v>0.17499999999999999</c:v>
                </c:pt>
                <c:pt idx="550">
                  <c:v>0.17</c:v>
                </c:pt>
                <c:pt idx="551">
                  <c:v>0.21199999999999999</c:v>
                </c:pt>
                <c:pt idx="552">
                  <c:v>0.157</c:v>
                </c:pt>
                <c:pt idx="553">
                  <c:v>4.2000000000000003E-2</c:v>
                </c:pt>
                <c:pt idx="554">
                  <c:v>8.6999999999999994E-2</c:v>
                </c:pt>
                <c:pt idx="555">
                  <c:v>0.125</c:v>
                </c:pt>
                <c:pt idx="556">
                  <c:v>0</c:v>
                </c:pt>
                <c:pt idx="557">
                  <c:v>5.3999999999999999E-2</c:v>
                </c:pt>
                <c:pt idx="558">
                  <c:v>0.21099999999999999</c:v>
                </c:pt>
                <c:pt idx="559">
                  <c:v>0.122</c:v>
                </c:pt>
                <c:pt idx="560">
                  <c:v>0.12</c:v>
                </c:pt>
                <c:pt idx="561">
                  <c:v>0.14499999999999999</c:v>
                </c:pt>
                <c:pt idx="562">
                  <c:v>5.5E-2</c:v>
                </c:pt>
                <c:pt idx="563">
                  <c:v>0.13700000000000001</c:v>
                </c:pt>
                <c:pt idx="564">
                  <c:v>6.8000000000000005E-2</c:v>
                </c:pt>
                <c:pt idx="565">
                  <c:v>0.14299999999999999</c:v>
                </c:pt>
                <c:pt idx="566">
                  <c:v>0.126</c:v>
                </c:pt>
                <c:pt idx="567">
                  <c:v>9.1999999999999998E-2</c:v>
                </c:pt>
                <c:pt idx="568">
                  <c:v>0.19700000000000001</c:v>
                </c:pt>
                <c:pt idx="569">
                  <c:v>0</c:v>
                </c:pt>
                <c:pt idx="570">
                  <c:v>2.9000000000000001E-2</c:v>
                </c:pt>
                <c:pt idx="571">
                  <c:v>8.2000000000000003E-2</c:v>
                </c:pt>
                <c:pt idx="572">
                  <c:v>6.4000000000000001E-2</c:v>
                </c:pt>
                <c:pt idx="573">
                  <c:v>0.20699999999999999</c:v>
                </c:pt>
                <c:pt idx="574">
                  <c:v>5.6000000000000001E-2</c:v>
                </c:pt>
                <c:pt idx="575">
                  <c:v>0.121</c:v>
                </c:pt>
                <c:pt idx="576">
                  <c:v>7.1999999999999995E-2</c:v>
                </c:pt>
                <c:pt idx="577">
                  <c:v>7.1999999999999995E-2</c:v>
                </c:pt>
                <c:pt idx="578">
                  <c:v>0.13500000000000001</c:v>
                </c:pt>
                <c:pt idx="579">
                  <c:v>6.7000000000000004E-2</c:v>
                </c:pt>
                <c:pt idx="580">
                  <c:v>0.13200000000000001</c:v>
                </c:pt>
                <c:pt idx="581">
                  <c:v>0.01</c:v>
                </c:pt>
                <c:pt idx="582">
                  <c:v>0.22600000000000001</c:v>
                </c:pt>
                <c:pt idx="583">
                  <c:v>0.16300000000000001</c:v>
                </c:pt>
                <c:pt idx="584">
                  <c:v>0.14099999999999999</c:v>
                </c:pt>
                <c:pt idx="585">
                  <c:v>4.1000000000000002E-2</c:v>
                </c:pt>
                <c:pt idx="586">
                  <c:v>0</c:v>
                </c:pt>
                <c:pt idx="587">
                  <c:v>9.2999999999999999E-2</c:v>
                </c:pt>
                <c:pt idx="588">
                  <c:v>0.10299999999999999</c:v>
                </c:pt>
                <c:pt idx="589">
                  <c:v>8.7999999999999995E-2</c:v>
                </c:pt>
                <c:pt idx="590">
                  <c:v>0</c:v>
                </c:pt>
                <c:pt idx="591">
                  <c:v>0.17399999999999999</c:v>
                </c:pt>
                <c:pt idx="592">
                  <c:v>0.14599999999999999</c:v>
                </c:pt>
                <c:pt idx="593">
                  <c:v>0.192</c:v>
                </c:pt>
                <c:pt idx="594">
                  <c:v>0.08</c:v>
                </c:pt>
                <c:pt idx="595">
                  <c:v>7.2999999999999995E-2</c:v>
                </c:pt>
                <c:pt idx="596">
                  <c:v>4.2999999999999997E-2</c:v>
                </c:pt>
                <c:pt idx="597">
                  <c:v>0.14000000000000001</c:v>
                </c:pt>
                <c:pt idx="598">
                  <c:v>0.187</c:v>
                </c:pt>
                <c:pt idx="599">
                  <c:v>0.13300000000000001</c:v>
                </c:pt>
                <c:pt idx="600">
                  <c:v>8.9999999999999993E-3</c:v>
                </c:pt>
                <c:pt idx="601">
                  <c:v>0.16</c:v>
                </c:pt>
                <c:pt idx="602">
                  <c:v>7.0999999999999994E-2</c:v>
                </c:pt>
                <c:pt idx="603">
                  <c:v>0.15</c:v>
                </c:pt>
                <c:pt idx="604">
                  <c:v>0.19</c:v>
                </c:pt>
                <c:pt idx="605">
                  <c:v>0.186</c:v>
                </c:pt>
                <c:pt idx="606">
                  <c:v>0.10299999999999999</c:v>
                </c:pt>
                <c:pt idx="607">
                  <c:v>9.7000000000000003E-2</c:v>
                </c:pt>
                <c:pt idx="608">
                  <c:v>0.16300000000000001</c:v>
                </c:pt>
                <c:pt idx="609">
                  <c:v>0.12</c:v>
                </c:pt>
                <c:pt idx="610">
                  <c:v>0.104</c:v>
                </c:pt>
                <c:pt idx="611">
                  <c:v>0.19400000000000001</c:v>
                </c:pt>
                <c:pt idx="612">
                  <c:v>0</c:v>
                </c:pt>
                <c:pt idx="613">
                  <c:v>2.1999999999999999E-2</c:v>
                </c:pt>
                <c:pt idx="614">
                  <c:v>0.17100000000000001</c:v>
                </c:pt>
                <c:pt idx="615">
                  <c:v>8.1000000000000003E-2</c:v>
                </c:pt>
                <c:pt idx="616">
                  <c:v>4.0000000000000001E-3</c:v>
                </c:pt>
                <c:pt idx="617">
                  <c:v>0.10199999999999999</c:v>
                </c:pt>
                <c:pt idx="618">
                  <c:v>0.109</c:v>
                </c:pt>
                <c:pt idx="619">
                  <c:v>4.7E-2</c:v>
                </c:pt>
                <c:pt idx="620">
                  <c:v>0.16500000000000001</c:v>
                </c:pt>
                <c:pt idx="621">
                  <c:v>0.186</c:v>
                </c:pt>
                <c:pt idx="622">
                  <c:v>0.192</c:v>
                </c:pt>
                <c:pt idx="623">
                  <c:v>0.113</c:v>
                </c:pt>
                <c:pt idx="624">
                  <c:v>0.161</c:v>
                </c:pt>
                <c:pt idx="625">
                  <c:v>0.114</c:v>
                </c:pt>
                <c:pt idx="626">
                  <c:v>0.159</c:v>
                </c:pt>
                <c:pt idx="627">
                  <c:v>0.151</c:v>
                </c:pt>
                <c:pt idx="628">
                  <c:v>0</c:v>
                </c:pt>
                <c:pt idx="629">
                  <c:v>6.2E-2</c:v>
                </c:pt>
                <c:pt idx="630">
                  <c:v>0.13900000000000001</c:v>
                </c:pt>
                <c:pt idx="631">
                  <c:v>0.17299999999999999</c:v>
                </c:pt>
              </c:numCache>
            </c:numRef>
          </c:yVal>
          <c:smooth val="0"/>
          <c:extLst>
            <c:ext xmlns:c16="http://schemas.microsoft.com/office/drawing/2014/chart" uri="{C3380CC4-5D6E-409C-BE32-E72D297353CC}">
              <c16:uniqueId val="{00000000-C5EB-45F3-BEF1-F3259F9936C0}"/>
            </c:ext>
          </c:extLst>
        </c:ser>
        <c:dLbls>
          <c:showLegendKey val="0"/>
          <c:showVal val="0"/>
          <c:showCatName val="0"/>
          <c:showSerName val="0"/>
          <c:showPercent val="0"/>
          <c:showBubbleSize val="0"/>
        </c:dLbls>
        <c:axId val="1256609776"/>
        <c:axId val="1256603248"/>
      </c:scatterChart>
      <c:valAx>
        <c:axId val="125660977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603248"/>
        <c:crosses val="autoZero"/>
        <c:crossBetween val="midCat"/>
      </c:valAx>
      <c:valAx>
        <c:axId val="1256603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6097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Data!$Z$1</c:f>
              <c:strCache>
                <c:ptCount val="1"/>
                <c:pt idx="0">
                  <c:v>Clean_DiscountPct</c:v>
                </c:pt>
              </c:strCache>
            </c:strRef>
          </c:tx>
          <c:spPr>
            <a:ln w="28575" cap="rnd">
              <a:noFill/>
              <a:round/>
            </a:ln>
            <a:effectLst/>
          </c:spPr>
          <c:marker>
            <c:symbol val="circle"/>
            <c:size val="5"/>
            <c:spPr>
              <a:solidFill>
                <a:schemeClr val="accent1"/>
              </a:solidFill>
              <a:ln w="9525">
                <a:solidFill>
                  <a:schemeClr val="accent1"/>
                </a:solidFill>
              </a:ln>
              <a:effectLst/>
            </c:spPr>
          </c:marker>
          <c:xVal>
            <c:strRef>
              <c:f>Data!$R$2:$R$634</c:f>
              <c:strCache>
                <c:ptCount val="632"/>
                <c:pt idx="0">
                  <c:v>CMP-8270</c:v>
                </c:pt>
                <c:pt idx="1">
                  <c:v>PRN-9322</c:v>
                </c:pt>
                <c:pt idx="2">
                  <c:v>NET-9666</c:v>
                </c:pt>
                <c:pt idx="3">
                  <c:v>PHN-4556</c:v>
                </c:pt>
                <c:pt idx="4">
                  <c:v>PRN-8041</c:v>
                </c:pt>
                <c:pt idx="5">
                  <c:v>LAP-8555</c:v>
                </c:pt>
                <c:pt idx="6">
                  <c:v>MON-8629</c:v>
                </c:pt>
                <c:pt idx="7">
                  <c:v>PRN-6276</c:v>
                </c:pt>
                <c:pt idx="8">
                  <c:v>MON-6892</c:v>
                </c:pt>
                <c:pt idx="9">
                  <c:v>CMP-3731</c:v>
                </c:pt>
                <c:pt idx="10">
                  <c:v>ACC-7938</c:v>
                </c:pt>
                <c:pt idx="11">
                  <c:v>PHN-7019</c:v>
                </c:pt>
                <c:pt idx="12">
                  <c:v>CMP-3693</c:v>
                </c:pt>
                <c:pt idx="13">
                  <c:v>PRN-8392</c:v>
                </c:pt>
                <c:pt idx="14">
                  <c:v>ACC-1663</c:v>
                </c:pt>
                <c:pt idx="15">
                  <c:v>LAP-1698</c:v>
                </c:pt>
                <c:pt idx="16">
                  <c:v>PRN-6791</c:v>
                </c:pt>
                <c:pt idx="17">
                  <c:v>PHN-1197</c:v>
                </c:pt>
                <c:pt idx="18">
                  <c:v>ACC-8098</c:v>
                </c:pt>
                <c:pt idx="19">
                  <c:v>LAP-3385</c:v>
                </c:pt>
                <c:pt idx="20">
                  <c:v>LAP-9815</c:v>
                </c:pt>
                <c:pt idx="21">
                  <c:v>NET-3255</c:v>
                </c:pt>
                <c:pt idx="22">
                  <c:v>ACC-3961</c:v>
                </c:pt>
                <c:pt idx="23">
                  <c:v>LAP-4987</c:v>
                </c:pt>
                <c:pt idx="24">
                  <c:v>CMP-2693</c:v>
                </c:pt>
                <c:pt idx="25">
                  <c:v>ACC-8683</c:v>
                </c:pt>
                <c:pt idx="26">
                  <c:v>PRN-4170</c:v>
                </c:pt>
                <c:pt idx="27">
                  <c:v>PHN-6854</c:v>
                </c:pt>
                <c:pt idx="28">
                  <c:v>PHN-1784</c:v>
                </c:pt>
                <c:pt idx="29">
                  <c:v>NET-9716</c:v>
                </c:pt>
                <c:pt idx="30">
                  <c:v>CMP-6919</c:v>
                </c:pt>
                <c:pt idx="31">
                  <c:v>PHN-4854</c:v>
                </c:pt>
                <c:pt idx="32">
                  <c:v>NET-7966</c:v>
                </c:pt>
                <c:pt idx="33">
                  <c:v>LAP-9932</c:v>
                </c:pt>
                <c:pt idx="34">
                  <c:v>CMP-1559</c:v>
                </c:pt>
                <c:pt idx="35">
                  <c:v>PRN-4506</c:v>
                </c:pt>
                <c:pt idx="36">
                  <c:v>CMP-7617</c:v>
                </c:pt>
                <c:pt idx="37">
                  <c:v>CMP-8390</c:v>
                </c:pt>
                <c:pt idx="38">
                  <c:v>PRN-7303</c:v>
                </c:pt>
                <c:pt idx="39">
                  <c:v>PRN-6536</c:v>
                </c:pt>
                <c:pt idx="40">
                  <c:v>MON-9967</c:v>
                </c:pt>
                <c:pt idx="41">
                  <c:v>NET-1412</c:v>
                </c:pt>
                <c:pt idx="42">
                  <c:v>PRN-3143</c:v>
                </c:pt>
                <c:pt idx="43">
                  <c:v>PRN-9787</c:v>
                </c:pt>
                <c:pt idx="44">
                  <c:v>CMP-5946</c:v>
                </c:pt>
                <c:pt idx="45">
                  <c:v>NET-2062</c:v>
                </c:pt>
                <c:pt idx="46">
                  <c:v>PRN-2542</c:v>
                </c:pt>
                <c:pt idx="47">
                  <c:v>NET-2365</c:v>
                </c:pt>
                <c:pt idx="48">
                  <c:v>NET-5268</c:v>
                </c:pt>
                <c:pt idx="49">
                  <c:v>PRN-1504</c:v>
                </c:pt>
                <c:pt idx="50">
                  <c:v>ACC-6348</c:v>
                </c:pt>
                <c:pt idx="51">
                  <c:v>MON-4330</c:v>
                </c:pt>
                <c:pt idx="52">
                  <c:v>LAP-7819</c:v>
                </c:pt>
                <c:pt idx="53">
                  <c:v>LAP-3779</c:v>
                </c:pt>
                <c:pt idx="54">
                  <c:v>NET-9989</c:v>
                </c:pt>
                <c:pt idx="55">
                  <c:v>MON-4925</c:v>
                </c:pt>
                <c:pt idx="56">
                  <c:v>LAP-6989</c:v>
                </c:pt>
                <c:pt idx="57">
                  <c:v>ACC-5780</c:v>
                </c:pt>
                <c:pt idx="58">
                  <c:v>ACC-1770</c:v>
                </c:pt>
                <c:pt idx="59">
                  <c:v>ACC-2252</c:v>
                </c:pt>
                <c:pt idx="60">
                  <c:v>CMP-8002</c:v>
                </c:pt>
                <c:pt idx="61">
                  <c:v>CMP-6971</c:v>
                </c:pt>
                <c:pt idx="62">
                  <c:v>PHN-8350</c:v>
                </c:pt>
                <c:pt idx="63">
                  <c:v>MON-5188</c:v>
                </c:pt>
                <c:pt idx="64">
                  <c:v>LAP-3393</c:v>
                </c:pt>
                <c:pt idx="65">
                  <c:v>PHN-4644</c:v>
                </c:pt>
                <c:pt idx="66">
                  <c:v>ACC-9150</c:v>
                </c:pt>
                <c:pt idx="67">
                  <c:v>MON-6870</c:v>
                </c:pt>
                <c:pt idx="68">
                  <c:v>MON-2296</c:v>
                </c:pt>
                <c:pt idx="69">
                  <c:v>CMP-7371</c:v>
                </c:pt>
                <c:pt idx="70">
                  <c:v>ACC-2761</c:v>
                </c:pt>
                <c:pt idx="71">
                  <c:v>LAP-4517</c:v>
                </c:pt>
                <c:pt idx="72">
                  <c:v>LAP-8489</c:v>
                </c:pt>
                <c:pt idx="73">
                  <c:v>NET-1846</c:v>
                </c:pt>
                <c:pt idx="74">
                  <c:v>CMP-5208</c:v>
                </c:pt>
                <c:pt idx="75">
                  <c:v>CMP-1009</c:v>
                </c:pt>
                <c:pt idx="76">
                  <c:v>ACC-4490</c:v>
                </c:pt>
                <c:pt idx="77">
                  <c:v>ACC-9162</c:v>
                </c:pt>
                <c:pt idx="78">
                  <c:v>CMP-5820</c:v>
                </c:pt>
                <c:pt idx="79">
                  <c:v>MON-7943</c:v>
                </c:pt>
                <c:pt idx="80">
                  <c:v>NET-5018</c:v>
                </c:pt>
                <c:pt idx="81">
                  <c:v>PRN-9669</c:v>
                </c:pt>
                <c:pt idx="82">
                  <c:v>CMP-2865</c:v>
                </c:pt>
                <c:pt idx="83">
                  <c:v>MON-3371</c:v>
                </c:pt>
                <c:pt idx="84">
                  <c:v>NET-7166</c:v>
                </c:pt>
                <c:pt idx="85">
                  <c:v>CMP-4531</c:v>
                </c:pt>
                <c:pt idx="86">
                  <c:v>CMP-8196</c:v>
                </c:pt>
                <c:pt idx="87">
                  <c:v>CMP-2854</c:v>
                </c:pt>
                <c:pt idx="88">
                  <c:v>MON-8973</c:v>
                </c:pt>
                <c:pt idx="89">
                  <c:v>MON-2990</c:v>
                </c:pt>
                <c:pt idx="90">
                  <c:v>NET-1966</c:v>
                </c:pt>
                <c:pt idx="91">
                  <c:v>PHN-3482</c:v>
                </c:pt>
                <c:pt idx="92">
                  <c:v>PRN-6490</c:v>
                </c:pt>
                <c:pt idx="93">
                  <c:v>ACC-9038</c:v>
                </c:pt>
                <c:pt idx="94">
                  <c:v>PHN-6954</c:v>
                </c:pt>
                <c:pt idx="95">
                  <c:v>PRN-8970</c:v>
                </c:pt>
                <c:pt idx="96">
                  <c:v>MON-1822</c:v>
                </c:pt>
                <c:pt idx="97">
                  <c:v>ACC-5177</c:v>
                </c:pt>
                <c:pt idx="98">
                  <c:v>NET-1804</c:v>
                </c:pt>
                <c:pt idx="99">
                  <c:v>LAP-3679</c:v>
                </c:pt>
                <c:pt idx="100">
                  <c:v>PHN-8368</c:v>
                </c:pt>
                <c:pt idx="101">
                  <c:v>CMP-8141</c:v>
                </c:pt>
                <c:pt idx="102">
                  <c:v>LAP-7136</c:v>
                </c:pt>
                <c:pt idx="103">
                  <c:v>ACC-2386</c:v>
                </c:pt>
                <c:pt idx="104">
                  <c:v>LAP-5150</c:v>
                </c:pt>
                <c:pt idx="105">
                  <c:v>CMP-8101</c:v>
                </c:pt>
                <c:pt idx="106">
                  <c:v>PHN-8970</c:v>
                </c:pt>
                <c:pt idx="107">
                  <c:v>PHN-2341</c:v>
                </c:pt>
                <c:pt idx="108">
                  <c:v>NET-6387</c:v>
                </c:pt>
                <c:pt idx="109">
                  <c:v>ACC-9820</c:v>
                </c:pt>
                <c:pt idx="110">
                  <c:v>CMP-6392</c:v>
                </c:pt>
                <c:pt idx="111">
                  <c:v>LAP-9230</c:v>
                </c:pt>
                <c:pt idx="112">
                  <c:v>NET-4241</c:v>
                </c:pt>
                <c:pt idx="113">
                  <c:v>ACC-4511</c:v>
                </c:pt>
                <c:pt idx="114">
                  <c:v>NET-3033</c:v>
                </c:pt>
                <c:pt idx="115">
                  <c:v>MON-2828</c:v>
                </c:pt>
                <c:pt idx="116">
                  <c:v>PRN-6429</c:v>
                </c:pt>
                <c:pt idx="117">
                  <c:v>LAP-8214</c:v>
                </c:pt>
                <c:pt idx="118">
                  <c:v>MON-9194</c:v>
                </c:pt>
                <c:pt idx="119">
                  <c:v>LAP-2218</c:v>
                </c:pt>
                <c:pt idx="120">
                  <c:v>NET-6370</c:v>
                </c:pt>
                <c:pt idx="121">
                  <c:v>MON-3745</c:v>
                </c:pt>
                <c:pt idx="122">
                  <c:v>PHN-7924</c:v>
                </c:pt>
                <c:pt idx="123">
                  <c:v>NET-8561</c:v>
                </c:pt>
                <c:pt idx="124">
                  <c:v>CMP-2136</c:v>
                </c:pt>
                <c:pt idx="125">
                  <c:v>CMP-6352</c:v>
                </c:pt>
                <c:pt idx="126">
                  <c:v>CMP-2040</c:v>
                </c:pt>
                <c:pt idx="127">
                  <c:v>CMP-6346</c:v>
                </c:pt>
                <c:pt idx="128">
                  <c:v>PHN-4356</c:v>
                </c:pt>
                <c:pt idx="129">
                  <c:v>NET-4155</c:v>
                </c:pt>
                <c:pt idx="130">
                  <c:v>MON-5179</c:v>
                </c:pt>
                <c:pt idx="131">
                  <c:v>ACC-4056</c:v>
                </c:pt>
                <c:pt idx="132">
                  <c:v>LAP-9782</c:v>
                </c:pt>
                <c:pt idx="133">
                  <c:v>PHN-2875</c:v>
                </c:pt>
                <c:pt idx="134">
                  <c:v>PRN-4788</c:v>
                </c:pt>
                <c:pt idx="135">
                  <c:v>MON-3043</c:v>
                </c:pt>
                <c:pt idx="136">
                  <c:v>CMP-3720</c:v>
                </c:pt>
                <c:pt idx="137">
                  <c:v>PHN-8014</c:v>
                </c:pt>
                <c:pt idx="138">
                  <c:v>PRN-4911</c:v>
                </c:pt>
                <c:pt idx="139">
                  <c:v>ACC-1021</c:v>
                </c:pt>
                <c:pt idx="140">
                  <c:v>MON-2266</c:v>
                </c:pt>
                <c:pt idx="141">
                  <c:v>PHN-8057</c:v>
                </c:pt>
                <c:pt idx="142">
                  <c:v>ACC-7078</c:v>
                </c:pt>
                <c:pt idx="143">
                  <c:v>PRN-4453</c:v>
                </c:pt>
                <c:pt idx="144">
                  <c:v>NET-2394</c:v>
                </c:pt>
                <c:pt idx="145">
                  <c:v>LAP-1525</c:v>
                </c:pt>
                <c:pt idx="146">
                  <c:v>LAP-3278</c:v>
                </c:pt>
                <c:pt idx="147">
                  <c:v>ACC-6543</c:v>
                </c:pt>
                <c:pt idx="148">
                  <c:v>PRN-4432</c:v>
                </c:pt>
                <c:pt idx="149">
                  <c:v>PHN-4568</c:v>
                </c:pt>
                <c:pt idx="150">
                  <c:v>PRN-6178</c:v>
                </c:pt>
                <c:pt idx="151">
                  <c:v>LAP-6342</c:v>
                </c:pt>
                <c:pt idx="152">
                  <c:v>PRN-8175</c:v>
                </c:pt>
                <c:pt idx="153">
                  <c:v>PRN-7089</c:v>
                </c:pt>
                <c:pt idx="154">
                  <c:v>ACC-4124</c:v>
                </c:pt>
                <c:pt idx="155">
                  <c:v>NET-7924</c:v>
                </c:pt>
                <c:pt idx="156">
                  <c:v>NET-8761</c:v>
                </c:pt>
                <c:pt idx="157">
                  <c:v>CMP-3875</c:v>
                </c:pt>
                <c:pt idx="158">
                  <c:v>ACC-3989</c:v>
                </c:pt>
                <c:pt idx="159">
                  <c:v>PHN-9234</c:v>
                </c:pt>
                <c:pt idx="160">
                  <c:v>MON-9906</c:v>
                </c:pt>
                <c:pt idx="161">
                  <c:v>CMP-4610</c:v>
                </c:pt>
                <c:pt idx="162">
                  <c:v>PHN-5445</c:v>
                </c:pt>
                <c:pt idx="163">
                  <c:v>MON-9227</c:v>
                </c:pt>
                <c:pt idx="164">
                  <c:v>PRN-4097</c:v>
                </c:pt>
                <c:pt idx="165">
                  <c:v>MON-6699</c:v>
                </c:pt>
                <c:pt idx="166">
                  <c:v>LAP-1482</c:v>
                </c:pt>
                <c:pt idx="167">
                  <c:v>MON-2100</c:v>
                </c:pt>
                <c:pt idx="168">
                  <c:v>MON-7602</c:v>
                </c:pt>
                <c:pt idx="169">
                  <c:v>CMP-1072</c:v>
                </c:pt>
                <c:pt idx="170">
                  <c:v>ACC-2735</c:v>
                </c:pt>
                <c:pt idx="171">
                  <c:v>CMP-5211</c:v>
                </c:pt>
                <c:pt idx="172">
                  <c:v>CMP-1632</c:v>
                </c:pt>
                <c:pt idx="173">
                  <c:v>LAP-7099</c:v>
                </c:pt>
                <c:pt idx="174">
                  <c:v>PRN-3785</c:v>
                </c:pt>
                <c:pt idx="175">
                  <c:v>MON-6962</c:v>
                </c:pt>
                <c:pt idx="176">
                  <c:v>PRN-5107</c:v>
                </c:pt>
                <c:pt idx="177">
                  <c:v>CMP-9264</c:v>
                </c:pt>
                <c:pt idx="178">
                  <c:v>MON-5259</c:v>
                </c:pt>
                <c:pt idx="179">
                  <c:v>PRN-8137</c:v>
                </c:pt>
                <c:pt idx="180">
                  <c:v>ACC-6777</c:v>
                </c:pt>
                <c:pt idx="181">
                  <c:v>PHN-7488</c:v>
                </c:pt>
                <c:pt idx="182">
                  <c:v>ACC-9591</c:v>
                </c:pt>
                <c:pt idx="183">
                  <c:v>MON-5517</c:v>
                </c:pt>
                <c:pt idx="184">
                  <c:v>MON-8758</c:v>
                </c:pt>
                <c:pt idx="185">
                  <c:v>ACC-3385</c:v>
                </c:pt>
                <c:pt idx="186">
                  <c:v>MON-1593</c:v>
                </c:pt>
                <c:pt idx="187">
                  <c:v>ACC-4631</c:v>
                </c:pt>
                <c:pt idx="188">
                  <c:v>MON-7869</c:v>
                </c:pt>
                <c:pt idx="189">
                  <c:v>MON-4271</c:v>
                </c:pt>
                <c:pt idx="190">
                  <c:v>LAP-5531</c:v>
                </c:pt>
                <c:pt idx="191">
                  <c:v>MON-7511</c:v>
                </c:pt>
                <c:pt idx="192">
                  <c:v>LAP-7979</c:v>
                </c:pt>
                <c:pt idx="193">
                  <c:v>PRN-4983</c:v>
                </c:pt>
                <c:pt idx="194">
                  <c:v>NET-5941</c:v>
                </c:pt>
                <c:pt idx="195">
                  <c:v>MON-6341</c:v>
                </c:pt>
                <c:pt idx="196">
                  <c:v>PHN-9789</c:v>
                </c:pt>
                <c:pt idx="197">
                  <c:v>PHN-5082</c:v>
                </c:pt>
                <c:pt idx="198">
                  <c:v>NET-3460</c:v>
                </c:pt>
                <c:pt idx="199">
                  <c:v>PRN-7019</c:v>
                </c:pt>
                <c:pt idx="200">
                  <c:v>PHN-3159</c:v>
                </c:pt>
                <c:pt idx="201">
                  <c:v>PRN-8604</c:v>
                </c:pt>
                <c:pt idx="202">
                  <c:v>PHN-2013</c:v>
                </c:pt>
                <c:pt idx="203">
                  <c:v>NET-6036</c:v>
                </c:pt>
                <c:pt idx="204">
                  <c:v>MON-4959</c:v>
                </c:pt>
                <c:pt idx="205">
                  <c:v>MON-1663</c:v>
                </c:pt>
                <c:pt idx="206">
                  <c:v>CMP-7256</c:v>
                </c:pt>
                <c:pt idx="207">
                  <c:v>ACC-1659</c:v>
                </c:pt>
                <c:pt idx="208">
                  <c:v>PRN-6068</c:v>
                </c:pt>
                <c:pt idx="209">
                  <c:v>ACC-8999</c:v>
                </c:pt>
                <c:pt idx="210">
                  <c:v>CMP-3978</c:v>
                </c:pt>
                <c:pt idx="211">
                  <c:v>MON-7868</c:v>
                </c:pt>
                <c:pt idx="212">
                  <c:v>PRN-3014</c:v>
                </c:pt>
                <c:pt idx="213">
                  <c:v>PHN-1671</c:v>
                </c:pt>
                <c:pt idx="214">
                  <c:v>ACC-5260</c:v>
                </c:pt>
                <c:pt idx="215">
                  <c:v>NET-7588</c:v>
                </c:pt>
                <c:pt idx="216">
                  <c:v>MON-1572</c:v>
                </c:pt>
                <c:pt idx="217">
                  <c:v>MON-2537</c:v>
                </c:pt>
                <c:pt idx="218">
                  <c:v>PRN-5666</c:v>
                </c:pt>
                <c:pt idx="219">
                  <c:v>PRN-2749</c:v>
                </c:pt>
                <c:pt idx="220">
                  <c:v>CMP-4970</c:v>
                </c:pt>
                <c:pt idx="221">
                  <c:v>ACC-3551</c:v>
                </c:pt>
                <c:pt idx="222">
                  <c:v>CMP-7063</c:v>
                </c:pt>
                <c:pt idx="223">
                  <c:v>NET-1612</c:v>
                </c:pt>
                <c:pt idx="224">
                  <c:v>LAP-9766</c:v>
                </c:pt>
                <c:pt idx="225">
                  <c:v>PHN-7274</c:v>
                </c:pt>
                <c:pt idx="226">
                  <c:v>NET-1645</c:v>
                </c:pt>
                <c:pt idx="227">
                  <c:v>ACC-5079</c:v>
                </c:pt>
                <c:pt idx="228">
                  <c:v>PRN-2098</c:v>
                </c:pt>
                <c:pt idx="229">
                  <c:v>PRN-7049</c:v>
                </c:pt>
                <c:pt idx="230">
                  <c:v>CMP-6925</c:v>
                </c:pt>
                <c:pt idx="231">
                  <c:v>PHN-2787</c:v>
                </c:pt>
                <c:pt idx="232">
                  <c:v>PRN-1141</c:v>
                </c:pt>
                <c:pt idx="233">
                  <c:v>MON-5249</c:v>
                </c:pt>
                <c:pt idx="234">
                  <c:v>CMP-8230</c:v>
                </c:pt>
                <c:pt idx="235">
                  <c:v>PRN-7816</c:v>
                </c:pt>
                <c:pt idx="236">
                  <c:v>PHN-8804</c:v>
                </c:pt>
                <c:pt idx="237">
                  <c:v>CMP-8851</c:v>
                </c:pt>
                <c:pt idx="238">
                  <c:v>PHN-2447</c:v>
                </c:pt>
                <c:pt idx="239">
                  <c:v>LAP-2846</c:v>
                </c:pt>
                <c:pt idx="240">
                  <c:v>PRN-5005</c:v>
                </c:pt>
                <c:pt idx="241">
                  <c:v>PHN-3800</c:v>
                </c:pt>
                <c:pt idx="242">
                  <c:v>LAP-4828</c:v>
                </c:pt>
                <c:pt idx="243">
                  <c:v>PRN-5492</c:v>
                </c:pt>
                <c:pt idx="244">
                  <c:v>PHN-7132</c:v>
                </c:pt>
                <c:pt idx="245">
                  <c:v>PHN-4741</c:v>
                </c:pt>
                <c:pt idx="246">
                  <c:v>LAP-2774</c:v>
                </c:pt>
                <c:pt idx="247">
                  <c:v>MON-2842</c:v>
                </c:pt>
                <c:pt idx="248">
                  <c:v>NET-2628</c:v>
                </c:pt>
                <c:pt idx="249">
                  <c:v>MON-2998</c:v>
                </c:pt>
                <c:pt idx="250">
                  <c:v>CMP-7563</c:v>
                </c:pt>
                <c:pt idx="251">
                  <c:v>LAP-6160</c:v>
                </c:pt>
                <c:pt idx="252">
                  <c:v>MON-4361</c:v>
                </c:pt>
                <c:pt idx="253">
                  <c:v>PRN-2829</c:v>
                </c:pt>
                <c:pt idx="254">
                  <c:v>MON-8939</c:v>
                </c:pt>
                <c:pt idx="255">
                  <c:v>LAP-5009</c:v>
                </c:pt>
                <c:pt idx="256">
                  <c:v>CMP-4807</c:v>
                </c:pt>
                <c:pt idx="257">
                  <c:v>NET-2439</c:v>
                </c:pt>
                <c:pt idx="258">
                  <c:v>MON-7626</c:v>
                </c:pt>
                <c:pt idx="259">
                  <c:v>ACC-3567</c:v>
                </c:pt>
                <c:pt idx="260">
                  <c:v>CMP-4630</c:v>
                </c:pt>
                <c:pt idx="261">
                  <c:v>ACC-1882</c:v>
                </c:pt>
                <c:pt idx="262">
                  <c:v>NET-9125</c:v>
                </c:pt>
                <c:pt idx="263">
                  <c:v>PHN-3819</c:v>
                </c:pt>
                <c:pt idx="264">
                  <c:v>LAP-3490</c:v>
                </c:pt>
                <c:pt idx="265">
                  <c:v>PRN-1276</c:v>
                </c:pt>
                <c:pt idx="266">
                  <c:v>MON-9733</c:v>
                </c:pt>
                <c:pt idx="267">
                  <c:v>CMP-9392</c:v>
                </c:pt>
                <c:pt idx="268">
                  <c:v>PHN-3014</c:v>
                </c:pt>
                <c:pt idx="269">
                  <c:v>PRN-6776</c:v>
                </c:pt>
                <c:pt idx="270">
                  <c:v>ACC-3951</c:v>
                </c:pt>
                <c:pt idx="271">
                  <c:v>MON-1436</c:v>
                </c:pt>
                <c:pt idx="272">
                  <c:v>MON-8651</c:v>
                </c:pt>
                <c:pt idx="273">
                  <c:v>MON-3307</c:v>
                </c:pt>
                <c:pt idx="274">
                  <c:v>PRN-8758</c:v>
                </c:pt>
                <c:pt idx="275">
                  <c:v>LAP-7056</c:v>
                </c:pt>
                <c:pt idx="276">
                  <c:v>NET-5523</c:v>
                </c:pt>
                <c:pt idx="277">
                  <c:v>ACC-8094</c:v>
                </c:pt>
                <c:pt idx="278">
                  <c:v>PHN-6832</c:v>
                </c:pt>
                <c:pt idx="279">
                  <c:v>LAP-2378</c:v>
                </c:pt>
                <c:pt idx="280">
                  <c:v>MON-5424</c:v>
                </c:pt>
                <c:pt idx="281">
                  <c:v>NET-8430</c:v>
                </c:pt>
                <c:pt idx="282">
                  <c:v>PHN-1234</c:v>
                </c:pt>
                <c:pt idx="283">
                  <c:v>LAP-9016</c:v>
                </c:pt>
                <c:pt idx="284">
                  <c:v>LAP-9931</c:v>
                </c:pt>
                <c:pt idx="285">
                  <c:v>PHN-6818</c:v>
                </c:pt>
                <c:pt idx="286">
                  <c:v>PHN-3803</c:v>
                </c:pt>
                <c:pt idx="287">
                  <c:v>NET-9835</c:v>
                </c:pt>
                <c:pt idx="288">
                  <c:v>ACC-6223</c:v>
                </c:pt>
                <c:pt idx="289">
                  <c:v>CMP-8659</c:v>
                </c:pt>
                <c:pt idx="290">
                  <c:v>ACC-4483</c:v>
                </c:pt>
                <c:pt idx="291">
                  <c:v>PRN-8763</c:v>
                </c:pt>
                <c:pt idx="292">
                  <c:v>ACC-8557</c:v>
                </c:pt>
                <c:pt idx="293">
                  <c:v>ACC-1492</c:v>
                </c:pt>
                <c:pt idx="294">
                  <c:v>CMP-3743</c:v>
                </c:pt>
                <c:pt idx="295">
                  <c:v>LAP-1619</c:v>
                </c:pt>
                <c:pt idx="296">
                  <c:v>PRN-7976</c:v>
                </c:pt>
                <c:pt idx="297">
                  <c:v>MON-4326</c:v>
                </c:pt>
                <c:pt idx="298">
                  <c:v>MON-5444</c:v>
                </c:pt>
                <c:pt idx="299">
                  <c:v>ACC-5422</c:v>
                </c:pt>
                <c:pt idx="300">
                  <c:v>CMP-9307</c:v>
                </c:pt>
                <c:pt idx="301">
                  <c:v>PRN-6520</c:v>
                </c:pt>
                <c:pt idx="302">
                  <c:v>NET-1699</c:v>
                </c:pt>
                <c:pt idx="303">
                  <c:v>PHN-5316</c:v>
                </c:pt>
                <c:pt idx="304">
                  <c:v>LAP-4607</c:v>
                </c:pt>
                <c:pt idx="305">
                  <c:v>MON-5276</c:v>
                </c:pt>
                <c:pt idx="306">
                  <c:v>ACC-9533</c:v>
                </c:pt>
                <c:pt idx="307">
                  <c:v>NET-3749</c:v>
                </c:pt>
                <c:pt idx="308">
                  <c:v>PRN-2991</c:v>
                </c:pt>
                <c:pt idx="309">
                  <c:v>LAP-4551</c:v>
                </c:pt>
                <c:pt idx="310">
                  <c:v>MON-6310</c:v>
                </c:pt>
                <c:pt idx="311">
                  <c:v>NET-1166</c:v>
                </c:pt>
                <c:pt idx="312">
                  <c:v>ACC-2903</c:v>
                </c:pt>
                <c:pt idx="313">
                  <c:v>PRN-2293</c:v>
                </c:pt>
                <c:pt idx="314">
                  <c:v>MON-1389</c:v>
                </c:pt>
                <c:pt idx="315">
                  <c:v>CMP-4093</c:v>
                </c:pt>
                <c:pt idx="316">
                  <c:v>PHN-6131</c:v>
                </c:pt>
                <c:pt idx="317">
                  <c:v>NET-4104</c:v>
                </c:pt>
                <c:pt idx="318">
                  <c:v>MON-9319</c:v>
                </c:pt>
                <c:pt idx="319">
                  <c:v>ACC-2988</c:v>
                </c:pt>
                <c:pt idx="320">
                  <c:v>PHN-9399</c:v>
                </c:pt>
                <c:pt idx="321">
                  <c:v>NET-4554</c:v>
                </c:pt>
                <c:pt idx="322">
                  <c:v>NET-5195</c:v>
                </c:pt>
                <c:pt idx="323">
                  <c:v>CMP-9801</c:v>
                </c:pt>
                <c:pt idx="324">
                  <c:v>CMP-3093</c:v>
                </c:pt>
                <c:pt idx="325">
                  <c:v>ACC-2364</c:v>
                </c:pt>
                <c:pt idx="326">
                  <c:v>CMP-5138</c:v>
                </c:pt>
                <c:pt idx="327">
                  <c:v>PHN-2337</c:v>
                </c:pt>
                <c:pt idx="328">
                  <c:v>MON-2993</c:v>
                </c:pt>
                <c:pt idx="329">
                  <c:v>LAP-9024</c:v>
                </c:pt>
                <c:pt idx="330">
                  <c:v>PHN-6307</c:v>
                </c:pt>
                <c:pt idx="331">
                  <c:v>NET-9003</c:v>
                </c:pt>
                <c:pt idx="332">
                  <c:v>ACC-3068</c:v>
                </c:pt>
                <c:pt idx="333">
                  <c:v>ACC-1060</c:v>
                </c:pt>
                <c:pt idx="334">
                  <c:v>PHN-3854</c:v>
                </c:pt>
                <c:pt idx="335">
                  <c:v>PRN-1086</c:v>
                </c:pt>
                <c:pt idx="336">
                  <c:v>PHN-7815</c:v>
                </c:pt>
                <c:pt idx="337">
                  <c:v>PRN-5384</c:v>
                </c:pt>
                <c:pt idx="338">
                  <c:v>ACC-8178</c:v>
                </c:pt>
                <c:pt idx="339">
                  <c:v>MON-1018</c:v>
                </c:pt>
                <c:pt idx="340">
                  <c:v>ACC-1238</c:v>
                </c:pt>
                <c:pt idx="341">
                  <c:v>NET-1816</c:v>
                </c:pt>
                <c:pt idx="342">
                  <c:v>PRN-4893</c:v>
                </c:pt>
                <c:pt idx="343">
                  <c:v>PHN-1717</c:v>
                </c:pt>
                <c:pt idx="344">
                  <c:v>NET-9575</c:v>
                </c:pt>
                <c:pt idx="345">
                  <c:v>LAP-3604</c:v>
                </c:pt>
                <c:pt idx="346">
                  <c:v>ACC-6626</c:v>
                </c:pt>
                <c:pt idx="347">
                  <c:v>PHN-1670</c:v>
                </c:pt>
                <c:pt idx="348">
                  <c:v>CMP-4792</c:v>
                </c:pt>
                <c:pt idx="349">
                  <c:v>LAP-1990</c:v>
                </c:pt>
                <c:pt idx="350">
                  <c:v>PRN-7410</c:v>
                </c:pt>
                <c:pt idx="351">
                  <c:v>MON-4278</c:v>
                </c:pt>
                <c:pt idx="352">
                  <c:v>ACC-5334</c:v>
                </c:pt>
                <c:pt idx="353">
                  <c:v>NET-8957</c:v>
                </c:pt>
                <c:pt idx="354">
                  <c:v>PRN-9960</c:v>
                </c:pt>
                <c:pt idx="355">
                  <c:v>ACC-3103</c:v>
                </c:pt>
                <c:pt idx="356">
                  <c:v>PRN-9490</c:v>
                </c:pt>
                <c:pt idx="357">
                  <c:v>NET-3850</c:v>
                </c:pt>
                <c:pt idx="358">
                  <c:v>ACC-7047</c:v>
                </c:pt>
                <c:pt idx="359">
                  <c:v>PRN-6660</c:v>
                </c:pt>
                <c:pt idx="360">
                  <c:v>ACC-7838</c:v>
                </c:pt>
                <c:pt idx="361">
                  <c:v>PHN-5383</c:v>
                </c:pt>
                <c:pt idx="362">
                  <c:v>LAP-3904</c:v>
                </c:pt>
                <c:pt idx="363">
                  <c:v>MON-5749</c:v>
                </c:pt>
                <c:pt idx="364">
                  <c:v>PRN-3690</c:v>
                </c:pt>
                <c:pt idx="365">
                  <c:v>CMP-7055</c:v>
                </c:pt>
                <c:pt idx="366">
                  <c:v>PHN-6866</c:v>
                </c:pt>
                <c:pt idx="367">
                  <c:v>CMP-3259</c:v>
                </c:pt>
                <c:pt idx="368">
                  <c:v>LAP-6750</c:v>
                </c:pt>
                <c:pt idx="369">
                  <c:v>PRN-3775</c:v>
                </c:pt>
                <c:pt idx="370">
                  <c:v>LAP-2942</c:v>
                </c:pt>
                <c:pt idx="371">
                  <c:v>PHN-2036</c:v>
                </c:pt>
                <c:pt idx="372">
                  <c:v>MON-4373</c:v>
                </c:pt>
                <c:pt idx="373">
                  <c:v>PRN-8657</c:v>
                </c:pt>
                <c:pt idx="374">
                  <c:v>PHN-7974</c:v>
                </c:pt>
                <c:pt idx="375">
                  <c:v>PHN-4915</c:v>
                </c:pt>
                <c:pt idx="376">
                  <c:v>NET-3535</c:v>
                </c:pt>
                <c:pt idx="377">
                  <c:v>CMP-2574</c:v>
                </c:pt>
                <c:pt idx="378">
                  <c:v>NET-7901</c:v>
                </c:pt>
                <c:pt idx="379">
                  <c:v>NET-5482</c:v>
                </c:pt>
                <c:pt idx="380">
                  <c:v>CMP-5820</c:v>
                </c:pt>
                <c:pt idx="381">
                  <c:v>NET-1336</c:v>
                </c:pt>
                <c:pt idx="382">
                  <c:v>PRN-5876</c:v>
                </c:pt>
                <c:pt idx="383">
                  <c:v>NET-3828</c:v>
                </c:pt>
                <c:pt idx="384">
                  <c:v>MON-7622</c:v>
                </c:pt>
                <c:pt idx="385">
                  <c:v>LAP-2806</c:v>
                </c:pt>
                <c:pt idx="386">
                  <c:v>PRN-8850</c:v>
                </c:pt>
                <c:pt idx="387">
                  <c:v>LAP-9100</c:v>
                </c:pt>
                <c:pt idx="388">
                  <c:v>LAP-5763</c:v>
                </c:pt>
                <c:pt idx="389">
                  <c:v>LAP-7320</c:v>
                </c:pt>
                <c:pt idx="390">
                  <c:v>MON-5891</c:v>
                </c:pt>
                <c:pt idx="391">
                  <c:v>PRN-1183</c:v>
                </c:pt>
                <c:pt idx="392">
                  <c:v>CMP-2096</c:v>
                </c:pt>
                <c:pt idx="393">
                  <c:v>PHN-3398</c:v>
                </c:pt>
                <c:pt idx="394">
                  <c:v>CMP-8545</c:v>
                </c:pt>
                <c:pt idx="395">
                  <c:v>ACC-1249</c:v>
                </c:pt>
                <c:pt idx="396">
                  <c:v>MON-9662</c:v>
                </c:pt>
                <c:pt idx="397">
                  <c:v>LAP-8347</c:v>
                </c:pt>
                <c:pt idx="398">
                  <c:v>CMP-6898</c:v>
                </c:pt>
                <c:pt idx="399">
                  <c:v>MON-3504</c:v>
                </c:pt>
                <c:pt idx="400">
                  <c:v>NET-3432</c:v>
                </c:pt>
                <c:pt idx="401">
                  <c:v>PRN-5591</c:v>
                </c:pt>
                <c:pt idx="402">
                  <c:v>CMP-2015</c:v>
                </c:pt>
                <c:pt idx="403">
                  <c:v>LAP-9901</c:v>
                </c:pt>
                <c:pt idx="404">
                  <c:v>CMP-8658</c:v>
                </c:pt>
                <c:pt idx="405">
                  <c:v>MON-2073</c:v>
                </c:pt>
                <c:pt idx="406">
                  <c:v>PRN-9378</c:v>
                </c:pt>
                <c:pt idx="407">
                  <c:v>PHN-5887</c:v>
                </c:pt>
                <c:pt idx="408">
                  <c:v>LAP-8119</c:v>
                </c:pt>
                <c:pt idx="409">
                  <c:v>ACC-9644</c:v>
                </c:pt>
                <c:pt idx="410">
                  <c:v>LAP-7009</c:v>
                </c:pt>
                <c:pt idx="411">
                  <c:v>PRN-1725</c:v>
                </c:pt>
                <c:pt idx="412">
                  <c:v>PHN-8483</c:v>
                </c:pt>
                <c:pt idx="413">
                  <c:v>PHN-3971</c:v>
                </c:pt>
                <c:pt idx="414">
                  <c:v>NET-6578</c:v>
                </c:pt>
                <c:pt idx="415">
                  <c:v>PRN-9975</c:v>
                </c:pt>
                <c:pt idx="416">
                  <c:v>ACC-1075</c:v>
                </c:pt>
                <c:pt idx="417">
                  <c:v>ACC-2902</c:v>
                </c:pt>
                <c:pt idx="418">
                  <c:v>PRN-5815</c:v>
                </c:pt>
                <c:pt idx="419">
                  <c:v>MON-4195</c:v>
                </c:pt>
                <c:pt idx="420">
                  <c:v>PHN-8478</c:v>
                </c:pt>
                <c:pt idx="421">
                  <c:v>PHN-1044</c:v>
                </c:pt>
                <c:pt idx="422">
                  <c:v>LAP-8910</c:v>
                </c:pt>
                <c:pt idx="423">
                  <c:v>PHN-2859</c:v>
                </c:pt>
                <c:pt idx="424">
                  <c:v>PRN-6308</c:v>
                </c:pt>
                <c:pt idx="425">
                  <c:v>LAP-8469</c:v>
                </c:pt>
                <c:pt idx="426">
                  <c:v>LAP-7553</c:v>
                </c:pt>
                <c:pt idx="427">
                  <c:v>PHN-3077</c:v>
                </c:pt>
                <c:pt idx="428">
                  <c:v>MON-3350</c:v>
                </c:pt>
                <c:pt idx="429">
                  <c:v>PHN-5683</c:v>
                </c:pt>
                <c:pt idx="430">
                  <c:v>PRN-2409</c:v>
                </c:pt>
                <c:pt idx="431">
                  <c:v>LAP-8825</c:v>
                </c:pt>
                <c:pt idx="432">
                  <c:v>MON-8697</c:v>
                </c:pt>
                <c:pt idx="433">
                  <c:v>MON-4789</c:v>
                </c:pt>
                <c:pt idx="434">
                  <c:v>NET-7998</c:v>
                </c:pt>
                <c:pt idx="435">
                  <c:v>PHN-8891</c:v>
                </c:pt>
                <c:pt idx="436">
                  <c:v>NET-9832</c:v>
                </c:pt>
                <c:pt idx="437">
                  <c:v>CMP-8604</c:v>
                </c:pt>
                <c:pt idx="438">
                  <c:v>ACC-6594</c:v>
                </c:pt>
                <c:pt idx="439">
                  <c:v>NET-2499</c:v>
                </c:pt>
                <c:pt idx="440">
                  <c:v>PRN-1923</c:v>
                </c:pt>
                <c:pt idx="441">
                  <c:v>PHN-4346</c:v>
                </c:pt>
                <c:pt idx="442">
                  <c:v>ACC-1375</c:v>
                </c:pt>
                <c:pt idx="443">
                  <c:v>PRN-4892</c:v>
                </c:pt>
                <c:pt idx="444">
                  <c:v>PRN-9557</c:v>
                </c:pt>
                <c:pt idx="445">
                  <c:v>PRN-8008</c:v>
                </c:pt>
                <c:pt idx="446">
                  <c:v>LAP-1946</c:v>
                </c:pt>
                <c:pt idx="447">
                  <c:v>MON-7106</c:v>
                </c:pt>
                <c:pt idx="448">
                  <c:v>MON-5386</c:v>
                </c:pt>
                <c:pt idx="449">
                  <c:v>PHN-2436</c:v>
                </c:pt>
                <c:pt idx="450">
                  <c:v>PRN-2301</c:v>
                </c:pt>
                <c:pt idx="451">
                  <c:v>ACC-3645</c:v>
                </c:pt>
                <c:pt idx="452">
                  <c:v>CMP-6811</c:v>
                </c:pt>
                <c:pt idx="453">
                  <c:v>PHN-5675</c:v>
                </c:pt>
                <c:pt idx="454">
                  <c:v>MON-6882</c:v>
                </c:pt>
                <c:pt idx="455">
                  <c:v>ACC-8620</c:v>
                </c:pt>
                <c:pt idx="456">
                  <c:v>PHN-6506</c:v>
                </c:pt>
                <c:pt idx="457">
                  <c:v>MON-5086</c:v>
                </c:pt>
                <c:pt idx="458">
                  <c:v>LAP-4899</c:v>
                </c:pt>
                <c:pt idx="459">
                  <c:v>CMP-3313</c:v>
                </c:pt>
                <c:pt idx="460">
                  <c:v>CMP-6649</c:v>
                </c:pt>
                <c:pt idx="461">
                  <c:v>ACC-5206</c:v>
                </c:pt>
                <c:pt idx="462">
                  <c:v>PRN-6911</c:v>
                </c:pt>
                <c:pt idx="463">
                  <c:v>NET-5270</c:v>
                </c:pt>
                <c:pt idx="464">
                  <c:v>CMP-5658</c:v>
                </c:pt>
                <c:pt idx="465">
                  <c:v>CMP-3938</c:v>
                </c:pt>
                <c:pt idx="466">
                  <c:v>ACC-7671</c:v>
                </c:pt>
                <c:pt idx="467">
                  <c:v>NET-6014</c:v>
                </c:pt>
                <c:pt idx="468">
                  <c:v>CMP-4159</c:v>
                </c:pt>
                <c:pt idx="469">
                  <c:v>PRN-3159</c:v>
                </c:pt>
                <c:pt idx="470">
                  <c:v>PRN-9488</c:v>
                </c:pt>
                <c:pt idx="471">
                  <c:v>PRN-7079</c:v>
                </c:pt>
                <c:pt idx="472">
                  <c:v>CMP-1220</c:v>
                </c:pt>
                <c:pt idx="473">
                  <c:v>MON-2462</c:v>
                </c:pt>
                <c:pt idx="474">
                  <c:v>PHN-9465</c:v>
                </c:pt>
                <c:pt idx="475">
                  <c:v>PRN-1271</c:v>
                </c:pt>
                <c:pt idx="476">
                  <c:v>LAP-1066</c:v>
                </c:pt>
                <c:pt idx="477">
                  <c:v>CMP-8675</c:v>
                </c:pt>
                <c:pt idx="478">
                  <c:v>LAP-1178</c:v>
                </c:pt>
                <c:pt idx="479">
                  <c:v>ACC-1731</c:v>
                </c:pt>
                <c:pt idx="480">
                  <c:v>NET-1893</c:v>
                </c:pt>
                <c:pt idx="481">
                  <c:v>PRN-3917</c:v>
                </c:pt>
                <c:pt idx="482">
                  <c:v>LAP-3220</c:v>
                </c:pt>
                <c:pt idx="483">
                  <c:v>PHN-2462</c:v>
                </c:pt>
                <c:pt idx="484">
                  <c:v>NET-2894</c:v>
                </c:pt>
                <c:pt idx="485">
                  <c:v>CMP-2335</c:v>
                </c:pt>
                <c:pt idx="486">
                  <c:v>PHN-5938</c:v>
                </c:pt>
                <c:pt idx="487">
                  <c:v>PRN-1371</c:v>
                </c:pt>
                <c:pt idx="488">
                  <c:v>PRN-5813</c:v>
                </c:pt>
                <c:pt idx="489">
                  <c:v>PHN-6480</c:v>
                </c:pt>
                <c:pt idx="490">
                  <c:v>ACC-2990</c:v>
                </c:pt>
                <c:pt idx="491">
                  <c:v>CMP-5435</c:v>
                </c:pt>
                <c:pt idx="492">
                  <c:v>ACC-1596</c:v>
                </c:pt>
                <c:pt idx="493">
                  <c:v>PHN-7852</c:v>
                </c:pt>
                <c:pt idx="494">
                  <c:v>ACC-7240</c:v>
                </c:pt>
                <c:pt idx="495">
                  <c:v>MON-8867</c:v>
                </c:pt>
                <c:pt idx="496">
                  <c:v>NET-1228</c:v>
                </c:pt>
                <c:pt idx="497">
                  <c:v>NET-1145</c:v>
                </c:pt>
                <c:pt idx="498">
                  <c:v>ACC-2867</c:v>
                </c:pt>
                <c:pt idx="499">
                  <c:v>MON-9274</c:v>
                </c:pt>
                <c:pt idx="500">
                  <c:v>MON-4830</c:v>
                </c:pt>
                <c:pt idx="501">
                  <c:v>PHN-9107</c:v>
                </c:pt>
                <c:pt idx="502">
                  <c:v>PRN-1060</c:v>
                </c:pt>
                <c:pt idx="503">
                  <c:v>NET-8329</c:v>
                </c:pt>
                <c:pt idx="504">
                  <c:v>NET-6269</c:v>
                </c:pt>
                <c:pt idx="505">
                  <c:v>CMP-6529</c:v>
                </c:pt>
                <c:pt idx="506">
                  <c:v>PHN-8776</c:v>
                </c:pt>
                <c:pt idx="507">
                  <c:v>NET-3728</c:v>
                </c:pt>
                <c:pt idx="508">
                  <c:v>LAP-3565</c:v>
                </c:pt>
                <c:pt idx="509">
                  <c:v>LAP-5078</c:v>
                </c:pt>
                <c:pt idx="510">
                  <c:v>MON-2465</c:v>
                </c:pt>
                <c:pt idx="511">
                  <c:v>CMP-3223</c:v>
                </c:pt>
                <c:pt idx="512">
                  <c:v>CMP-8127</c:v>
                </c:pt>
                <c:pt idx="513">
                  <c:v>PHN-1924</c:v>
                </c:pt>
                <c:pt idx="514">
                  <c:v>CMP-1156</c:v>
                </c:pt>
                <c:pt idx="515">
                  <c:v>LAP-3905</c:v>
                </c:pt>
                <c:pt idx="516">
                  <c:v>PRN-1786</c:v>
                </c:pt>
                <c:pt idx="517">
                  <c:v>ACC-3349</c:v>
                </c:pt>
                <c:pt idx="518">
                  <c:v>NET-4228</c:v>
                </c:pt>
                <c:pt idx="519">
                  <c:v>CMP-5633</c:v>
                </c:pt>
                <c:pt idx="520">
                  <c:v>CMP-5825</c:v>
                </c:pt>
                <c:pt idx="521">
                  <c:v>LAP-6499</c:v>
                </c:pt>
                <c:pt idx="522">
                  <c:v>ACC-3721</c:v>
                </c:pt>
                <c:pt idx="523">
                  <c:v>MON-6190</c:v>
                </c:pt>
                <c:pt idx="524">
                  <c:v>CMP-2410</c:v>
                </c:pt>
                <c:pt idx="525">
                  <c:v>PRN-2641</c:v>
                </c:pt>
                <c:pt idx="526">
                  <c:v>PRN-1882</c:v>
                </c:pt>
                <c:pt idx="527">
                  <c:v>PRN-1641</c:v>
                </c:pt>
                <c:pt idx="528">
                  <c:v>LAP-1739</c:v>
                </c:pt>
                <c:pt idx="529">
                  <c:v>PRN-4732</c:v>
                </c:pt>
                <c:pt idx="530">
                  <c:v>NET-9569</c:v>
                </c:pt>
                <c:pt idx="531">
                  <c:v>PHN-3007</c:v>
                </c:pt>
                <c:pt idx="532">
                  <c:v>MON-9216</c:v>
                </c:pt>
                <c:pt idx="533">
                  <c:v>PHN-8072</c:v>
                </c:pt>
                <c:pt idx="534">
                  <c:v>LAP-1308</c:v>
                </c:pt>
                <c:pt idx="535">
                  <c:v>LAP-7353</c:v>
                </c:pt>
                <c:pt idx="536">
                  <c:v>NET-6533</c:v>
                </c:pt>
                <c:pt idx="537">
                  <c:v>LAP-5763</c:v>
                </c:pt>
                <c:pt idx="538">
                  <c:v>ACC-9445</c:v>
                </c:pt>
                <c:pt idx="539">
                  <c:v>PRN-1654</c:v>
                </c:pt>
                <c:pt idx="540">
                  <c:v>NET-8787</c:v>
                </c:pt>
                <c:pt idx="541">
                  <c:v>LAP-1989</c:v>
                </c:pt>
                <c:pt idx="542">
                  <c:v>MON-8688</c:v>
                </c:pt>
                <c:pt idx="543">
                  <c:v>ACC-8242</c:v>
                </c:pt>
                <c:pt idx="544">
                  <c:v>LAP-4666</c:v>
                </c:pt>
                <c:pt idx="545">
                  <c:v>NET-5196</c:v>
                </c:pt>
                <c:pt idx="546">
                  <c:v>MON-8422</c:v>
                </c:pt>
                <c:pt idx="547">
                  <c:v>ACC-3415</c:v>
                </c:pt>
                <c:pt idx="548">
                  <c:v>PRN-9624</c:v>
                </c:pt>
                <c:pt idx="549">
                  <c:v>MON-6287</c:v>
                </c:pt>
                <c:pt idx="550">
                  <c:v>NET-4491</c:v>
                </c:pt>
                <c:pt idx="551">
                  <c:v>MON-4317</c:v>
                </c:pt>
                <c:pt idx="552">
                  <c:v>NET-7349</c:v>
                </c:pt>
                <c:pt idx="553">
                  <c:v>ACC-5150</c:v>
                </c:pt>
                <c:pt idx="554">
                  <c:v>ACC-5144</c:v>
                </c:pt>
                <c:pt idx="555">
                  <c:v>PHN-6111</c:v>
                </c:pt>
                <c:pt idx="556">
                  <c:v>ACC-9283</c:v>
                </c:pt>
                <c:pt idx="557">
                  <c:v>PRN-2407</c:v>
                </c:pt>
                <c:pt idx="558">
                  <c:v>MON-7099</c:v>
                </c:pt>
                <c:pt idx="559">
                  <c:v>ACC-7354</c:v>
                </c:pt>
                <c:pt idx="560">
                  <c:v>PRN-6585</c:v>
                </c:pt>
                <c:pt idx="561">
                  <c:v>CMP-9498</c:v>
                </c:pt>
                <c:pt idx="562">
                  <c:v>PHN-1919</c:v>
                </c:pt>
                <c:pt idx="563">
                  <c:v>MON-6053</c:v>
                </c:pt>
                <c:pt idx="564">
                  <c:v>NET-2502</c:v>
                </c:pt>
                <c:pt idx="565">
                  <c:v>LAP-5689</c:v>
                </c:pt>
                <c:pt idx="566">
                  <c:v>CMP-5911</c:v>
                </c:pt>
                <c:pt idx="567">
                  <c:v>LAP-7523</c:v>
                </c:pt>
                <c:pt idx="568">
                  <c:v>MON-1118</c:v>
                </c:pt>
                <c:pt idx="569">
                  <c:v>NET-9177</c:v>
                </c:pt>
                <c:pt idx="570">
                  <c:v>CMP-6495</c:v>
                </c:pt>
                <c:pt idx="571">
                  <c:v>ACC-4587</c:v>
                </c:pt>
                <c:pt idx="572">
                  <c:v>PHN-4395</c:v>
                </c:pt>
                <c:pt idx="573">
                  <c:v>LAP-3581</c:v>
                </c:pt>
                <c:pt idx="574">
                  <c:v>MON-6065</c:v>
                </c:pt>
                <c:pt idx="575">
                  <c:v>CMP-4945</c:v>
                </c:pt>
                <c:pt idx="576">
                  <c:v>NET-3785</c:v>
                </c:pt>
                <c:pt idx="577">
                  <c:v>NET-3689</c:v>
                </c:pt>
                <c:pt idx="578">
                  <c:v>ACC-3833</c:v>
                </c:pt>
                <c:pt idx="579">
                  <c:v>NET-2932</c:v>
                </c:pt>
                <c:pt idx="580">
                  <c:v>PHN-7636</c:v>
                </c:pt>
                <c:pt idx="581">
                  <c:v>CMP-1223</c:v>
                </c:pt>
                <c:pt idx="582">
                  <c:v>MON-7207</c:v>
                </c:pt>
                <c:pt idx="583">
                  <c:v>LAP-4483</c:v>
                </c:pt>
                <c:pt idx="584">
                  <c:v>LAP-1969</c:v>
                </c:pt>
                <c:pt idx="585">
                  <c:v>PHN-4566</c:v>
                </c:pt>
                <c:pt idx="586">
                  <c:v>PHN-5366</c:v>
                </c:pt>
                <c:pt idx="587">
                  <c:v>CMP-9001</c:v>
                </c:pt>
                <c:pt idx="588">
                  <c:v>PHN-9677</c:v>
                </c:pt>
                <c:pt idx="589">
                  <c:v>ACC-1604</c:v>
                </c:pt>
                <c:pt idx="590">
                  <c:v>ACC-4815</c:v>
                </c:pt>
                <c:pt idx="591">
                  <c:v>CMP-5311</c:v>
                </c:pt>
                <c:pt idx="592">
                  <c:v>NET-1282</c:v>
                </c:pt>
                <c:pt idx="593">
                  <c:v>MON-1564</c:v>
                </c:pt>
                <c:pt idx="594">
                  <c:v>ACC-7906</c:v>
                </c:pt>
                <c:pt idx="595">
                  <c:v>LAP-6577</c:v>
                </c:pt>
                <c:pt idx="596">
                  <c:v>CMP-5065</c:v>
                </c:pt>
                <c:pt idx="597">
                  <c:v>PRN-4787</c:v>
                </c:pt>
                <c:pt idx="598">
                  <c:v>PRN-9867</c:v>
                </c:pt>
                <c:pt idx="599">
                  <c:v>MON-2849</c:v>
                </c:pt>
                <c:pt idx="600">
                  <c:v>LAP-8633</c:v>
                </c:pt>
                <c:pt idx="601">
                  <c:v>PRN-9793</c:v>
                </c:pt>
                <c:pt idx="602">
                  <c:v>NET-6218</c:v>
                </c:pt>
                <c:pt idx="603">
                  <c:v>PRN-6131</c:v>
                </c:pt>
                <c:pt idx="604">
                  <c:v>PRN-5067</c:v>
                </c:pt>
                <c:pt idx="605">
                  <c:v>LAP-4932</c:v>
                </c:pt>
                <c:pt idx="606">
                  <c:v>ACC-7713</c:v>
                </c:pt>
                <c:pt idx="607">
                  <c:v>PHN-7379</c:v>
                </c:pt>
                <c:pt idx="608">
                  <c:v>PRN-5569</c:v>
                </c:pt>
                <c:pt idx="609">
                  <c:v>CMP-1470</c:v>
                </c:pt>
                <c:pt idx="610">
                  <c:v>PRN-9249</c:v>
                </c:pt>
                <c:pt idx="611">
                  <c:v>PRN-4906</c:v>
                </c:pt>
                <c:pt idx="612">
                  <c:v>MON-8129</c:v>
                </c:pt>
                <c:pt idx="613">
                  <c:v>NET-5987</c:v>
                </c:pt>
                <c:pt idx="614">
                  <c:v>NET-5423</c:v>
                </c:pt>
                <c:pt idx="615">
                  <c:v>PRN-5264</c:v>
                </c:pt>
                <c:pt idx="616">
                  <c:v>NET-8856</c:v>
                </c:pt>
                <c:pt idx="617">
                  <c:v>MON-4215</c:v>
                </c:pt>
                <c:pt idx="618">
                  <c:v>PRN-5753</c:v>
                </c:pt>
                <c:pt idx="619">
                  <c:v>CMP-5006</c:v>
                </c:pt>
                <c:pt idx="620">
                  <c:v>ACC-4766</c:v>
                </c:pt>
                <c:pt idx="621">
                  <c:v>NET-8610</c:v>
                </c:pt>
                <c:pt idx="622">
                  <c:v>NET-4675</c:v>
                </c:pt>
                <c:pt idx="623">
                  <c:v>ACC-1028</c:v>
                </c:pt>
                <c:pt idx="624">
                  <c:v>NET-4735</c:v>
                </c:pt>
                <c:pt idx="625">
                  <c:v>NET-2460</c:v>
                </c:pt>
                <c:pt idx="626">
                  <c:v>CMP-1555</c:v>
                </c:pt>
                <c:pt idx="627">
                  <c:v>MON-3773</c:v>
                </c:pt>
                <c:pt idx="628">
                  <c:v>PHN-4677</c:v>
                </c:pt>
                <c:pt idx="629">
                  <c:v>CMP-1940</c:v>
                </c:pt>
                <c:pt idx="630">
                  <c:v>PHN-9184</c:v>
                </c:pt>
                <c:pt idx="631">
                  <c:v>LAP-3017</c:v>
                </c:pt>
              </c:strCache>
            </c:strRef>
          </c:xVal>
          <c:yVal>
            <c:numRef>
              <c:f>Data!$Z$2:$Z$634</c:f>
              <c:numCache>
                <c:formatCode>0.00</c:formatCode>
                <c:ptCount val="633"/>
                <c:pt idx="0">
                  <c:v>0.112</c:v>
                </c:pt>
                <c:pt idx="1">
                  <c:v>0.23699999999999999</c:v>
                </c:pt>
                <c:pt idx="2">
                  <c:v>0.13100000000000001</c:v>
                </c:pt>
                <c:pt idx="3">
                  <c:v>7.1999999999999995E-2</c:v>
                </c:pt>
                <c:pt idx="4">
                  <c:v>0.10199999999999999</c:v>
                </c:pt>
                <c:pt idx="5">
                  <c:v>0</c:v>
                </c:pt>
                <c:pt idx="6">
                  <c:v>0.14699999999999999</c:v>
                </c:pt>
                <c:pt idx="7">
                  <c:v>0.19400000000000001</c:v>
                </c:pt>
                <c:pt idx="8">
                  <c:v>3.1E-2</c:v>
                </c:pt>
                <c:pt idx="9">
                  <c:v>0.14899999999999999</c:v>
                </c:pt>
                <c:pt idx="10">
                  <c:v>6.0000000000000001E-3</c:v>
                </c:pt>
                <c:pt idx="11">
                  <c:v>0.25</c:v>
                </c:pt>
                <c:pt idx="12">
                  <c:v>9.4E-2</c:v>
                </c:pt>
                <c:pt idx="13">
                  <c:v>0</c:v>
                </c:pt>
                <c:pt idx="14">
                  <c:v>0</c:v>
                </c:pt>
                <c:pt idx="15">
                  <c:v>7.3999999999999996E-2</c:v>
                </c:pt>
                <c:pt idx="16">
                  <c:v>0.109</c:v>
                </c:pt>
                <c:pt idx="17">
                  <c:v>0.183</c:v>
                </c:pt>
                <c:pt idx="18">
                  <c:v>0.109</c:v>
                </c:pt>
                <c:pt idx="19">
                  <c:v>3.7999999999999999E-2</c:v>
                </c:pt>
                <c:pt idx="20">
                  <c:v>7.1999999999999995E-2</c:v>
                </c:pt>
                <c:pt idx="21">
                  <c:v>0.14299999999999999</c:v>
                </c:pt>
                <c:pt idx="22">
                  <c:v>0.12</c:v>
                </c:pt>
                <c:pt idx="23">
                  <c:v>0.01</c:v>
                </c:pt>
                <c:pt idx="24">
                  <c:v>7.0000000000000001E-3</c:v>
                </c:pt>
                <c:pt idx="25">
                  <c:v>0.16800000000000001</c:v>
                </c:pt>
                <c:pt idx="26">
                  <c:v>0</c:v>
                </c:pt>
                <c:pt idx="27">
                  <c:v>0.125</c:v>
                </c:pt>
                <c:pt idx="28">
                  <c:v>0</c:v>
                </c:pt>
                <c:pt idx="29">
                  <c:v>0.13900000000000001</c:v>
                </c:pt>
                <c:pt idx="30">
                  <c:v>8.6999999999999994E-2</c:v>
                </c:pt>
                <c:pt idx="31">
                  <c:v>8.8999999999999996E-2</c:v>
                </c:pt>
                <c:pt idx="32">
                  <c:v>8.4000000000000005E-2</c:v>
                </c:pt>
                <c:pt idx="33">
                  <c:v>0</c:v>
                </c:pt>
                <c:pt idx="34">
                  <c:v>0</c:v>
                </c:pt>
                <c:pt idx="35">
                  <c:v>0.10100000000000001</c:v>
                </c:pt>
                <c:pt idx="36">
                  <c:v>0.24299999999999999</c:v>
                </c:pt>
                <c:pt idx="37">
                  <c:v>0.13600000000000001</c:v>
                </c:pt>
                <c:pt idx="38">
                  <c:v>0.17499999999999999</c:v>
                </c:pt>
                <c:pt idx="39">
                  <c:v>0.129</c:v>
                </c:pt>
                <c:pt idx="40">
                  <c:v>3.6999999999999998E-2</c:v>
                </c:pt>
                <c:pt idx="41">
                  <c:v>0</c:v>
                </c:pt>
                <c:pt idx="42">
                  <c:v>0.3</c:v>
                </c:pt>
                <c:pt idx="43">
                  <c:v>0.14599999999999999</c:v>
                </c:pt>
                <c:pt idx="44">
                  <c:v>0.182</c:v>
                </c:pt>
                <c:pt idx="45">
                  <c:v>0.16900000000000001</c:v>
                </c:pt>
                <c:pt idx="46">
                  <c:v>0</c:v>
                </c:pt>
                <c:pt idx="47">
                  <c:v>0</c:v>
                </c:pt>
                <c:pt idx="48">
                  <c:v>0.187</c:v>
                </c:pt>
                <c:pt idx="49">
                  <c:v>0.126</c:v>
                </c:pt>
                <c:pt idx="50">
                  <c:v>0.29199999999999998</c:v>
                </c:pt>
                <c:pt idx="51">
                  <c:v>0.29499999999999998</c:v>
                </c:pt>
                <c:pt idx="52">
                  <c:v>0</c:v>
                </c:pt>
                <c:pt idx="53">
                  <c:v>0.182</c:v>
                </c:pt>
                <c:pt idx="54">
                  <c:v>0.14399999999999999</c:v>
                </c:pt>
                <c:pt idx="55">
                  <c:v>0.14699999999999999</c:v>
                </c:pt>
                <c:pt idx="56">
                  <c:v>3.5000000000000003E-2</c:v>
                </c:pt>
                <c:pt idx="57">
                  <c:v>0.14699999999999999</c:v>
                </c:pt>
                <c:pt idx="58">
                  <c:v>7.4999999999999997E-2</c:v>
                </c:pt>
                <c:pt idx="59">
                  <c:v>0.20499999999999999</c:v>
                </c:pt>
                <c:pt idx="60">
                  <c:v>0.11899999999999999</c:v>
                </c:pt>
                <c:pt idx="61">
                  <c:v>0.11</c:v>
                </c:pt>
                <c:pt idx="62">
                  <c:v>0.2</c:v>
                </c:pt>
                <c:pt idx="63">
                  <c:v>0.255</c:v>
                </c:pt>
                <c:pt idx="64">
                  <c:v>0.13</c:v>
                </c:pt>
                <c:pt idx="65">
                  <c:v>0.184</c:v>
                </c:pt>
                <c:pt idx="66">
                  <c:v>0.189</c:v>
                </c:pt>
                <c:pt idx="67">
                  <c:v>0.105</c:v>
                </c:pt>
                <c:pt idx="68">
                  <c:v>0.20399999999999999</c:v>
                </c:pt>
                <c:pt idx="69">
                  <c:v>0.05</c:v>
                </c:pt>
                <c:pt idx="70">
                  <c:v>6.8000000000000005E-2</c:v>
                </c:pt>
                <c:pt idx="71">
                  <c:v>0.14199999999999999</c:v>
                </c:pt>
                <c:pt idx="72">
                  <c:v>0.185</c:v>
                </c:pt>
                <c:pt idx="73">
                  <c:v>4.7E-2</c:v>
                </c:pt>
                <c:pt idx="74">
                  <c:v>0.3</c:v>
                </c:pt>
                <c:pt idx="75">
                  <c:v>0.114</c:v>
                </c:pt>
                <c:pt idx="76">
                  <c:v>0.13400000000000001</c:v>
                </c:pt>
                <c:pt idx="77">
                  <c:v>7.1999999999999995E-2</c:v>
                </c:pt>
                <c:pt idx="78">
                  <c:v>0.25700000000000001</c:v>
                </c:pt>
                <c:pt idx="79">
                  <c:v>0.186</c:v>
                </c:pt>
                <c:pt idx="80">
                  <c:v>0.161</c:v>
                </c:pt>
                <c:pt idx="81">
                  <c:v>0.24099999999999999</c:v>
                </c:pt>
                <c:pt idx="82">
                  <c:v>8.4000000000000005E-2</c:v>
                </c:pt>
                <c:pt idx="83">
                  <c:v>0.215</c:v>
                </c:pt>
                <c:pt idx="84">
                  <c:v>0.104</c:v>
                </c:pt>
                <c:pt idx="85">
                  <c:v>7.0000000000000007E-2</c:v>
                </c:pt>
                <c:pt idx="86">
                  <c:v>0.154</c:v>
                </c:pt>
                <c:pt idx="87">
                  <c:v>0.188</c:v>
                </c:pt>
                <c:pt idx="88">
                  <c:v>0.03</c:v>
                </c:pt>
                <c:pt idx="89">
                  <c:v>6.6000000000000003E-2</c:v>
                </c:pt>
                <c:pt idx="90">
                  <c:v>7.3999999999999996E-2</c:v>
                </c:pt>
                <c:pt idx="91">
                  <c:v>0.14399999999999999</c:v>
                </c:pt>
                <c:pt idx="92">
                  <c:v>9.6000000000000002E-2</c:v>
                </c:pt>
                <c:pt idx="93">
                  <c:v>9.9000000000000005E-2</c:v>
                </c:pt>
                <c:pt idx="94">
                  <c:v>0.16</c:v>
                </c:pt>
                <c:pt idx="95">
                  <c:v>3.4000000000000002E-2</c:v>
                </c:pt>
                <c:pt idx="96">
                  <c:v>0.14599999999999999</c:v>
                </c:pt>
                <c:pt idx="97">
                  <c:v>0</c:v>
                </c:pt>
                <c:pt idx="98">
                  <c:v>9.1999999999999998E-2</c:v>
                </c:pt>
                <c:pt idx="99">
                  <c:v>0.29199999999999998</c:v>
                </c:pt>
                <c:pt idx="100">
                  <c:v>0</c:v>
                </c:pt>
                <c:pt idx="101">
                  <c:v>0.14000000000000001</c:v>
                </c:pt>
                <c:pt idx="102">
                  <c:v>0</c:v>
                </c:pt>
                <c:pt idx="103">
                  <c:v>0.18</c:v>
                </c:pt>
                <c:pt idx="104">
                  <c:v>0.16900000000000001</c:v>
                </c:pt>
                <c:pt idx="105">
                  <c:v>0.27800000000000002</c:v>
                </c:pt>
                <c:pt idx="106">
                  <c:v>0.13700000000000001</c:v>
                </c:pt>
                <c:pt idx="107">
                  <c:v>0.123</c:v>
                </c:pt>
                <c:pt idx="108">
                  <c:v>0</c:v>
                </c:pt>
                <c:pt idx="109">
                  <c:v>0.22900000000000001</c:v>
                </c:pt>
                <c:pt idx="110">
                  <c:v>0</c:v>
                </c:pt>
                <c:pt idx="111">
                  <c:v>1.2E-2</c:v>
                </c:pt>
                <c:pt idx="112">
                  <c:v>0.11799999999999999</c:v>
                </c:pt>
                <c:pt idx="113">
                  <c:v>0.11899999999999999</c:v>
                </c:pt>
                <c:pt idx="114">
                  <c:v>0</c:v>
                </c:pt>
                <c:pt idx="115">
                  <c:v>0.108</c:v>
                </c:pt>
                <c:pt idx="116">
                  <c:v>0.157</c:v>
                </c:pt>
                <c:pt idx="117">
                  <c:v>0.184</c:v>
                </c:pt>
                <c:pt idx="118">
                  <c:v>7.0999999999999994E-2</c:v>
                </c:pt>
                <c:pt idx="119">
                  <c:v>4.2999999999999997E-2</c:v>
                </c:pt>
                <c:pt idx="120">
                  <c:v>0.123</c:v>
                </c:pt>
                <c:pt idx="121">
                  <c:v>6.9000000000000006E-2</c:v>
                </c:pt>
                <c:pt idx="122">
                  <c:v>0.20300000000000001</c:v>
                </c:pt>
                <c:pt idx="123">
                  <c:v>5.7000000000000002E-2</c:v>
                </c:pt>
                <c:pt idx="124">
                  <c:v>8.8999999999999996E-2</c:v>
                </c:pt>
                <c:pt idx="125">
                  <c:v>8.4000000000000005E-2</c:v>
                </c:pt>
                <c:pt idx="126">
                  <c:v>7.2999999999999995E-2</c:v>
                </c:pt>
                <c:pt idx="127">
                  <c:v>0.17899999999999999</c:v>
                </c:pt>
                <c:pt idx="128">
                  <c:v>0.187</c:v>
                </c:pt>
                <c:pt idx="129">
                  <c:v>0.111</c:v>
                </c:pt>
                <c:pt idx="130">
                  <c:v>6.3E-2</c:v>
                </c:pt>
                <c:pt idx="131">
                  <c:v>0.14199999999999999</c:v>
                </c:pt>
                <c:pt idx="132">
                  <c:v>0.22</c:v>
                </c:pt>
                <c:pt idx="133">
                  <c:v>0.187</c:v>
                </c:pt>
                <c:pt idx="134">
                  <c:v>0.192</c:v>
                </c:pt>
                <c:pt idx="135">
                  <c:v>9.4E-2</c:v>
                </c:pt>
                <c:pt idx="136">
                  <c:v>8.9999999999999993E-3</c:v>
                </c:pt>
                <c:pt idx="137">
                  <c:v>0.26500000000000001</c:v>
                </c:pt>
                <c:pt idx="138">
                  <c:v>0.129</c:v>
                </c:pt>
                <c:pt idx="139">
                  <c:v>0.25900000000000001</c:v>
                </c:pt>
                <c:pt idx="140">
                  <c:v>0.11799999999999999</c:v>
                </c:pt>
                <c:pt idx="141">
                  <c:v>0.01</c:v>
                </c:pt>
                <c:pt idx="142">
                  <c:v>0.151</c:v>
                </c:pt>
                <c:pt idx="143">
                  <c:v>0.245</c:v>
                </c:pt>
                <c:pt idx="144">
                  <c:v>8.2000000000000003E-2</c:v>
                </c:pt>
                <c:pt idx="145">
                  <c:v>0.107</c:v>
                </c:pt>
                <c:pt idx="146">
                  <c:v>0.185</c:v>
                </c:pt>
                <c:pt idx="147">
                  <c:v>0</c:v>
                </c:pt>
                <c:pt idx="148">
                  <c:v>0.188</c:v>
                </c:pt>
                <c:pt idx="149">
                  <c:v>2.1000000000000001E-2</c:v>
                </c:pt>
                <c:pt idx="150">
                  <c:v>0.13100000000000001</c:v>
                </c:pt>
                <c:pt idx="151">
                  <c:v>4.4999999999999998E-2</c:v>
                </c:pt>
                <c:pt idx="152">
                  <c:v>0.184</c:v>
                </c:pt>
                <c:pt idx="153">
                  <c:v>0.13600000000000001</c:v>
                </c:pt>
                <c:pt idx="154">
                  <c:v>0.184</c:v>
                </c:pt>
                <c:pt idx="155">
                  <c:v>0.111</c:v>
                </c:pt>
                <c:pt idx="156">
                  <c:v>1.7999999999999999E-2</c:v>
                </c:pt>
                <c:pt idx="157">
                  <c:v>2.5000000000000001E-2</c:v>
                </c:pt>
                <c:pt idx="158">
                  <c:v>0.127</c:v>
                </c:pt>
                <c:pt idx="159">
                  <c:v>0.18099999999999999</c:v>
                </c:pt>
                <c:pt idx="160">
                  <c:v>0.157</c:v>
                </c:pt>
                <c:pt idx="161">
                  <c:v>7.1999999999999995E-2</c:v>
                </c:pt>
                <c:pt idx="162">
                  <c:v>0.13300000000000001</c:v>
                </c:pt>
                <c:pt idx="163">
                  <c:v>0.14000000000000001</c:v>
                </c:pt>
                <c:pt idx="164">
                  <c:v>0.02</c:v>
                </c:pt>
                <c:pt idx="165">
                  <c:v>5.2999999999999999E-2</c:v>
                </c:pt>
                <c:pt idx="166">
                  <c:v>0.19700000000000001</c:v>
                </c:pt>
                <c:pt idx="167">
                  <c:v>0.254</c:v>
                </c:pt>
                <c:pt idx="168">
                  <c:v>0.185</c:v>
                </c:pt>
                <c:pt idx="169">
                  <c:v>0.13900000000000001</c:v>
                </c:pt>
                <c:pt idx="170">
                  <c:v>0.254</c:v>
                </c:pt>
                <c:pt idx="171">
                  <c:v>0.13400000000000001</c:v>
                </c:pt>
                <c:pt idx="172">
                  <c:v>4.7E-2</c:v>
                </c:pt>
                <c:pt idx="173">
                  <c:v>7.8E-2</c:v>
                </c:pt>
                <c:pt idx="174">
                  <c:v>2.1999999999999999E-2</c:v>
                </c:pt>
                <c:pt idx="175">
                  <c:v>0.255</c:v>
                </c:pt>
                <c:pt idx="176">
                  <c:v>9.0999999999999998E-2</c:v>
                </c:pt>
                <c:pt idx="177">
                  <c:v>0.17699999999999999</c:v>
                </c:pt>
                <c:pt idx="178">
                  <c:v>5.6000000000000001E-2</c:v>
                </c:pt>
                <c:pt idx="179">
                  <c:v>0.17299999999999999</c:v>
                </c:pt>
                <c:pt idx="180">
                  <c:v>0.21199999999999999</c:v>
                </c:pt>
                <c:pt idx="181">
                  <c:v>6.3E-2</c:v>
                </c:pt>
                <c:pt idx="182">
                  <c:v>0.19600000000000001</c:v>
                </c:pt>
                <c:pt idx="183">
                  <c:v>0.10100000000000001</c:v>
                </c:pt>
                <c:pt idx="184">
                  <c:v>0.153</c:v>
                </c:pt>
                <c:pt idx="185">
                  <c:v>2.5000000000000001E-2</c:v>
                </c:pt>
                <c:pt idx="186">
                  <c:v>0.21099999999999999</c:v>
                </c:pt>
                <c:pt idx="187">
                  <c:v>0.23300000000000001</c:v>
                </c:pt>
                <c:pt idx="188">
                  <c:v>0.11799999999999999</c:v>
                </c:pt>
                <c:pt idx="189">
                  <c:v>1.2E-2</c:v>
                </c:pt>
                <c:pt idx="190">
                  <c:v>0.215</c:v>
                </c:pt>
                <c:pt idx="191">
                  <c:v>9.4E-2</c:v>
                </c:pt>
                <c:pt idx="192">
                  <c:v>0.23599999999999999</c:v>
                </c:pt>
                <c:pt idx="193">
                  <c:v>7.1999999999999995E-2</c:v>
                </c:pt>
                <c:pt idx="194">
                  <c:v>9.4E-2</c:v>
                </c:pt>
                <c:pt idx="195">
                  <c:v>0.159</c:v>
                </c:pt>
                <c:pt idx="196">
                  <c:v>0.185</c:v>
                </c:pt>
                <c:pt idx="197">
                  <c:v>5.0999999999999997E-2</c:v>
                </c:pt>
                <c:pt idx="198">
                  <c:v>0.186</c:v>
                </c:pt>
                <c:pt idx="199">
                  <c:v>0.155</c:v>
                </c:pt>
                <c:pt idx="200">
                  <c:v>5.7000000000000002E-2</c:v>
                </c:pt>
                <c:pt idx="201">
                  <c:v>0.25800000000000001</c:v>
                </c:pt>
                <c:pt idx="202">
                  <c:v>0</c:v>
                </c:pt>
                <c:pt idx="203">
                  <c:v>0.24299999999999999</c:v>
                </c:pt>
                <c:pt idx="204">
                  <c:v>5.5E-2</c:v>
                </c:pt>
                <c:pt idx="205">
                  <c:v>2.9000000000000001E-2</c:v>
                </c:pt>
                <c:pt idx="206">
                  <c:v>3.7999999999999999E-2</c:v>
                </c:pt>
                <c:pt idx="207">
                  <c:v>0.14799999999999999</c:v>
                </c:pt>
                <c:pt idx="208">
                  <c:v>0.20300000000000001</c:v>
                </c:pt>
                <c:pt idx="209">
                  <c:v>0.13600000000000001</c:v>
                </c:pt>
                <c:pt idx="210">
                  <c:v>0.152</c:v>
                </c:pt>
                <c:pt idx="211">
                  <c:v>0.10199999999999999</c:v>
                </c:pt>
                <c:pt idx="212">
                  <c:v>0.128</c:v>
                </c:pt>
                <c:pt idx="213">
                  <c:v>0</c:v>
                </c:pt>
                <c:pt idx="214">
                  <c:v>0.157</c:v>
                </c:pt>
                <c:pt idx="215">
                  <c:v>0.20100000000000001</c:v>
                </c:pt>
                <c:pt idx="216">
                  <c:v>0.113</c:v>
                </c:pt>
                <c:pt idx="217">
                  <c:v>0.19600000000000001</c:v>
                </c:pt>
                <c:pt idx="218">
                  <c:v>4.0000000000000001E-3</c:v>
                </c:pt>
                <c:pt idx="219">
                  <c:v>0.26600000000000001</c:v>
                </c:pt>
                <c:pt idx="220">
                  <c:v>5.5E-2</c:v>
                </c:pt>
                <c:pt idx="221">
                  <c:v>0.20399999999999999</c:v>
                </c:pt>
                <c:pt idx="222">
                  <c:v>9.2999999999999999E-2</c:v>
                </c:pt>
                <c:pt idx="223">
                  <c:v>5.0999999999999997E-2</c:v>
                </c:pt>
                <c:pt idx="224">
                  <c:v>5.0999999999999997E-2</c:v>
                </c:pt>
                <c:pt idx="225">
                  <c:v>0.14699999999999999</c:v>
                </c:pt>
                <c:pt idx="226">
                  <c:v>0.13100000000000001</c:v>
                </c:pt>
                <c:pt idx="227">
                  <c:v>6.7000000000000004E-2</c:v>
                </c:pt>
                <c:pt idx="228">
                  <c:v>0.123</c:v>
                </c:pt>
                <c:pt idx="229">
                  <c:v>0.189</c:v>
                </c:pt>
                <c:pt idx="230">
                  <c:v>0.14799999999999999</c:v>
                </c:pt>
                <c:pt idx="231">
                  <c:v>0.109</c:v>
                </c:pt>
                <c:pt idx="232">
                  <c:v>0.11600000000000001</c:v>
                </c:pt>
                <c:pt idx="233">
                  <c:v>0.187</c:v>
                </c:pt>
                <c:pt idx="234">
                  <c:v>0.10199999999999999</c:v>
                </c:pt>
                <c:pt idx="235">
                  <c:v>6.8000000000000005E-2</c:v>
                </c:pt>
                <c:pt idx="236">
                  <c:v>0.126</c:v>
                </c:pt>
                <c:pt idx="237">
                  <c:v>0.17199999999999999</c:v>
                </c:pt>
                <c:pt idx="238">
                  <c:v>0.23499999999999999</c:v>
                </c:pt>
                <c:pt idx="239">
                  <c:v>0.13</c:v>
                </c:pt>
                <c:pt idx="240">
                  <c:v>8.5999999999999993E-2</c:v>
                </c:pt>
                <c:pt idx="241">
                  <c:v>9.5000000000000001E-2</c:v>
                </c:pt>
                <c:pt idx="242">
                  <c:v>0.13600000000000001</c:v>
                </c:pt>
                <c:pt idx="243">
                  <c:v>0.23799999999999999</c:v>
                </c:pt>
                <c:pt idx="244">
                  <c:v>0.17499999999999999</c:v>
                </c:pt>
                <c:pt idx="245">
                  <c:v>0.16700000000000001</c:v>
                </c:pt>
                <c:pt idx="246">
                  <c:v>0.26300000000000001</c:v>
                </c:pt>
                <c:pt idx="247">
                  <c:v>0.151</c:v>
                </c:pt>
                <c:pt idx="248">
                  <c:v>0.11</c:v>
                </c:pt>
                <c:pt idx="249">
                  <c:v>0.107</c:v>
                </c:pt>
                <c:pt idx="250">
                  <c:v>0.14299999999999999</c:v>
                </c:pt>
                <c:pt idx="251">
                  <c:v>0.20300000000000001</c:v>
                </c:pt>
                <c:pt idx="252">
                  <c:v>0.22500000000000001</c:v>
                </c:pt>
                <c:pt idx="253">
                  <c:v>0.122</c:v>
                </c:pt>
                <c:pt idx="254">
                  <c:v>5.2999999999999999E-2</c:v>
                </c:pt>
                <c:pt idx="255">
                  <c:v>3.4000000000000002E-2</c:v>
                </c:pt>
                <c:pt idx="256">
                  <c:v>0.17299999999999999</c:v>
                </c:pt>
                <c:pt idx="257">
                  <c:v>0.19700000000000001</c:v>
                </c:pt>
                <c:pt idx="258">
                  <c:v>0.20499999999999999</c:v>
                </c:pt>
                <c:pt idx="259">
                  <c:v>0.14000000000000001</c:v>
                </c:pt>
                <c:pt idx="260">
                  <c:v>7.8E-2</c:v>
                </c:pt>
                <c:pt idx="261">
                  <c:v>4.0000000000000001E-3</c:v>
                </c:pt>
                <c:pt idx="262">
                  <c:v>0.216</c:v>
                </c:pt>
                <c:pt idx="263">
                  <c:v>5.7000000000000002E-2</c:v>
                </c:pt>
                <c:pt idx="264">
                  <c:v>0.126</c:v>
                </c:pt>
                <c:pt idx="265">
                  <c:v>0.19600000000000001</c:v>
                </c:pt>
                <c:pt idx="266">
                  <c:v>0.184</c:v>
                </c:pt>
                <c:pt idx="267">
                  <c:v>0.107</c:v>
                </c:pt>
                <c:pt idx="268">
                  <c:v>0</c:v>
                </c:pt>
                <c:pt idx="269">
                  <c:v>0.154</c:v>
                </c:pt>
                <c:pt idx="270">
                  <c:v>0.13400000000000001</c:v>
                </c:pt>
                <c:pt idx="271">
                  <c:v>0.17399999999999999</c:v>
                </c:pt>
                <c:pt idx="272">
                  <c:v>0.13900000000000001</c:v>
                </c:pt>
                <c:pt idx="273">
                  <c:v>0.16400000000000001</c:v>
                </c:pt>
                <c:pt idx="274">
                  <c:v>0.13500000000000001</c:v>
                </c:pt>
                <c:pt idx="275">
                  <c:v>0.13500000000000001</c:v>
                </c:pt>
                <c:pt idx="276">
                  <c:v>0.115</c:v>
                </c:pt>
                <c:pt idx="277">
                  <c:v>0.151</c:v>
                </c:pt>
                <c:pt idx="278">
                  <c:v>0.12</c:v>
                </c:pt>
                <c:pt idx="279">
                  <c:v>0.13800000000000001</c:v>
                </c:pt>
                <c:pt idx="280">
                  <c:v>0.112</c:v>
                </c:pt>
                <c:pt idx="281">
                  <c:v>0.3</c:v>
                </c:pt>
                <c:pt idx="282">
                  <c:v>0</c:v>
                </c:pt>
                <c:pt idx="283">
                  <c:v>0.114</c:v>
                </c:pt>
                <c:pt idx="284">
                  <c:v>0.155</c:v>
                </c:pt>
                <c:pt idx="285">
                  <c:v>0.22</c:v>
                </c:pt>
                <c:pt idx="286">
                  <c:v>0.13400000000000001</c:v>
                </c:pt>
                <c:pt idx="287">
                  <c:v>0.13400000000000001</c:v>
                </c:pt>
                <c:pt idx="288">
                  <c:v>6.6000000000000003E-2</c:v>
                </c:pt>
                <c:pt idx="289">
                  <c:v>0.192</c:v>
                </c:pt>
                <c:pt idx="290">
                  <c:v>0.14599999999999999</c:v>
                </c:pt>
                <c:pt idx="291">
                  <c:v>0.156</c:v>
                </c:pt>
                <c:pt idx="292">
                  <c:v>0.20699999999999999</c:v>
                </c:pt>
                <c:pt idx="293">
                  <c:v>5.8999999999999997E-2</c:v>
                </c:pt>
                <c:pt idx="294">
                  <c:v>0.08</c:v>
                </c:pt>
                <c:pt idx="295">
                  <c:v>0.113</c:v>
                </c:pt>
                <c:pt idx="296">
                  <c:v>0.16900000000000001</c:v>
                </c:pt>
                <c:pt idx="297">
                  <c:v>0.108</c:v>
                </c:pt>
                <c:pt idx="298">
                  <c:v>0.11899999999999999</c:v>
                </c:pt>
                <c:pt idx="299">
                  <c:v>0</c:v>
                </c:pt>
                <c:pt idx="300">
                  <c:v>5.6000000000000001E-2</c:v>
                </c:pt>
                <c:pt idx="301">
                  <c:v>0.19400000000000001</c:v>
                </c:pt>
                <c:pt idx="302">
                  <c:v>0.129</c:v>
                </c:pt>
                <c:pt idx="303">
                  <c:v>0.17399999999999999</c:v>
                </c:pt>
                <c:pt idx="304">
                  <c:v>0.08</c:v>
                </c:pt>
                <c:pt idx="305">
                  <c:v>3.7999999999999999E-2</c:v>
                </c:pt>
                <c:pt idx="306">
                  <c:v>0.1</c:v>
                </c:pt>
                <c:pt idx="307">
                  <c:v>0.17599999999999999</c:v>
                </c:pt>
                <c:pt idx="308">
                  <c:v>0.153</c:v>
                </c:pt>
                <c:pt idx="309">
                  <c:v>8.8999999999999996E-2</c:v>
                </c:pt>
                <c:pt idx="310">
                  <c:v>0.185</c:v>
                </c:pt>
                <c:pt idx="311">
                  <c:v>4.4999999999999998E-2</c:v>
                </c:pt>
                <c:pt idx="312">
                  <c:v>8.7999999999999995E-2</c:v>
                </c:pt>
                <c:pt idx="313">
                  <c:v>0</c:v>
                </c:pt>
                <c:pt idx="314">
                  <c:v>3.1E-2</c:v>
                </c:pt>
                <c:pt idx="315">
                  <c:v>0.09</c:v>
                </c:pt>
                <c:pt idx="316">
                  <c:v>0.14099999999999999</c:v>
                </c:pt>
                <c:pt idx="317">
                  <c:v>7.4999999999999997E-2</c:v>
                </c:pt>
                <c:pt idx="318">
                  <c:v>1.4E-2</c:v>
                </c:pt>
                <c:pt idx="319">
                  <c:v>0.151</c:v>
                </c:pt>
                <c:pt idx="320">
                  <c:v>7.5999999999999998E-2</c:v>
                </c:pt>
                <c:pt idx="321">
                  <c:v>0.215</c:v>
                </c:pt>
                <c:pt idx="322">
                  <c:v>0.10299999999999999</c:v>
                </c:pt>
                <c:pt idx="323">
                  <c:v>0.17599999999999999</c:v>
                </c:pt>
                <c:pt idx="324">
                  <c:v>5.0999999999999997E-2</c:v>
                </c:pt>
                <c:pt idx="325">
                  <c:v>0.121</c:v>
                </c:pt>
                <c:pt idx="326">
                  <c:v>4.2000000000000003E-2</c:v>
                </c:pt>
                <c:pt idx="327">
                  <c:v>0.109</c:v>
                </c:pt>
                <c:pt idx="328">
                  <c:v>0.3</c:v>
                </c:pt>
                <c:pt idx="329">
                  <c:v>0.2</c:v>
                </c:pt>
                <c:pt idx="330">
                  <c:v>6.5000000000000002E-2</c:v>
                </c:pt>
                <c:pt idx="331">
                  <c:v>0.23899999999999999</c:v>
                </c:pt>
                <c:pt idx="332">
                  <c:v>0.27</c:v>
                </c:pt>
                <c:pt idx="333">
                  <c:v>2.8000000000000001E-2</c:v>
                </c:pt>
                <c:pt idx="334">
                  <c:v>0.14499999999999999</c:v>
                </c:pt>
                <c:pt idx="335">
                  <c:v>0.158</c:v>
                </c:pt>
                <c:pt idx="336">
                  <c:v>6.6000000000000003E-2</c:v>
                </c:pt>
                <c:pt idx="337">
                  <c:v>0.21</c:v>
                </c:pt>
                <c:pt idx="338">
                  <c:v>0.24</c:v>
                </c:pt>
                <c:pt idx="339">
                  <c:v>0.29899999999999999</c:v>
                </c:pt>
                <c:pt idx="340">
                  <c:v>0.3</c:v>
                </c:pt>
                <c:pt idx="341">
                  <c:v>0.28199999999999997</c:v>
                </c:pt>
                <c:pt idx="342">
                  <c:v>0</c:v>
                </c:pt>
                <c:pt idx="343">
                  <c:v>0.26100000000000001</c:v>
                </c:pt>
                <c:pt idx="344">
                  <c:v>7.0999999999999994E-2</c:v>
                </c:pt>
                <c:pt idx="345">
                  <c:v>0.02</c:v>
                </c:pt>
                <c:pt idx="346">
                  <c:v>0.10299999999999999</c:v>
                </c:pt>
                <c:pt idx="347">
                  <c:v>0</c:v>
                </c:pt>
                <c:pt idx="348">
                  <c:v>0.14399999999999999</c:v>
                </c:pt>
                <c:pt idx="349">
                  <c:v>0.113</c:v>
                </c:pt>
                <c:pt idx="350">
                  <c:v>0.188</c:v>
                </c:pt>
                <c:pt idx="351">
                  <c:v>0.113</c:v>
                </c:pt>
                <c:pt idx="352">
                  <c:v>3.9E-2</c:v>
                </c:pt>
                <c:pt idx="353">
                  <c:v>0.17899999999999999</c:v>
                </c:pt>
                <c:pt idx="354">
                  <c:v>0.128</c:v>
                </c:pt>
                <c:pt idx="355">
                  <c:v>0.16700000000000001</c:v>
                </c:pt>
                <c:pt idx="356">
                  <c:v>0</c:v>
                </c:pt>
                <c:pt idx="357">
                  <c:v>0.17</c:v>
                </c:pt>
                <c:pt idx="358">
                  <c:v>0</c:v>
                </c:pt>
                <c:pt idx="359">
                  <c:v>0.17599999999999999</c:v>
                </c:pt>
                <c:pt idx="360">
                  <c:v>0.11</c:v>
                </c:pt>
                <c:pt idx="361">
                  <c:v>7.8E-2</c:v>
                </c:pt>
                <c:pt idx="362">
                  <c:v>1.4E-2</c:v>
                </c:pt>
                <c:pt idx="363">
                  <c:v>0.27200000000000002</c:v>
                </c:pt>
                <c:pt idx="364">
                  <c:v>0.13200000000000001</c:v>
                </c:pt>
                <c:pt idx="365">
                  <c:v>8.9999999999999993E-3</c:v>
                </c:pt>
                <c:pt idx="366">
                  <c:v>0.192</c:v>
                </c:pt>
                <c:pt idx="367">
                  <c:v>0.105</c:v>
                </c:pt>
                <c:pt idx="368">
                  <c:v>0.106</c:v>
                </c:pt>
                <c:pt idx="369">
                  <c:v>0.115</c:v>
                </c:pt>
                <c:pt idx="370">
                  <c:v>5.8000000000000003E-2</c:v>
                </c:pt>
                <c:pt idx="371">
                  <c:v>0</c:v>
                </c:pt>
                <c:pt idx="372">
                  <c:v>0.107</c:v>
                </c:pt>
                <c:pt idx="373">
                  <c:v>3.4000000000000002E-2</c:v>
                </c:pt>
                <c:pt idx="374">
                  <c:v>0.25600000000000001</c:v>
                </c:pt>
                <c:pt idx="375">
                  <c:v>6.3E-2</c:v>
                </c:pt>
                <c:pt idx="376">
                  <c:v>9.9000000000000005E-2</c:v>
                </c:pt>
                <c:pt idx="377">
                  <c:v>0.13900000000000001</c:v>
                </c:pt>
                <c:pt idx="378">
                  <c:v>9.1999999999999998E-2</c:v>
                </c:pt>
                <c:pt idx="379">
                  <c:v>3.2000000000000001E-2</c:v>
                </c:pt>
                <c:pt idx="380">
                  <c:v>0.16300000000000001</c:v>
                </c:pt>
                <c:pt idx="381">
                  <c:v>0.17599999999999999</c:v>
                </c:pt>
                <c:pt idx="382">
                  <c:v>7.8E-2</c:v>
                </c:pt>
                <c:pt idx="383">
                  <c:v>0.09</c:v>
                </c:pt>
                <c:pt idx="384">
                  <c:v>5.8000000000000003E-2</c:v>
                </c:pt>
                <c:pt idx="385">
                  <c:v>0.19</c:v>
                </c:pt>
                <c:pt idx="386">
                  <c:v>0.104</c:v>
                </c:pt>
                <c:pt idx="387">
                  <c:v>0.127</c:v>
                </c:pt>
                <c:pt idx="388">
                  <c:v>0.14699999999999999</c:v>
                </c:pt>
                <c:pt idx="389">
                  <c:v>7.1999999999999995E-2</c:v>
                </c:pt>
                <c:pt idx="390">
                  <c:v>8.9999999999999993E-3</c:v>
                </c:pt>
                <c:pt idx="391">
                  <c:v>0.105</c:v>
                </c:pt>
                <c:pt idx="392">
                  <c:v>0.3</c:v>
                </c:pt>
                <c:pt idx="393">
                  <c:v>0.254</c:v>
                </c:pt>
                <c:pt idx="394">
                  <c:v>0.14799999999999999</c:v>
                </c:pt>
                <c:pt idx="395">
                  <c:v>9.8000000000000004E-2</c:v>
                </c:pt>
                <c:pt idx="396">
                  <c:v>0.10299999999999999</c:v>
                </c:pt>
                <c:pt idx="397">
                  <c:v>0.24099999999999999</c:v>
                </c:pt>
                <c:pt idx="398">
                  <c:v>8.3000000000000004E-2</c:v>
                </c:pt>
                <c:pt idx="399">
                  <c:v>0.122</c:v>
                </c:pt>
                <c:pt idx="400">
                  <c:v>2.5000000000000001E-2</c:v>
                </c:pt>
                <c:pt idx="401">
                  <c:v>0.18</c:v>
                </c:pt>
                <c:pt idx="402">
                  <c:v>0.106</c:v>
                </c:pt>
                <c:pt idx="403">
                  <c:v>0.126</c:v>
                </c:pt>
                <c:pt idx="404">
                  <c:v>0.111</c:v>
                </c:pt>
                <c:pt idx="405">
                  <c:v>6.4000000000000001E-2</c:v>
                </c:pt>
                <c:pt idx="406">
                  <c:v>7.6999999999999999E-2</c:v>
                </c:pt>
                <c:pt idx="407">
                  <c:v>0.13800000000000001</c:v>
                </c:pt>
                <c:pt idx="408">
                  <c:v>0.19600000000000001</c:v>
                </c:pt>
                <c:pt idx="409">
                  <c:v>0</c:v>
                </c:pt>
                <c:pt idx="410">
                  <c:v>0.24099999999999999</c:v>
                </c:pt>
                <c:pt idx="411">
                  <c:v>0.23899999999999999</c:v>
                </c:pt>
                <c:pt idx="412">
                  <c:v>0.112</c:v>
                </c:pt>
                <c:pt idx="413">
                  <c:v>8.3000000000000004E-2</c:v>
                </c:pt>
                <c:pt idx="414">
                  <c:v>7.1999999999999995E-2</c:v>
                </c:pt>
                <c:pt idx="415">
                  <c:v>3.2000000000000001E-2</c:v>
                </c:pt>
                <c:pt idx="416">
                  <c:v>0.245</c:v>
                </c:pt>
                <c:pt idx="417">
                  <c:v>0.09</c:v>
                </c:pt>
                <c:pt idx="418">
                  <c:v>0.217</c:v>
                </c:pt>
                <c:pt idx="419">
                  <c:v>0.22600000000000001</c:v>
                </c:pt>
                <c:pt idx="420">
                  <c:v>0.151</c:v>
                </c:pt>
                <c:pt idx="421">
                  <c:v>1.9E-2</c:v>
                </c:pt>
                <c:pt idx="422">
                  <c:v>0.157</c:v>
                </c:pt>
                <c:pt idx="423">
                  <c:v>0.16800000000000001</c:v>
                </c:pt>
                <c:pt idx="424">
                  <c:v>0.24299999999999999</c:v>
                </c:pt>
                <c:pt idx="425">
                  <c:v>0.17299999999999999</c:v>
                </c:pt>
                <c:pt idx="426">
                  <c:v>0.25</c:v>
                </c:pt>
                <c:pt idx="427">
                  <c:v>0.3</c:v>
                </c:pt>
                <c:pt idx="428">
                  <c:v>0</c:v>
                </c:pt>
                <c:pt idx="429">
                  <c:v>0.17499999999999999</c:v>
                </c:pt>
                <c:pt idx="430">
                  <c:v>0.115</c:v>
                </c:pt>
                <c:pt idx="431">
                  <c:v>0</c:v>
                </c:pt>
                <c:pt idx="432">
                  <c:v>5.6000000000000001E-2</c:v>
                </c:pt>
                <c:pt idx="433">
                  <c:v>5.8999999999999997E-2</c:v>
                </c:pt>
                <c:pt idx="434">
                  <c:v>0.214</c:v>
                </c:pt>
                <c:pt idx="435">
                  <c:v>0</c:v>
                </c:pt>
                <c:pt idx="436">
                  <c:v>0.113</c:v>
                </c:pt>
                <c:pt idx="437">
                  <c:v>0.14699999999999999</c:v>
                </c:pt>
                <c:pt idx="438">
                  <c:v>0.17399999999999999</c:v>
                </c:pt>
                <c:pt idx="439">
                  <c:v>4.1000000000000002E-2</c:v>
                </c:pt>
                <c:pt idx="440">
                  <c:v>0.15</c:v>
                </c:pt>
                <c:pt idx="441">
                  <c:v>0.14799999999999999</c:v>
                </c:pt>
                <c:pt idx="442">
                  <c:v>0.157</c:v>
                </c:pt>
                <c:pt idx="443">
                  <c:v>4.2999999999999997E-2</c:v>
                </c:pt>
                <c:pt idx="444">
                  <c:v>0</c:v>
                </c:pt>
                <c:pt idx="445">
                  <c:v>2.8000000000000001E-2</c:v>
                </c:pt>
                <c:pt idx="446">
                  <c:v>7.3999999999999996E-2</c:v>
                </c:pt>
                <c:pt idx="447">
                  <c:v>0.29299999999999998</c:v>
                </c:pt>
                <c:pt idx="448">
                  <c:v>0.104</c:v>
                </c:pt>
                <c:pt idx="449">
                  <c:v>0.216</c:v>
                </c:pt>
                <c:pt idx="450">
                  <c:v>0.16500000000000001</c:v>
                </c:pt>
                <c:pt idx="451">
                  <c:v>6.6000000000000003E-2</c:v>
                </c:pt>
                <c:pt idx="452">
                  <c:v>7.0999999999999994E-2</c:v>
                </c:pt>
                <c:pt idx="453">
                  <c:v>0.115</c:v>
                </c:pt>
                <c:pt idx="454">
                  <c:v>1.7000000000000001E-2</c:v>
                </c:pt>
                <c:pt idx="455">
                  <c:v>0.111</c:v>
                </c:pt>
                <c:pt idx="456">
                  <c:v>0</c:v>
                </c:pt>
                <c:pt idx="457">
                  <c:v>0.13600000000000001</c:v>
                </c:pt>
                <c:pt idx="458">
                  <c:v>0.125</c:v>
                </c:pt>
                <c:pt idx="459">
                  <c:v>0</c:v>
                </c:pt>
                <c:pt idx="460">
                  <c:v>0.107</c:v>
                </c:pt>
                <c:pt idx="461">
                  <c:v>0.129</c:v>
                </c:pt>
                <c:pt idx="462">
                  <c:v>0.152</c:v>
                </c:pt>
                <c:pt idx="463">
                  <c:v>0.124</c:v>
                </c:pt>
                <c:pt idx="464">
                  <c:v>0.25700000000000001</c:v>
                </c:pt>
                <c:pt idx="465">
                  <c:v>0.21099999999999999</c:v>
                </c:pt>
                <c:pt idx="466">
                  <c:v>0.22900000000000001</c:v>
                </c:pt>
                <c:pt idx="467">
                  <c:v>7.0999999999999994E-2</c:v>
                </c:pt>
                <c:pt idx="468">
                  <c:v>0.23</c:v>
                </c:pt>
                <c:pt idx="469">
                  <c:v>4.5999999999999999E-2</c:v>
                </c:pt>
                <c:pt idx="470">
                  <c:v>4.9000000000000002E-2</c:v>
                </c:pt>
                <c:pt idx="471">
                  <c:v>0.13800000000000001</c:v>
                </c:pt>
                <c:pt idx="472">
                  <c:v>7.3999999999999996E-2</c:v>
                </c:pt>
                <c:pt idx="473">
                  <c:v>0.126</c:v>
                </c:pt>
                <c:pt idx="474">
                  <c:v>0.20499999999999999</c:v>
                </c:pt>
                <c:pt idx="475">
                  <c:v>4.2000000000000003E-2</c:v>
                </c:pt>
                <c:pt idx="476">
                  <c:v>8.8999999999999996E-2</c:v>
                </c:pt>
                <c:pt idx="477">
                  <c:v>0.16500000000000001</c:v>
                </c:pt>
                <c:pt idx="478">
                  <c:v>0.216</c:v>
                </c:pt>
                <c:pt idx="479">
                  <c:v>0.02</c:v>
                </c:pt>
                <c:pt idx="480">
                  <c:v>7.5999999999999998E-2</c:v>
                </c:pt>
                <c:pt idx="481">
                  <c:v>9.0999999999999998E-2</c:v>
                </c:pt>
                <c:pt idx="482">
                  <c:v>0.13200000000000001</c:v>
                </c:pt>
                <c:pt idx="483">
                  <c:v>5.2999999999999999E-2</c:v>
                </c:pt>
                <c:pt idx="484">
                  <c:v>0.123</c:v>
                </c:pt>
                <c:pt idx="485">
                  <c:v>9.1999999999999998E-2</c:v>
                </c:pt>
                <c:pt idx="486">
                  <c:v>0.222</c:v>
                </c:pt>
                <c:pt idx="487">
                  <c:v>7.3999999999999996E-2</c:v>
                </c:pt>
                <c:pt idx="488">
                  <c:v>0.19700000000000001</c:v>
                </c:pt>
                <c:pt idx="489">
                  <c:v>0.13500000000000001</c:v>
                </c:pt>
                <c:pt idx="490">
                  <c:v>0</c:v>
                </c:pt>
                <c:pt idx="491">
                  <c:v>0</c:v>
                </c:pt>
                <c:pt idx="492">
                  <c:v>8.3000000000000004E-2</c:v>
                </c:pt>
                <c:pt idx="493">
                  <c:v>0.13200000000000001</c:v>
                </c:pt>
                <c:pt idx="494">
                  <c:v>4.2000000000000003E-2</c:v>
                </c:pt>
                <c:pt idx="495">
                  <c:v>0.113</c:v>
                </c:pt>
                <c:pt idx="496">
                  <c:v>0.14199999999999999</c:v>
                </c:pt>
                <c:pt idx="497">
                  <c:v>4.2000000000000003E-2</c:v>
                </c:pt>
                <c:pt idx="498">
                  <c:v>5.7000000000000002E-2</c:v>
                </c:pt>
                <c:pt idx="499">
                  <c:v>0.218</c:v>
                </c:pt>
                <c:pt idx="500">
                  <c:v>4.1000000000000002E-2</c:v>
                </c:pt>
                <c:pt idx="501">
                  <c:v>0.16700000000000001</c:v>
                </c:pt>
                <c:pt idx="502">
                  <c:v>6.9000000000000006E-2</c:v>
                </c:pt>
                <c:pt idx="503">
                  <c:v>0.10100000000000001</c:v>
                </c:pt>
                <c:pt idx="504">
                  <c:v>7.0000000000000007E-2</c:v>
                </c:pt>
                <c:pt idx="505">
                  <c:v>0.123</c:v>
                </c:pt>
                <c:pt idx="506">
                  <c:v>0.23499999999999999</c:v>
                </c:pt>
                <c:pt idx="507">
                  <c:v>0.02</c:v>
                </c:pt>
                <c:pt idx="508">
                  <c:v>9.8000000000000004E-2</c:v>
                </c:pt>
                <c:pt idx="509">
                  <c:v>0.108</c:v>
                </c:pt>
                <c:pt idx="510">
                  <c:v>0.20899999999999999</c:v>
                </c:pt>
                <c:pt idx="511">
                  <c:v>0.11899999999999999</c:v>
                </c:pt>
                <c:pt idx="512">
                  <c:v>0.14599999999999999</c:v>
                </c:pt>
                <c:pt idx="513">
                  <c:v>3.2000000000000001E-2</c:v>
                </c:pt>
                <c:pt idx="514">
                  <c:v>0</c:v>
                </c:pt>
                <c:pt idx="515">
                  <c:v>0</c:v>
                </c:pt>
                <c:pt idx="516">
                  <c:v>0.157</c:v>
                </c:pt>
                <c:pt idx="517">
                  <c:v>0.107</c:v>
                </c:pt>
                <c:pt idx="518">
                  <c:v>0.13800000000000001</c:v>
                </c:pt>
                <c:pt idx="519">
                  <c:v>4.9000000000000002E-2</c:v>
                </c:pt>
                <c:pt idx="520">
                  <c:v>0.18</c:v>
                </c:pt>
                <c:pt idx="521">
                  <c:v>0.1</c:v>
                </c:pt>
                <c:pt idx="522">
                  <c:v>0</c:v>
                </c:pt>
                <c:pt idx="523">
                  <c:v>9.4E-2</c:v>
                </c:pt>
                <c:pt idx="524">
                  <c:v>0.17</c:v>
                </c:pt>
                <c:pt idx="525">
                  <c:v>0.22500000000000001</c:v>
                </c:pt>
                <c:pt idx="526">
                  <c:v>0.13500000000000001</c:v>
                </c:pt>
                <c:pt idx="527">
                  <c:v>0</c:v>
                </c:pt>
                <c:pt idx="528">
                  <c:v>5.8999999999999997E-2</c:v>
                </c:pt>
                <c:pt idx="529">
                  <c:v>0</c:v>
                </c:pt>
                <c:pt idx="530">
                  <c:v>3.7999999999999999E-2</c:v>
                </c:pt>
                <c:pt idx="531">
                  <c:v>0.122</c:v>
                </c:pt>
                <c:pt idx="532">
                  <c:v>0.114</c:v>
                </c:pt>
                <c:pt idx="533">
                  <c:v>6.6000000000000003E-2</c:v>
                </c:pt>
                <c:pt idx="534">
                  <c:v>0.248</c:v>
                </c:pt>
                <c:pt idx="535">
                  <c:v>0.19</c:v>
                </c:pt>
                <c:pt idx="536">
                  <c:v>0.14899999999999999</c:v>
                </c:pt>
                <c:pt idx="537">
                  <c:v>8.6999999999999994E-2</c:v>
                </c:pt>
                <c:pt idx="538">
                  <c:v>4.3999999999999997E-2</c:v>
                </c:pt>
                <c:pt idx="539">
                  <c:v>0.107</c:v>
                </c:pt>
                <c:pt idx="540">
                  <c:v>8.8999999999999996E-2</c:v>
                </c:pt>
                <c:pt idx="541">
                  <c:v>0</c:v>
                </c:pt>
                <c:pt idx="542">
                  <c:v>0.13300000000000001</c:v>
                </c:pt>
                <c:pt idx="543">
                  <c:v>5.8999999999999997E-2</c:v>
                </c:pt>
                <c:pt idx="544">
                  <c:v>0.115</c:v>
                </c:pt>
                <c:pt idx="545">
                  <c:v>0.21199999999999999</c:v>
                </c:pt>
                <c:pt idx="546">
                  <c:v>0.23699999999999999</c:v>
                </c:pt>
                <c:pt idx="547">
                  <c:v>0.20799999999999999</c:v>
                </c:pt>
                <c:pt idx="548">
                  <c:v>0.123</c:v>
                </c:pt>
                <c:pt idx="549">
                  <c:v>0.17499999999999999</c:v>
                </c:pt>
                <c:pt idx="550">
                  <c:v>0.17</c:v>
                </c:pt>
                <c:pt idx="551">
                  <c:v>0.21199999999999999</c:v>
                </c:pt>
                <c:pt idx="552">
                  <c:v>0.157</c:v>
                </c:pt>
                <c:pt idx="553">
                  <c:v>4.2000000000000003E-2</c:v>
                </c:pt>
                <c:pt idx="554">
                  <c:v>8.6999999999999994E-2</c:v>
                </c:pt>
                <c:pt idx="555">
                  <c:v>0.125</c:v>
                </c:pt>
                <c:pt idx="556">
                  <c:v>0</c:v>
                </c:pt>
                <c:pt idx="557">
                  <c:v>5.3999999999999999E-2</c:v>
                </c:pt>
                <c:pt idx="558">
                  <c:v>0.21099999999999999</c:v>
                </c:pt>
                <c:pt idx="559">
                  <c:v>0.122</c:v>
                </c:pt>
                <c:pt idx="560">
                  <c:v>0.12</c:v>
                </c:pt>
                <c:pt idx="561">
                  <c:v>0.14499999999999999</c:v>
                </c:pt>
                <c:pt idx="562">
                  <c:v>5.5E-2</c:v>
                </c:pt>
                <c:pt idx="563">
                  <c:v>0.13700000000000001</c:v>
                </c:pt>
                <c:pt idx="564">
                  <c:v>6.8000000000000005E-2</c:v>
                </c:pt>
                <c:pt idx="565">
                  <c:v>0.14299999999999999</c:v>
                </c:pt>
                <c:pt idx="566">
                  <c:v>0.126</c:v>
                </c:pt>
                <c:pt idx="567">
                  <c:v>9.1999999999999998E-2</c:v>
                </c:pt>
                <c:pt idx="568">
                  <c:v>0.19700000000000001</c:v>
                </c:pt>
                <c:pt idx="569">
                  <c:v>0</c:v>
                </c:pt>
                <c:pt idx="570">
                  <c:v>2.9000000000000001E-2</c:v>
                </c:pt>
                <c:pt idx="571">
                  <c:v>8.2000000000000003E-2</c:v>
                </c:pt>
                <c:pt idx="572">
                  <c:v>6.4000000000000001E-2</c:v>
                </c:pt>
                <c:pt idx="573">
                  <c:v>0.20699999999999999</c:v>
                </c:pt>
                <c:pt idx="574">
                  <c:v>5.6000000000000001E-2</c:v>
                </c:pt>
                <c:pt idx="575">
                  <c:v>0.121</c:v>
                </c:pt>
                <c:pt idx="576">
                  <c:v>7.1999999999999995E-2</c:v>
                </c:pt>
                <c:pt idx="577">
                  <c:v>7.1999999999999995E-2</c:v>
                </c:pt>
                <c:pt idx="578">
                  <c:v>0.13500000000000001</c:v>
                </c:pt>
                <c:pt idx="579">
                  <c:v>6.7000000000000004E-2</c:v>
                </c:pt>
                <c:pt idx="580">
                  <c:v>0.13200000000000001</c:v>
                </c:pt>
                <c:pt idx="581">
                  <c:v>0.01</c:v>
                </c:pt>
                <c:pt idx="582">
                  <c:v>0.22600000000000001</c:v>
                </c:pt>
                <c:pt idx="583">
                  <c:v>0.16300000000000001</c:v>
                </c:pt>
                <c:pt idx="584">
                  <c:v>0.14099999999999999</c:v>
                </c:pt>
                <c:pt idx="585">
                  <c:v>4.1000000000000002E-2</c:v>
                </c:pt>
                <c:pt idx="586">
                  <c:v>0</c:v>
                </c:pt>
                <c:pt idx="587">
                  <c:v>9.2999999999999999E-2</c:v>
                </c:pt>
                <c:pt idx="588">
                  <c:v>0.10299999999999999</c:v>
                </c:pt>
                <c:pt idx="589">
                  <c:v>8.7999999999999995E-2</c:v>
                </c:pt>
                <c:pt idx="590">
                  <c:v>0</c:v>
                </c:pt>
                <c:pt idx="591">
                  <c:v>0.17399999999999999</c:v>
                </c:pt>
                <c:pt idx="592">
                  <c:v>0.14599999999999999</c:v>
                </c:pt>
                <c:pt idx="593">
                  <c:v>0.192</c:v>
                </c:pt>
                <c:pt idx="594">
                  <c:v>0.08</c:v>
                </c:pt>
                <c:pt idx="595">
                  <c:v>7.2999999999999995E-2</c:v>
                </c:pt>
                <c:pt idx="596">
                  <c:v>4.2999999999999997E-2</c:v>
                </c:pt>
                <c:pt idx="597">
                  <c:v>0.14000000000000001</c:v>
                </c:pt>
                <c:pt idx="598">
                  <c:v>0.187</c:v>
                </c:pt>
                <c:pt idx="599">
                  <c:v>0.13300000000000001</c:v>
                </c:pt>
                <c:pt idx="600">
                  <c:v>8.9999999999999993E-3</c:v>
                </c:pt>
                <c:pt idx="601">
                  <c:v>0.16</c:v>
                </c:pt>
                <c:pt idx="602">
                  <c:v>7.0999999999999994E-2</c:v>
                </c:pt>
                <c:pt idx="603">
                  <c:v>0.15</c:v>
                </c:pt>
                <c:pt idx="604">
                  <c:v>0.19</c:v>
                </c:pt>
                <c:pt idx="605">
                  <c:v>0.186</c:v>
                </c:pt>
                <c:pt idx="606">
                  <c:v>0.10299999999999999</c:v>
                </c:pt>
                <c:pt idx="607">
                  <c:v>9.7000000000000003E-2</c:v>
                </c:pt>
                <c:pt idx="608">
                  <c:v>0.16300000000000001</c:v>
                </c:pt>
                <c:pt idx="609">
                  <c:v>0.12</c:v>
                </c:pt>
                <c:pt idx="610">
                  <c:v>0.104</c:v>
                </c:pt>
                <c:pt idx="611">
                  <c:v>0.19400000000000001</c:v>
                </c:pt>
                <c:pt idx="612">
                  <c:v>0</c:v>
                </c:pt>
                <c:pt idx="613">
                  <c:v>2.1999999999999999E-2</c:v>
                </c:pt>
                <c:pt idx="614">
                  <c:v>0.17100000000000001</c:v>
                </c:pt>
                <c:pt idx="615">
                  <c:v>8.1000000000000003E-2</c:v>
                </c:pt>
                <c:pt idx="616">
                  <c:v>4.0000000000000001E-3</c:v>
                </c:pt>
                <c:pt idx="617">
                  <c:v>0.10199999999999999</c:v>
                </c:pt>
                <c:pt idx="618">
                  <c:v>0.109</c:v>
                </c:pt>
                <c:pt idx="619">
                  <c:v>4.7E-2</c:v>
                </c:pt>
                <c:pt idx="620">
                  <c:v>0.16500000000000001</c:v>
                </c:pt>
                <c:pt idx="621">
                  <c:v>0.186</c:v>
                </c:pt>
                <c:pt idx="622">
                  <c:v>0.192</c:v>
                </c:pt>
                <c:pt idx="623">
                  <c:v>0.113</c:v>
                </c:pt>
                <c:pt idx="624">
                  <c:v>0.161</c:v>
                </c:pt>
                <c:pt idx="625">
                  <c:v>0.114</c:v>
                </c:pt>
                <c:pt idx="626">
                  <c:v>0.159</c:v>
                </c:pt>
                <c:pt idx="627">
                  <c:v>0.151</c:v>
                </c:pt>
                <c:pt idx="628">
                  <c:v>0</c:v>
                </c:pt>
                <c:pt idx="629">
                  <c:v>6.2E-2</c:v>
                </c:pt>
                <c:pt idx="630">
                  <c:v>0.13900000000000001</c:v>
                </c:pt>
                <c:pt idx="631">
                  <c:v>0.17299999999999999</c:v>
                </c:pt>
              </c:numCache>
            </c:numRef>
          </c:yVal>
          <c:smooth val="0"/>
          <c:extLst>
            <c:ext xmlns:c16="http://schemas.microsoft.com/office/drawing/2014/chart" uri="{C3380CC4-5D6E-409C-BE32-E72D297353CC}">
              <c16:uniqueId val="{00000000-4184-4B0D-AAF2-999F05E94B29}"/>
            </c:ext>
          </c:extLst>
        </c:ser>
        <c:dLbls>
          <c:showLegendKey val="0"/>
          <c:showVal val="0"/>
          <c:showCatName val="0"/>
          <c:showSerName val="0"/>
          <c:showPercent val="0"/>
          <c:showBubbleSize val="0"/>
        </c:dLbls>
        <c:axId val="1256607600"/>
        <c:axId val="1256599440"/>
      </c:scatterChart>
      <c:valAx>
        <c:axId val="125660760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599440"/>
        <c:crosses val="autoZero"/>
        <c:crossBetween val="midCat"/>
      </c:valAx>
      <c:valAx>
        <c:axId val="12565994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6076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8</xdr:col>
      <xdr:colOff>53340</xdr:colOff>
      <xdr:row>8</xdr:row>
      <xdr:rowOff>34290</xdr:rowOff>
    </xdr:from>
    <xdr:to>
      <xdr:col>15</xdr:col>
      <xdr:colOff>358140</xdr:colOff>
      <xdr:row>23</xdr:row>
      <xdr:rowOff>34290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548640</xdr:colOff>
      <xdr:row>14</xdr:row>
      <xdr:rowOff>41910</xdr:rowOff>
    </xdr:from>
    <xdr:to>
      <xdr:col>5</xdr:col>
      <xdr:colOff>457200</xdr:colOff>
      <xdr:row>29</xdr:row>
      <xdr:rowOff>41910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342900</xdr:colOff>
      <xdr:row>2</xdr:row>
      <xdr:rowOff>163830</xdr:rowOff>
    </xdr:from>
    <xdr:to>
      <xdr:col>14</xdr:col>
      <xdr:colOff>38100</xdr:colOff>
      <xdr:row>17</xdr:row>
      <xdr:rowOff>163830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388620</xdr:colOff>
      <xdr:row>8</xdr:row>
      <xdr:rowOff>34290</xdr:rowOff>
    </xdr:from>
    <xdr:to>
      <xdr:col>13</xdr:col>
      <xdr:colOff>83820</xdr:colOff>
      <xdr:row>23</xdr:row>
      <xdr:rowOff>34290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53340</xdr:colOff>
      <xdr:row>8</xdr:row>
      <xdr:rowOff>34290</xdr:rowOff>
    </xdr:from>
    <xdr:to>
      <xdr:col>15</xdr:col>
      <xdr:colOff>358140</xdr:colOff>
      <xdr:row>23</xdr:row>
      <xdr:rowOff>34290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297180</xdr:colOff>
      <xdr:row>4</xdr:row>
      <xdr:rowOff>91440</xdr:rowOff>
    </xdr:from>
    <xdr:to>
      <xdr:col>10</xdr:col>
      <xdr:colOff>297181</xdr:colOff>
      <xdr:row>18</xdr:row>
      <xdr:rowOff>1681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681312" y="813335"/>
              <a:ext cx="1834816" cy="24368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167640</xdr:colOff>
      <xdr:row>7</xdr:row>
      <xdr:rowOff>22860</xdr:rowOff>
    </xdr:from>
    <xdr:to>
      <xdr:col>11</xdr:col>
      <xdr:colOff>167640</xdr:colOff>
      <xdr:row>20</xdr:row>
      <xdr:rowOff>112395</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00000000-0008-0000-0B00-000005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163377" y="1286176"/>
              <a:ext cx="1834816" cy="24356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38100</xdr:colOff>
      <xdr:row>9</xdr:row>
      <xdr:rowOff>137160</xdr:rowOff>
    </xdr:from>
    <xdr:to>
      <xdr:col>12</xdr:col>
      <xdr:colOff>38100</xdr:colOff>
      <xdr:row>23</xdr:row>
      <xdr:rowOff>43815</xdr:rowOff>
    </xdr:to>
    <mc:AlternateContent xmlns:mc="http://schemas.openxmlformats.org/markup-compatibility/2006" xmlns:a14="http://schemas.microsoft.com/office/drawing/2010/main">
      <mc:Choice Requires="a14">
        <xdr:graphicFrame macro="">
          <xdr:nvGraphicFramePr>
            <xdr:cNvPr id="6" name="Channel">
              <a:extLst>
                <a:ext uri="{FF2B5EF4-FFF2-40B4-BE49-F238E27FC236}">
                  <a16:creationId xmlns:a16="http://schemas.microsoft.com/office/drawing/2014/main" id="{00000000-0008-0000-0B00-000006000000}"/>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6645442" y="1761423"/>
              <a:ext cx="1834816" cy="2433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518160</xdr:colOff>
      <xdr:row>12</xdr:row>
      <xdr:rowOff>68580</xdr:rowOff>
    </xdr:from>
    <xdr:to>
      <xdr:col>12</xdr:col>
      <xdr:colOff>518160</xdr:colOff>
      <xdr:row>25</xdr:row>
      <xdr:rowOff>158115</xdr:rowOff>
    </xdr:to>
    <mc:AlternateContent xmlns:mc="http://schemas.openxmlformats.org/markup-compatibility/2006" xmlns:a14="http://schemas.microsoft.com/office/drawing/2010/main">
      <mc:Choice Requires="a14">
        <xdr:graphicFrame macro="">
          <xdr:nvGraphicFramePr>
            <xdr:cNvPr id="7" name="Salesperson">
              <a:extLst>
                <a:ext uri="{FF2B5EF4-FFF2-40B4-BE49-F238E27FC236}">
                  <a16:creationId xmlns:a16="http://schemas.microsoft.com/office/drawing/2014/main" id="{00000000-0008-0000-0B00-00000700000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7125502" y="2234264"/>
              <a:ext cx="1834816" cy="24356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388620</xdr:colOff>
      <xdr:row>15</xdr:row>
      <xdr:rowOff>0</xdr:rowOff>
    </xdr:from>
    <xdr:to>
      <xdr:col>13</xdr:col>
      <xdr:colOff>388619</xdr:colOff>
      <xdr:row>28</xdr:row>
      <xdr:rowOff>89535</xdr:rowOff>
    </xdr:to>
    <mc:AlternateContent xmlns:mc="http://schemas.openxmlformats.org/markup-compatibility/2006" xmlns:a14="http://schemas.microsoft.com/office/drawing/2010/main">
      <mc:Choice Requires="a14">
        <xdr:graphicFrame macro="">
          <xdr:nvGraphicFramePr>
            <xdr:cNvPr id="8" name="ProductCategory">
              <a:extLst>
                <a:ext uri="{FF2B5EF4-FFF2-40B4-BE49-F238E27FC236}">
                  <a16:creationId xmlns:a16="http://schemas.microsoft.com/office/drawing/2014/main" id="{00000000-0008-0000-0B00-000008000000}"/>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7607567" y="2707105"/>
              <a:ext cx="1834815" cy="24356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8</xdr:col>
      <xdr:colOff>476156</xdr:colOff>
      <xdr:row>3</xdr:row>
      <xdr:rowOff>0</xdr:rowOff>
    </xdr:from>
    <xdr:to>
      <xdr:col>17</xdr:col>
      <xdr:colOff>506637</xdr:colOff>
      <xdr:row>6</xdr:row>
      <xdr:rowOff>23046</xdr:rowOff>
    </xdr:to>
    <xdr:sp macro="" textlink="">
      <xdr:nvSpPr>
        <xdr:cNvPr id="3" name="Rounded Rectangle 2">
          <a:extLst>
            <a:ext uri="{FF2B5EF4-FFF2-40B4-BE49-F238E27FC236}">
              <a16:creationId xmlns:a16="http://schemas.microsoft.com/office/drawing/2014/main" id="{00000000-0008-0000-0C00-000003000000}"/>
            </a:ext>
          </a:extLst>
        </xdr:cNvPr>
        <xdr:cNvSpPr/>
      </xdr:nvSpPr>
      <xdr:spPr>
        <a:xfrm>
          <a:off x="5310915" y="551793"/>
          <a:ext cx="5469584" cy="574839"/>
        </a:xfrm>
        <a:prstGeom prst="roundRect">
          <a:avLst/>
        </a:prstGeom>
        <a:solidFill>
          <a:schemeClr val="accent6">
            <a:lumMod val="20000"/>
            <a:lumOff val="80000"/>
          </a:schemeClr>
        </a:solidFill>
        <a:ln>
          <a:solidFill>
            <a:schemeClr val="accent6">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ysClr val="windowText" lastClr="000000"/>
              </a:solidFill>
              <a:latin typeface="Garamond" panose="02020404030301010803" pitchFamily="18" charset="0"/>
            </a:rPr>
            <a:t>Executive Sales Performance Dashboard</a:t>
          </a:r>
        </a:p>
      </xdr:txBody>
    </xdr:sp>
    <xdr:clientData/>
  </xdr:twoCellAnchor>
  <xdr:twoCellAnchor>
    <xdr:from>
      <xdr:col>5</xdr:col>
      <xdr:colOff>223025</xdr:colOff>
      <xdr:row>6</xdr:row>
      <xdr:rowOff>148682</xdr:rowOff>
    </xdr:from>
    <xdr:to>
      <xdr:col>8</xdr:col>
      <xdr:colOff>195147</xdr:colOff>
      <xdr:row>11</xdr:row>
      <xdr:rowOff>46463</xdr:rowOff>
    </xdr:to>
    <xdr:sp macro="" textlink="">
      <xdr:nvSpPr>
        <xdr:cNvPr id="4" name="Rounded Rectangle 3">
          <a:extLst>
            <a:ext uri="{FF2B5EF4-FFF2-40B4-BE49-F238E27FC236}">
              <a16:creationId xmlns:a16="http://schemas.microsoft.com/office/drawing/2014/main" id="{00000000-0008-0000-0C00-000004000000}"/>
            </a:ext>
          </a:extLst>
        </xdr:cNvPr>
        <xdr:cNvSpPr/>
      </xdr:nvSpPr>
      <xdr:spPr>
        <a:xfrm>
          <a:off x="3289610" y="1263804"/>
          <a:ext cx="1812074" cy="827049"/>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800" b="1" u="sng">
              <a:solidFill>
                <a:sysClr val="windowText" lastClr="000000"/>
              </a:solidFill>
              <a:latin typeface="Garamond" panose="02020404030301010803" pitchFamily="18" charset="0"/>
            </a:rPr>
            <a:t>Total Revenue </a:t>
          </a:r>
          <a:r>
            <a:rPr lang="en-US" sz="1800" b="1">
              <a:solidFill>
                <a:sysClr val="windowText" lastClr="000000"/>
              </a:solidFill>
              <a:latin typeface="Garamond" panose="02020404030301010803" pitchFamily="18" charset="0"/>
            </a:rPr>
            <a:t>= </a:t>
          </a:r>
          <a:r>
            <a:rPr lang="en-US" sz="1800" b="1" i="0" u="none" strike="noStrike">
              <a:solidFill>
                <a:sysClr val="windowText" lastClr="000000"/>
              </a:solidFill>
              <a:effectLst/>
              <a:latin typeface="Garamond" panose="02020404030301010803" pitchFamily="18" charset="0"/>
              <a:ea typeface="+mn-ea"/>
              <a:cs typeface="+mn-cs"/>
            </a:rPr>
            <a:t>11053963.03</a:t>
          </a:r>
          <a:r>
            <a:rPr lang="en-US" sz="1800" b="1">
              <a:solidFill>
                <a:sysClr val="windowText" lastClr="000000"/>
              </a:solidFill>
              <a:latin typeface="Garamond" panose="02020404030301010803" pitchFamily="18" charset="0"/>
            </a:rPr>
            <a:t> </a:t>
          </a:r>
        </a:p>
      </xdr:txBody>
    </xdr:sp>
    <xdr:clientData/>
  </xdr:twoCellAnchor>
  <xdr:twoCellAnchor>
    <xdr:from>
      <xdr:col>9</xdr:col>
      <xdr:colOff>9293</xdr:colOff>
      <xdr:row>7</xdr:row>
      <xdr:rowOff>0</xdr:rowOff>
    </xdr:from>
    <xdr:to>
      <xdr:col>11</xdr:col>
      <xdr:colOff>594733</xdr:colOff>
      <xdr:row>11</xdr:row>
      <xdr:rowOff>83635</xdr:rowOff>
    </xdr:to>
    <xdr:sp macro="" textlink="">
      <xdr:nvSpPr>
        <xdr:cNvPr id="9" name="Rounded Rectangle 8">
          <a:extLst>
            <a:ext uri="{FF2B5EF4-FFF2-40B4-BE49-F238E27FC236}">
              <a16:creationId xmlns:a16="http://schemas.microsoft.com/office/drawing/2014/main" id="{00000000-0008-0000-0C00-000009000000}"/>
            </a:ext>
          </a:extLst>
        </xdr:cNvPr>
        <xdr:cNvSpPr/>
      </xdr:nvSpPr>
      <xdr:spPr>
        <a:xfrm>
          <a:off x="5529147" y="1300976"/>
          <a:ext cx="1812074" cy="827049"/>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800" b="1" u="sng">
              <a:solidFill>
                <a:sysClr val="windowText" lastClr="000000"/>
              </a:solidFill>
              <a:latin typeface="Garamond" panose="02020404030301010803" pitchFamily="18" charset="0"/>
            </a:rPr>
            <a:t>Gross Profit  </a:t>
          </a:r>
          <a:r>
            <a:rPr lang="en-US" sz="1800" b="1" i="0" u="none" strike="noStrike">
              <a:solidFill>
                <a:sysClr val="windowText" lastClr="000000"/>
              </a:solidFill>
              <a:effectLst/>
              <a:latin typeface="Garamond" panose="02020404030301010803" pitchFamily="18" charset="0"/>
              <a:ea typeface="+mn-ea"/>
              <a:cs typeface="+mn-cs"/>
            </a:rPr>
            <a:t>3526215.321</a:t>
          </a:r>
          <a:r>
            <a:rPr lang="en-US" sz="1800" b="1">
              <a:solidFill>
                <a:sysClr val="windowText" lastClr="000000"/>
              </a:solidFill>
              <a:latin typeface="Garamond" panose="02020404030301010803" pitchFamily="18" charset="0"/>
            </a:rPr>
            <a:t> </a:t>
          </a:r>
        </a:p>
      </xdr:txBody>
    </xdr:sp>
    <xdr:clientData/>
  </xdr:twoCellAnchor>
  <xdr:twoCellAnchor>
    <xdr:from>
      <xdr:col>12</xdr:col>
      <xdr:colOff>315952</xdr:colOff>
      <xdr:row>7</xdr:row>
      <xdr:rowOff>9293</xdr:rowOff>
    </xdr:from>
    <xdr:to>
      <xdr:col>15</xdr:col>
      <xdr:colOff>288075</xdr:colOff>
      <xdr:row>11</xdr:row>
      <xdr:rowOff>92928</xdr:rowOff>
    </xdr:to>
    <xdr:sp macro="" textlink="">
      <xdr:nvSpPr>
        <xdr:cNvPr id="11" name="Rounded Rectangle 10">
          <a:extLst>
            <a:ext uri="{FF2B5EF4-FFF2-40B4-BE49-F238E27FC236}">
              <a16:creationId xmlns:a16="http://schemas.microsoft.com/office/drawing/2014/main" id="{00000000-0008-0000-0C00-00000B000000}"/>
            </a:ext>
          </a:extLst>
        </xdr:cNvPr>
        <xdr:cNvSpPr/>
      </xdr:nvSpPr>
      <xdr:spPr>
        <a:xfrm>
          <a:off x="7675757" y="1310269"/>
          <a:ext cx="1812074" cy="827049"/>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800" b="1" u="sng">
              <a:solidFill>
                <a:sysClr val="windowText" lastClr="000000"/>
              </a:solidFill>
              <a:latin typeface="Garamond" panose="02020404030301010803" pitchFamily="18" charset="0"/>
            </a:rPr>
            <a:t>Profit Margin </a:t>
          </a:r>
          <a:r>
            <a:rPr lang="en-US" sz="1800" b="1" u="none">
              <a:solidFill>
                <a:sysClr val="windowText" lastClr="000000"/>
              </a:solidFill>
              <a:latin typeface="Garamond" panose="02020404030301010803" pitchFamily="18" charset="0"/>
            </a:rPr>
            <a:t>(31.9%) </a:t>
          </a:r>
        </a:p>
      </xdr:txBody>
    </xdr:sp>
    <xdr:clientData/>
  </xdr:twoCellAnchor>
  <xdr:twoCellAnchor>
    <xdr:from>
      <xdr:col>15</xdr:col>
      <xdr:colOff>557561</xdr:colOff>
      <xdr:row>7</xdr:row>
      <xdr:rowOff>9291</xdr:rowOff>
    </xdr:from>
    <xdr:to>
      <xdr:col>19</xdr:col>
      <xdr:colOff>74343</xdr:colOff>
      <xdr:row>12</xdr:row>
      <xdr:rowOff>46462</xdr:rowOff>
    </xdr:to>
    <xdr:sp macro="" textlink="">
      <xdr:nvSpPr>
        <xdr:cNvPr id="12" name="Rounded Rectangle 11">
          <a:extLst>
            <a:ext uri="{FF2B5EF4-FFF2-40B4-BE49-F238E27FC236}">
              <a16:creationId xmlns:a16="http://schemas.microsoft.com/office/drawing/2014/main" id="{00000000-0008-0000-0C00-00000C000000}"/>
            </a:ext>
          </a:extLst>
        </xdr:cNvPr>
        <xdr:cNvSpPr/>
      </xdr:nvSpPr>
      <xdr:spPr>
        <a:xfrm>
          <a:off x="9757317" y="1310267"/>
          <a:ext cx="1970050" cy="966439"/>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800" b="1" u="sng">
              <a:solidFill>
                <a:sysClr val="windowText" lastClr="000000"/>
              </a:solidFill>
              <a:latin typeface="Garamond" panose="02020404030301010803" pitchFamily="18" charset="0"/>
            </a:rPr>
            <a:t>Average</a:t>
          </a:r>
          <a:r>
            <a:rPr lang="en-US" sz="1800" b="1" u="sng" baseline="0">
              <a:solidFill>
                <a:sysClr val="windowText" lastClr="000000"/>
              </a:solidFill>
              <a:latin typeface="Garamond" panose="02020404030301010803" pitchFamily="18" charset="0"/>
            </a:rPr>
            <a:t> Order Value(AOV)</a:t>
          </a:r>
          <a:r>
            <a:rPr lang="en-US" sz="1800" b="1" u="sng">
              <a:solidFill>
                <a:sysClr val="windowText" lastClr="000000"/>
              </a:solidFill>
              <a:latin typeface="Garamond" panose="02020404030301010803" pitchFamily="18" charset="0"/>
            </a:rPr>
            <a:t> </a:t>
          </a:r>
        </a:p>
        <a:p>
          <a:pPr algn="ctr"/>
          <a:r>
            <a:rPr lang="en-US" sz="1800" b="1" u="sng">
              <a:solidFill>
                <a:sysClr val="windowText" lastClr="000000"/>
              </a:solidFill>
              <a:latin typeface="Garamond" panose="02020404030301010803" pitchFamily="18" charset="0"/>
            </a:rPr>
            <a:t>17,490.448</a:t>
          </a:r>
        </a:p>
      </xdr:txBody>
    </xdr:sp>
    <xdr:clientData/>
  </xdr:twoCellAnchor>
  <xdr:twoCellAnchor>
    <xdr:from>
      <xdr:col>19</xdr:col>
      <xdr:colOff>167268</xdr:colOff>
      <xdr:row>7</xdr:row>
      <xdr:rowOff>27878</xdr:rowOff>
    </xdr:from>
    <xdr:to>
      <xdr:col>22</xdr:col>
      <xdr:colOff>139390</xdr:colOff>
      <xdr:row>12</xdr:row>
      <xdr:rowOff>55755</xdr:rowOff>
    </xdr:to>
    <xdr:sp macro="" textlink="">
      <xdr:nvSpPr>
        <xdr:cNvPr id="13" name="Rounded Rectangle 12">
          <a:extLst>
            <a:ext uri="{FF2B5EF4-FFF2-40B4-BE49-F238E27FC236}">
              <a16:creationId xmlns:a16="http://schemas.microsoft.com/office/drawing/2014/main" id="{00000000-0008-0000-0C00-00000D000000}"/>
            </a:ext>
          </a:extLst>
        </xdr:cNvPr>
        <xdr:cNvSpPr/>
      </xdr:nvSpPr>
      <xdr:spPr>
        <a:xfrm>
          <a:off x="11820292" y="1328854"/>
          <a:ext cx="1812074" cy="95714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800" b="1" u="sng">
              <a:solidFill>
                <a:sysClr val="windowText" lastClr="000000"/>
              </a:solidFill>
              <a:latin typeface="Garamond" panose="02020404030301010803" pitchFamily="18" charset="0"/>
            </a:rPr>
            <a:t>On-Time Delivery</a:t>
          </a:r>
        </a:p>
        <a:p>
          <a:pPr algn="ctr"/>
          <a:r>
            <a:rPr lang="en-US" sz="1800" b="1" i="0" u="none" strike="noStrike">
              <a:solidFill>
                <a:sysClr val="windowText" lastClr="000000"/>
              </a:solidFill>
              <a:effectLst/>
              <a:latin typeface="Garamond" panose="02020404030301010803" pitchFamily="18" charset="0"/>
              <a:ea typeface="+mn-ea"/>
              <a:cs typeface="+mn-cs"/>
            </a:rPr>
            <a:t>27.215</a:t>
          </a:r>
          <a:r>
            <a:rPr lang="en-US" sz="1800" b="1" u="none">
              <a:solidFill>
                <a:sysClr val="windowText" lastClr="000000"/>
              </a:solidFill>
              <a:latin typeface="Garamond" panose="02020404030301010803" pitchFamily="18" charset="0"/>
            </a:rPr>
            <a:t> %</a:t>
          </a:r>
        </a:p>
      </xdr:txBody>
    </xdr:sp>
    <xdr:clientData/>
  </xdr:twoCellAnchor>
  <xdr:twoCellAnchor editAs="oneCell">
    <xdr:from>
      <xdr:col>3</xdr:col>
      <xdr:colOff>250902</xdr:colOff>
      <xdr:row>21</xdr:row>
      <xdr:rowOff>130098</xdr:rowOff>
    </xdr:from>
    <xdr:to>
      <xdr:col>6</xdr:col>
      <xdr:colOff>239751</xdr:colOff>
      <xdr:row>31</xdr:row>
      <xdr:rowOff>148682</xdr:rowOff>
    </xdr:to>
    <mc:AlternateContent xmlns:mc="http://schemas.openxmlformats.org/markup-compatibility/2006" xmlns:a14="http://schemas.microsoft.com/office/drawing/2010/main">
      <mc:Choice Requires="a14">
        <xdr:graphicFrame macro="">
          <xdr:nvGraphicFramePr>
            <xdr:cNvPr id="14" name="OrderMonth 1">
              <a:extLst>
                <a:ext uri="{FF2B5EF4-FFF2-40B4-BE49-F238E27FC236}">
                  <a16:creationId xmlns:a16="http://schemas.microsoft.com/office/drawing/2014/main" id="{00000000-0008-0000-0C00-00000E000000}"/>
                </a:ext>
              </a:extLst>
            </xdr:cNvPr>
            <xdr:cNvGraphicFramePr/>
          </xdr:nvGraphicFramePr>
          <xdr:xfrm>
            <a:off x="0" y="0"/>
            <a:ext cx="0" cy="0"/>
          </xdr:xfrm>
          <a:graphic>
            <a:graphicData uri="http://schemas.microsoft.com/office/drawing/2010/slicer">
              <sle:slicer xmlns:sle="http://schemas.microsoft.com/office/drawing/2010/slicer" name="OrderMonth 1"/>
            </a:graphicData>
          </a:graphic>
        </xdr:graphicFrame>
      </mc:Choice>
      <mc:Fallback xmlns="">
        <xdr:sp macro="" textlink="">
          <xdr:nvSpPr>
            <xdr:cNvPr id="0" name=""/>
            <xdr:cNvSpPr>
              <a:spLocks noTextEdit="1"/>
            </xdr:cNvSpPr>
          </xdr:nvSpPr>
          <xdr:spPr>
            <a:xfrm>
              <a:off x="2063936" y="3992650"/>
              <a:ext cx="1801884" cy="1857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74343</xdr:colOff>
      <xdr:row>12</xdr:row>
      <xdr:rowOff>13331</xdr:rowOff>
    </xdr:from>
    <xdr:to>
      <xdr:col>3</xdr:col>
      <xdr:colOff>63192</xdr:colOff>
      <xdr:row>19</xdr:row>
      <xdr:rowOff>167672</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00000000-0008-0000-0C00-00000F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4343" y="2220503"/>
              <a:ext cx="1801883" cy="1441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81982</xdr:colOff>
      <xdr:row>21</xdr:row>
      <xdr:rowOff>168302</xdr:rowOff>
    </xdr:from>
    <xdr:to>
      <xdr:col>3</xdr:col>
      <xdr:colOff>70831</xdr:colOff>
      <xdr:row>31</xdr:row>
      <xdr:rowOff>168302</xdr:rowOff>
    </xdr:to>
    <mc:AlternateContent xmlns:mc="http://schemas.openxmlformats.org/markup-compatibility/2006" xmlns:a14="http://schemas.microsoft.com/office/drawing/2010/main">
      <mc:Choice Requires="a14">
        <xdr:graphicFrame macro="">
          <xdr:nvGraphicFramePr>
            <xdr:cNvPr id="16" name="Country 1">
              <a:extLst>
                <a:ext uri="{FF2B5EF4-FFF2-40B4-BE49-F238E27FC236}">
                  <a16:creationId xmlns:a16="http://schemas.microsoft.com/office/drawing/2014/main" id="{00000000-0008-0000-0C00-00001000000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1982" y="4030854"/>
              <a:ext cx="1801883" cy="18393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142075</xdr:colOff>
      <xdr:row>34</xdr:row>
      <xdr:rowOff>99534</xdr:rowOff>
    </xdr:from>
    <xdr:to>
      <xdr:col>3</xdr:col>
      <xdr:colOff>130924</xdr:colOff>
      <xdr:row>43</xdr:row>
      <xdr:rowOff>62364</xdr:rowOff>
    </xdr:to>
    <mc:AlternateContent xmlns:mc="http://schemas.openxmlformats.org/markup-compatibility/2006" xmlns:a14="http://schemas.microsoft.com/office/drawing/2010/main">
      <mc:Choice Requires="a14">
        <xdr:graphicFrame macro="">
          <xdr:nvGraphicFramePr>
            <xdr:cNvPr id="17" name="Channel 1">
              <a:extLst>
                <a:ext uri="{FF2B5EF4-FFF2-40B4-BE49-F238E27FC236}">
                  <a16:creationId xmlns:a16="http://schemas.microsoft.com/office/drawing/2014/main" id="{00000000-0008-0000-0C00-000011000000}"/>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42075" y="6353189"/>
              <a:ext cx="1801883" cy="16182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227064</xdr:colOff>
      <xdr:row>12</xdr:row>
      <xdr:rowOff>35958</xdr:rowOff>
    </xdr:from>
    <xdr:to>
      <xdr:col>6</xdr:col>
      <xdr:colOff>215913</xdr:colOff>
      <xdr:row>20</xdr:row>
      <xdr:rowOff>8079</xdr:rowOff>
    </xdr:to>
    <mc:AlternateContent xmlns:mc="http://schemas.openxmlformats.org/markup-compatibility/2006" xmlns:a14="http://schemas.microsoft.com/office/drawing/2010/main">
      <mc:Choice Requires="a14">
        <xdr:graphicFrame macro="">
          <xdr:nvGraphicFramePr>
            <xdr:cNvPr id="18" name="ProductCategory 1">
              <a:extLst>
                <a:ext uri="{FF2B5EF4-FFF2-40B4-BE49-F238E27FC236}">
                  <a16:creationId xmlns:a16="http://schemas.microsoft.com/office/drawing/2014/main" id="{00000000-0008-0000-0C00-000012000000}"/>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2040098" y="2243130"/>
              <a:ext cx="1801884" cy="1443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275476</xdr:colOff>
      <xdr:row>34</xdr:row>
      <xdr:rowOff>77027</xdr:rowOff>
    </xdr:from>
    <xdr:to>
      <xdr:col>6</xdr:col>
      <xdr:colOff>264325</xdr:colOff>
      <xdr:row>43</xdr:row>
      <xdr:rowOff>77026</xdr:rowOff>
    </xdr:to>
    <mc:AlternateContent xmlns:mc="http://schemas.openxmlformats.org/markup-compatibility/2006" xmlns:a14="http://schemas.microsoft.com/office/drawing/2010/main">
      <mc:Choice Requires="a14">
        <xdr:graphicFrame macro="">
          <xdr:nvGraphicFramePr>
            <xdr:cNvPr id="19" name="Salesperson 1">
              <a:extLst>
                <a:ext uri="{FF2B5EF4-FFF2-40B4-BE49-F238E27FC236}">
                  <a16:creationId xmlns:a16="http://schemas.microsoft.com/office/drawing/2014/main" id="{00000000-0008-0000-0C00-000013000000}"/>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2088510" y="6330682"/>
              <a:ext cx="1801884" cy="16553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399586</xdr:colOff>
      <xdr:row>12</xdr:row>
      <xdr:rowOff>124109</xdr:rowOff>
    </xdr:from>
    <xdr:to>
      <xdr:col>14</xdr:col>
      <xdr:colOff>65049</xdr:colOff>
      <xdr:row>27</xdr:row>
      <xdr:rowOff>79504</xdr:rowOff>
    </xdr:to>
    <xdr:graphicFrame macro="">
      <xdr:nvGraphicFramePr>
        <xdr:cNvPr id="20" name="Chart 19">
          <a:extLst>
            <a:ext uri="{FF2B5EF4-FFF2-40B4-BE49-F238E27FC236}">
              <a16:creationId xmlns:a16="http://schemas.microsoft.com/office/drawing/2014/main" id="{00000000-0008-0000-0C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382653</xdr:colOff>
      <xdr:row>28</xdr:row>
      <xdr:rowOff>119151</xdr:rowOff>
    </xdr:from>
    <xdr:to>
      <xdr:col>14</xdr:col>
      <xdr:colOff>67500</xdr:colOff>
      <xdr:row>43</xdr:row>
      <xdr:rowOff>138714</xdr:rowOff>
    </xdr:to>
    <xdr:graphicFrame macro="">
      <xdr:nvGraphicFramePr>
        <xdr:cNvPr id="21" name="Chart 20">
          <a:extLst>
            <a:ext uri="{FF2B5EF4-FFF2-40B4-BE49-F238E27FC236}">
              <a16:creationId xmlns:a16="http://schemas.microsoft.com/office/drawing/2014/main" id="{00000000-0008-0000-0C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355600</xdr:colOff>
      <xdr:row>12</xdr:row>
      <xdr:rowOff>101600</xdr:rowOff>
    </xdr:from>
    <xdr:to>
      <xdr:col>22</xdr:col>
      <xdr:colOff>50800</xdr:colOff>
      <xdr:row>27</xdr:row>
      <xdr:rowOff>50800</xdr:rowOff>
    </xdr:to>
    <xdr:graphicFrame macro="">
      <xdr:nvGraphicFramePr>
        <xdr:cNvPr id="22" name="Chart 21">
          <a:extLst>
            <a:ext uri="{FF2B5EF4-FFF2-40B4-BE49-F238E27FC236}">
              <a16:creationId xmlns:a16="http://schemas.microsoft.com/office/drawing/2014/main" id="{00000000-0008-0000-0C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389466</xdr:colOff>
      <xdr:row>28</xdr:row>
      <xdr:rowOff>169334</xdr:rowOff>
    </xdr:from>
    <xdr:to>
      <xdr:col>22</xdr:col>
      <xdr:colOff>84666</xdr:colOff>
      <xdr:row>43</xdr:row>
      <xdr:rowOff>118534</xdr:rowOff>
    </xdr:to>
    <xdr:graphicFrame macro="">
      <xdr:nvGraphicFramePr>
        <xdr:cNvPr id="23" name="Chart 22">
          <a:extLst>
            <a:ext uri="{FF2B5EF4-FFF2-40B4-BE49-F238E27FC236}">
              <a16:creationId xmlns:a16="http://schemas.microsoft.com/office/drawing/2014/main" id="{00000000-0008-0000-0C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45720</xdr:colOff>
      <xdr:row>8</xdr:row>
      <xdr:rowOff>19050</xdr:rowOff>
    </xdr:from>
    <xdr:to>
      <xdr:col>9</xdr:col>
      <xdr:colOff>350520</xdr:colOff>
      <xdr:row>23</xdr:row>
      <xdr:rowOff>19050</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403860</xdr:colOff>
      <xdr:row>8</xdr:row>
      <xdr:rowOff>19050</xdr:rowOff>
    </xdr:from>
    <xdr:to>
      <xdr:col>7</xdr:col>
      <xdr:colOff>586740</xdr:colOff>
      <xdr:row>23</xdr:row>
      <xdr:rowOff>19050</xdr:rowOff>
    </xdr:to>
    <xdr:graphicFrame macro="">
      <xdr:nvGraphicFramePr>
        <xdr:cNvPr id="3" name="Chart 2">
          <a:extLst>
            <a:ext uri="{FF2B5EF4-FFF2-40B4-BE49-F238E27FC236}">
              <a16:creationId xmlns:a16="http://schemas.microsoft.com/office/drawing/2014/main" id="{00000000-0008-0000-0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7620</xdr:colOff>
      <xdr:row>14</xdr:row>
      <xdr:rowOff>57150</xdr:rowOff>
    </xdr:from>
    <xdr:to>
      <xdr:col>9</xdr:col>
      <xdr:colOff>312420</xdr:colOff>
      <xdr:row>29</xdr:row>
      <xdr:rowOff>57150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220980</xdr:colOff>
      <xdr:row>11</xdr:row>
      <xdr:rowOff>3810</xdr:rowOff>
    </xdr:from>
    <xdr:to>
      <xdr:col>5</xdr:col>
      <xdr:colOff>106680</xdr:colOff>
      <xdr:row>26</xdr:row>
      <xdr:rowOff>3810</xdr:rowOff>
    </xdr:to>
    <xdr:graphicFrame macro="">
      <xdr:nvGraphicFramePr>
        <xdr:cNvPr id="3" name="Chart 2">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45720</xdr:colOff>
      <xdr:row>8</xdr:row>
      <xdr:rowOff>19050</xdr:rowOff>
    </xdr:from>
    <xdr:to>
      <xdr:col>9</xdr:col>
      <xdr:colOff>350520</xdr:colOff>
      <xdr:row>23</xdr:row>
      <xdr:rowOff>19050</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45720</xdr:colOff>
      <xdr:row>8</xdr:row>
      <xdr:rowOff>19050</xdr:rowOff>
    </xdr:from>
    <xdr:to>
      <xdr:col>9</xdr:col>
      <xdr:colOff>350520</xdr:colOff>
      <xdr:row>23</xdr:row>
      <xdr:rowOff>19050</xdr:rowOff>
    </xdr:to>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26</xdr:col>
      <xdr:colOff>201283</xdr:colOff>
      <xdr:row>21</xdr:row>
      <xdr:rowOff>116456</xdr:rowOff>
    </xdr:from>
    <xdr:to>
      <xdr:col>28</xdr:col>
      <xdr:colOff>1063924</xdr:colOff>
      <xdr:row>36</xdr:row>
      <xdr:rowOff>56071</xdr:rowOff>
    </xdr:to>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201283</xdr:colOff>
      <xdr:row>21</xdr:row>
      <xdr:rowOff>116456</xdr:rowOff>
    </xdr:from>
    <xdr:to>
      <xdr:col>23</xdr:col>
      <xdr:colOff>1063924</xdr:colOff>
      <xdr:row>36</xdr:row>
      <xdr:rowOff>56071</xdr:rowOff>
    </xdr:to>
    <xdr:graphicFrame macro="">
      <xdr:nvGraphicFramePr>
        <xdr:cNvPr id="3" name="Chart 2">
          <a:extLst>
            <a:ext uri="{FF2B5EF4-FFF2-40B4-BE49-F238E27FC236}">
              <a16:creationId xmlns:a16="http://schemas.microsoft.com/office/drawing/2014/main" id="{00000000-0008-0000-1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201283</xdr:colOff>
      <xdr:row>21</xdr:row>
      <xdr:rowOff>116456</xdr:rowOff>
    </xdr:from>
    <xdr:to>
      <xdr:col>23</xdr:col>
      <xdr:colOff>1063924</xdr:colOff>
      <xdr:row>36</xdr:row>
      <xdr:rowOff>56071</xdr:rowOff>
    </xdr:to>
    <xdr:graphicFrame macro="">
      <xdr:nvGraphicFramePr>
        <xdr:cNvPr id="4" name="Chart 3">
          <a:extLst>
            <a:ext uri="{FF2B5EF4-FFF2-40B4-BE49-F238E27FC236}">
              <a16:creationId xmlns:a16="http://schemas.microsoft.com/office/drawing/2014/main" id="{00000000-0008-0000-1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87.095236689813" createdVersion="5" refreshedVersion="5" minRefreshableVersion="3" recordCount="633" xr:uid="{00000000-000A-0000-FFFF-FFFF00000000}">
  <cacheSource type="worksheet">
    <worksheetSource ref="A1:AE1048576" sheet="Data"/>
  </cacheSource>
  <cacheFields count="31">
    <cacheField name="OrderID" numFmtId="0">
      <sharedItems containsBlank="1"/>
    </cacheField>
    <cacheField name="OrderDate" numFmtId="14">
      <sharedItems containsNonDate="0" containsDate="1" containsString="0" containsBlank="1" minDate="2023-01-02T00:00:00" maxDate="2025-09-16T00:00:00"/>
    </cacheField>
    <cacheField name="OrderMonth" numFmtId="14">
      <sharedItems containsBlank="1" count="34">
        <s v="Mar-2024"/>
        <s v="Oct-2024"/>
        <s v="Feb-2023"/>
        <s v="Mar-2025"/>
        <s v="Dec-2023"/>
        <s v="Jan-2023"/>
        <s v="Dec-2024"/>
        <s v="May-2024"/>
        <s v="May-2025"/>
        <s v="Jan-2024"/>
        <s v="Jan-2025"/>
        <s v="Sep-2025"/>
        <s v="Apr-2023"/>
        <s v="Jul-2025"/>
        <s v="Jul-2024"/>
        <s v="May-2023"/>
        <s v="Jun-2025"/>
        <s v="Jun-2024"/>
        <s v="Nov-2024"/>
        <s v="Apr-2025"/>
        <s v="Apr-2024"/>
        <s v="Aug-2024"/>
        <s v="Mar-2023"/>
        <s v="Jun-2023"/>
        <s v="Jul-2023"/>
        <s v="Aug-2023"/>
        <s v="Feb-2025"/>
        <s v="Sep-2023"/>
        <s v="Aug-2025"/>
        <s v="Sep-2024"/>
        <s v="Nov-2023"/>
        <s v="Feb-2024"/>
        <s v="Oct-2023"/>
        <m/>
      </sharedItems>
    </cacheField>
    <cacheField name="OrderQuarter" numFmtId="14">
      <sharedItems containsBlank="1"/>
    </cacheField>
    <cacheField name="RequiredDate" numFmtId="14">
      <sharedItems containsNonDate="0" containsDate="1" containsString="0" containsBlank="1" minDate="2023-01-05T00:00:00" maxDate="2025-10-06T00:00:00"/>
    </cacheField>
    <cacheField name="Date_Check" numFmtId="14">
      <sharedItems containsBlank="1"/>
    </cacheField>
    <cacheField name="LeadTimeDays" numFmtId="1">
      <sharedItems containsString="0" containsBlank="1" containsNumber="1" containsInteger="1" minValue="-2" maxValue="30"/>
    </cacheField>
    <cacheField name="CleanedRequiredDates" numFmtId="0">
      <sharedItems containsNonDate="0" containsDate="1" containsString="0" containsBlank="1" minDate="2023-01-05T00:00:00" maxDate="2025-10-06T00:00:00"/>
    </cacheField>
    <cacheField name="Region" numFmtId="0">
      <sharedItems containsBlank="1" count="5">
        <s v="Africa"/>
        <s v="Asia"/>
        <s v="Americas"/>
        <s v="Europe"/>
        <m/>
      </sharedItems>
    </cacheField>
    <cacheField name="RegionHierarchy" numFmtId="0">
      <sharedItems containsBlank="1"/>
    </cacheField>
    <cacheField name="Country_First SalesDate" numFmtId="0">
      <sharedItems containsBlank="1" count="320">
        <s v="Kenya-2024-03"/>
        <s v="Nigeria-2024-10"/>
        <s v="Kenya-2023-02"/>
        <s v="Nigeria-2025-03"/>
        <s v="Japan-2023-12"/>
        <s v="Canada-2023-01"/>
        <s v="India-2024-12"/>
        <s v="Nigeria-2023-01"/>
        <s v="Nigeria-2024-05"/>
        <s v="Brazil-2025-05"/>
        <s v="Germany-2024-01"/>
        <s v="Japan-2025-01"/>
        <s v="Brazil-2025-03"/>
        <s v="France-2024-01"/>
        <s v="Brazil-2025-09"/>
        <s v="Kenya-2023-04"/>
        <s v="France-2024-12"/>
        <s v="Japan-2025-09"/>
        <s v="Brazil-2025-07"/>
        <s v="United Kingdom-2025-05"/>
        <s v="Kenya-2024-07"/>
        <s v="China-2023-05"/>
        <s v="Nigeria-2025-06"/>
        <s v="USA-2024-05"/>
        <s v="Brazil-2023-02"/>
        <s v="Brazil-2024-06"/>
        <s v="France-2024-11"/>
        <s v="France-2025-04"/>
        <s v="Canada-2023-02"/>
        <s v="South Africa-2025-07"/>
        <s v="United Kingdom-2024-04"/>
        <s v="South Africa-2024-08"/>
        <s v="India-2023-03"/>
        <s v="Germany-2024-03"/>
        <s v="China-2025-06"/>
        <s v="Nigeria-2024-04"/>
        <s v="USA-2023-06"/>
        <s v="Germany-2024-08"/>
        <s v="South Africa-2024-01"/>
        <s v="Kenya-2024-10"/>
        <s v="Germany-2025-05"/>
        <s v="Canada-2024-05"/>
        <s v="India-2023-04"/>
        <s v="Nigeria-2023-06"/>
        <s v="United Kingdom-2024-05"/>
        <s v="France-2023-07"/>
        <s v="Canada-2024-11"/>
        <s v="India-2024-10"/>
        <s v="Kenya-2023-03"/>
        <s v="France-2025-01"/>
        <s v="Germany-2023-08"/>
        <s v="Brazil-2025-04"/>
        <s v="Brazil-2025-02"/>
        <s v="Germany-2024-12"/>
        <s v="France-2025-06"/>
        <s v="Kenya-2025-05"/>
        <s v="France-2024-03"/>
        <s v="India-2024-11"/>
        <s v="South Africa-2023-02"/>
        <s v="Brazil-2023-12"/>
        <s v="United Kingdom-2023-03"/>
        <s v="Japan-2024-05"/>
        <s v="South Africa-2023-08"/>
        <s v="China-2023-04"/>
        <s v="South Africa-2024-04"/>
        <s v="China-2024-12"/>
        <s v="South Africa-2023-05"/>
        <s v="India-2023-09"/>
        <s v="Brazil-2024-08"/>
        <s v="United Kingdom-2023-06"/>
        <s v="Canada-2023-08"/>
        <s v="France-2025-05"/>
        <s v="USA-2025-04"/>
        <s v="United Kingdom-2025-03"/>
        <s v="South Africa-2023-12"/>
        <s v="China-2024-04"/>
        <s v="Kenya-2025-08"/>
        <s v="India-2024-01"/>
        <s v="Japan-2023-06"/>
        <s v="Japan-2025-04"/>
        <s v="India-2025-06"/>
        <s v="Brazil-2023-06"/>
        <s v="Kenya-2025-09"/>
        <s v="United Kingdom-2023-04"/>
        <s v="India-2025-08"/>
        <s v="China-2025-07"/>
        <s v="Germany-2023-02"/>
        <s v="China-2025-01"/>
        <s v="Kenya-2025-03"/>
        <s v="Canada-2024-12"/>
        <s v="China-2024-09"/>
        <s v="South Africa-2024-05"/>
        <s v="Kenya-2023-05"/>
        <s v="United Kingdom-2024-08"/>
        <s v="Japan-2024-10"/>
        <s v="Kenya-2024-06"/>
        <s v="China-2024-06"/>
        <s v="United Kingdom-2024-06"/>
        <s v="South Africa-2024-06"/>
        <s v="USA-2025-01"/>
        <s v="Japan-2023-11"/>
        <s v="Brazil-2023-03"/>
        <s v="Canada-2025-06"/>
        <s v="China-2023-06"/>
        <s v="Canada-2025-07"/>
        <s v="United Kingdom-2025-06"/>
        <s v="France-2023-11"/>
        <s v="Kenya-2023-12"/>
        <s v="Brazil-2024-11"/>
        <s v="China-2023-08"/>
        <s v="Germany-2024-06"/>
        <s v="United Kingdom-2025-08"/>
        <s v="USA-2023-01"/>
        <s v="United Kingdom-2023-01"/>
        <s v="USA-2024-12"/>
        <s v="France-2023-04"/>
        <s v="China-2024-02"/>
        <s v="India-2023-05"/>
        <s v="USA-2023-07"/>
        <s v="Canada-2024-06"/>
        <s v="Brazil-2023-07"/>
        <s v="South Africa-2023-11"/>
        <s v="Germany-2024-04"/>
        <s v="France-2023-09"/>
        <s v="Canada-2024-09"/>
        <s v="Canada-2025-04"/>
        <s v="South Africa-2023-07"/>
        <s v="Kenya-2024-02"/>
        <s v="Kenya-2023-10"/>
        <s v="Japan-2024-08"/>
        <s v="France-2024-02"/>
        <s v="India-2024-08"/>
        <s v="Germany-2025-02"/>
        <s v="China-2025-08"/>
        <s v="India-2023-02"/>
        <s v="China-2024-10"/>
        <s v="Brazil-2024-04"/>
        <s v="Japan-2023-03"/>
        <s v="France-2024-05"/>
        <s v="India-2023-10"/>
        <s v="United Kingdom-2024-10"/>
        <s v="Japan-2024-07"/>
        <s v="Japan-2023-09"/>
        <s v="USA-2023-02"/>
        <s v="South Africa-2025-05"/>
        <s v="United Kingdom-2025-04"/>
        <s v="United Kingdom-2023-08"/>
        <s v="Germany-2024-02"/>
        <s v="Canada-2023-04"/>
        <s v="Japan-2025-02"/>
        <s v="Nigeria-2023-08"/>
        <s v="France-2023-06"/>
        <s v="India-2023-01"/>
        <s v="Brazil-2024-05"/>
        <s v="USA-2024-08"/>
        <s v="China-2023-10"/>
        <s v="USA-2023-05"/>
        <s v="Brazil-2024-09"/>
        <s v="Germany-2023-01"/>
        <s v="Germany-2023-04"/>
        <s v="USA-2024-01"/>
        <s v="USA-2023-08"/>
        <s v="Kenya-2023-01"/>
        <s v="United Kingdom-2025-02"/>
        <s v="United Kingdom-2023-07"/>
        <s v="Kenya-2025-01"/>
        <s v="Kenya-2024-09"/>
        <s v="Nigeria-2025-07"/>
        <s v="South Africa-2024-10"/>
        <s v="Brazil-2023-11"/>
        <s v="Japan-2024-02"/>
        <s v="India-2023-12"/>
        <s v="USA-2023-09"/>
        <s v="Japan-2023-07"/>
        <s v="USA-2023-10"/>
        <s v="USA-2025-08"/>
        <s v="Nigeria-2024-09"/>
        <s v="Japan-2024-09"/>
        <s v="South Africa-2023-03"/>
        <s v="Japan-2024-01"/>
        <s v="India-2023-11"/>
        <s v="USA-2024-03"/>
        <s v="China-2025-05"/>
        <s v="Japan-2025-08"/>
        <s v="Brazil-2023-04"/>
        <s v="Nigeria-2024-03"/>
        <s v="Canada-2024-02"/>
        <s v="Germany-2025-04"/>
        <s v="Kenya-2024-11"/>
        <s v="USA-2024-09"/>
        <s v="Canada-2023-03"/>
        <s v="Canada-2024-03"/>
        <s v="USA-2024-07"/>
        <s v="Germany-2025-06"/>
        <s v="Brazil-2023-10"/>
        <s v="Nigeria-2023-05"/>
        <s v="Germany-2023-05"/>
        <s v="Brazil-2023-08"/>
        <s v="South Africa-2025-06"/>
        <s v="Nigeria-2025-04"/>
        <s v="Canada-2025-09"/>
        <s v="India-2025-02"/>
        <s v="Canada-2023-07"/>
        <s v="Brazil-2024-01"/>
        <s v="Japan-2025-03"/>
        <s v="Kenya-2023-08"/>
        <s v="India-2025-05"/>
        <s v="India-2024-09"/>
        <s v="Nigeria-2025-08"/>
        <s v="United Kingdom-2023-10"/>
        <s v="Canada-2025-05"/>
        <s v="USA-2025-05"/>
        <s v="France-2023-01"/>
        <s v="United Kingdom-2024-12"/>
        <s v="Canada-2023-06"/>
        <s v="United Kingdom-2024-11"/>
        <s v="Japan-2023-05"/>
        <s v="Germany-2024-05"/>
        <s v="France-2023-02"/>
        <s v="Brazil-2024-02"/>
        <s v="Kenya-2023-06"/>
        <s v="Canada-2023-10"/>
        <s v="United Kingdom-2025-09"/>
        <s v="India-2023-08"/>
        <s v="United Kingdom-2023-11"/>
        <s v="India-2025-04"/>
        <s v="France-2024-04"/>
        <s v="China-2024-07"/>
        <s v="Nigeria-2023-07"/>
        <s v="Kenya-2023-07"/>
        <s v="USA-2023-04"/>
        <s v="India-2024-02"/>
        <s v="Canada-2024-07"/>
        <s v="Nigeria-2023-12"/>
        <s v="United Kingdom-2023-02"/>
        <s v="Germany-2023-12"/>
        <s v="United Kingdom-2024-01"/>
        <s v="Brazil-2025-08"/>
        <s v="China-2024-11"/>
        <s v="China-2024-03"/>
        <s v="India-2025-03"/>
        <s v="France-2023-12"/>
        <s v="Nigeria-2023-04"/>
        <s v="South Africa-2025-01"/>
        <s v="United Kingdom-2025-01"/>
        <s v="Canada-2025-08"/>
        <s v="United Kingdom-2025-07"/>
        <s v="France-2024-07"/>
        <s v="China-2023-09"/>
        <s v="South Africa-2023-10"/>
        <s v="France-2024-08"/>
        <s v="United Kingdom-2023-05"/>
        <s v="Japan-2025-05"/>
        <s v="Germany-2025-08"/>
        <s v="Japan-2024-12"/>
        <s v="South Africa-2025-09"/>
        <s v="South Africa-2024-09"/>
        <s v="Kenya-2025-04"/>
        <s v="Brazil-2025-01"/>
        <s v="China-2023-03"/>
        <s v="Nigeria-2025-02"/>
        <s v="China-2023-12"/>
        <s v="Germany-2023-03"/>
        <s v="India-2024-06"/>
        <s v="China-2025-03"/>
        <s v="Japan-2023-10"/>
        <s v="USA-2025-02"/>
        <s v="India-2025-09"/>
        <s v="Germany-2024-11"/>
        <s v="Nigeria-2024-12"/>
        <s v="Japan-2023-04"/>
        <s v="India-2024-03"/>
        <s v="South Africa-2025-03"/>
        <s v="Nigeria-2024-06"/>
        <s v="India-2023-07"/>
        <s v="India-2024-05"/>
        <s v="Japan-2025-06"/>
        <s v="Germany-2023-11"/>
        <s v="South Africa-2025-04"/>
        <s v="Japan-2025-07"/>
        <s v="Germany-2025-03"/>
        <s v="France-2023-08"/>
        <s v="France-2025-08"/>
        <s v="Brazil-2023-05"/>
        <s v="France-2023-10"/>
        <s v="Brazil-2024-03"/>
        <s v="United Kingdom-2024-09"/>
        <s v="China-2023-02"/>
        <s v="Germany-2023-06"/>
        <s v="India-2025-01"/>
        <s v="Nigeria-2025-05"/>
        <s v="Kenya-2024-04"/>
        <s v="China-2023-01"/>
        <s v="Nigeria-2023-02"/>
        <s v="Germany-2023-07"/>
        <s v="South Africa-2024-03"/>
        <s v="Canada-2023-09"/>
        <s v="Brazil-2024-07"/>
        <s v="Kenya-2025-02"/>
        <s v="Kenya-2024-05"/>
        <s v="USA-2024-10"/>
        <s v="USA-2024-02"/>
        <s v="India-2023-06"/>
        <s v="Canada-2024-01"/>
        <s v="Canada-2023-12"/>
        <s v="Kenya-2025-07"/>
        <s v="Brazil-2023-01"/>
        <s v="Kenya-2024-08"/>
        <s v="Japan-2024-06"/>
        <s v="France-2025-02"/>
        <s v="Canada-2025-02"/>
        <s v="South Africa-2023-01"/>
        <s v="United Kingdom-2024-03"/>
        <s v="Canada-2024-08"/>
        <s v="Brazil-2023-09"/>
        <s v="Nigeria-2023-10"/>
        <s v="France-2024-10"/>
        <s v="Kenya-2023-09"/>
        <s v="India-2024-07"/>
        <m/>
      </sharedItems>
    </cacheField>
    <cacheField name="Country" numFmtId="0">
      <sharedItems containsBlank="1" count="13">
        <s v="Kenya"/>
        <s v="Nigeria"/>
        <s v="Japan"/>
        <s v="Canada"/>
        <s v="India"/>
        <s v="Brazil"/>
        <s v="Germany"/>
        <s v="France"/>
        <s v="United Kingdom"/>
        <s v="China"/>
        <s v="USA"/>
        <s v="South Africa"/>
        <m/>
      </sharedItems>
    </cacheField>
    <cacheField name="City" numFmtId="0">
      <sharedItems containsBlank="1"/>
    </cacheField>
    <cacheField name="CustomerSegment" numFmtId="0">
      <sharedItems containsBlank="1"/>
    </cacheField>
    <cacheField name="Channel" numFmtId="0">
      <sharedItems containsBlank="1" count="7">
        <s v="Retail"/>
        <s v="Online"/>
        <s v="Marketplace"/>
        <s v="Distributor"/>
        <s v="Direct"/>
        <s v="Unknown"/>
        <m/>
      </sharedItems>
    </cacheField>
    <cacheField name="Salesperson" numFmtId="0">
      <sharedItems containsBlank="1" count="17">
        <s v="C. Otieno"/>
        <s v="J. Njeri"/>
        <s v="I. Johnson"/>
        <s v="G. Dubois"/>
        <s v="L. Okafor"/>
        <s v="B. Chen"/>
        <s v="E. Garcia"/>
        <s v="O. Wang"/>
        <s v="A. Patel"/>
        <s v="F. Müller"/>
        <s v="H. Kim"/>
        <s v="K. Singh"/>
        <s v="M. Rossi"/>
        <s v="N. Brown"/>
        <s v="D. Smith"/>
        <s v="Unassigned"/>
        <m/>
      </sharedItems>
    </cacheField>
    <cacheField name="ProductCategory" numFmtId="0">
      <sharedItems containsBlank="1" count="8">
        <s v="Components"/>
        <s v="Printers"/>
        <s v="Networking"/>
        <s v="Phones"/>
        <s v="Laptops"/>
        <s v="Monitors"/>
        <s v="Accessories"/>
        <m/>
      </sharedItems>
    </cacheField>
    <cacheField name="SKU" numFmtId="0">
      <sharedItems containsBlank="1" count="631">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m/>
      </sharedItems>
    </cacheField>
    <cacheField name="UnitCost" numFmtId="2">
      <sharedItems containsString="0" containsBlank="1" containsNumber="1" minValue="5.34" maxValue="1495.79"/>
    </cacheField>
    <cacheField name="UnitPrice" numFmtId="2">
      <sharedItems containsString="0" containsBlank="1" containsNumber="1" minValue="-33.659999999999997" maxValue="3661.07"/>
    </cacheField>
    <cacheField name="UnitPrice_Tag" numFmtId="2">
      <sharedItems containsBlank="1"/>
    </cacheField>
    <cacheField name="Clean Price" numFmtId="2">
      <sharedItems containsString="0" containsBlank="1" containsNumber="1" minValue="4.22" maxValue="3661.07"/>
    </cacheField>
    <cacheField name="PriceBand" numFmtId="2">
      <sharedItems containsBlank="1"/>
    </cacheField>
    <cacheField name="DiscountPct" numFmtId="2">
      <sharedItems containsString="0" containsBlank="1" containsNumber="1" minValue="0" maxValue="0.56499999999999995"/>
    </cacheField>
    <cacheField name="Discount_Tag" numFmtId="2">
      <sharedItems containsBlank="1"/>
    </cacheField>
    <cacheField name="Clean_DiscountPct" numFmtId="2">
      <sharedItems containsString="0" containsBlank="1" containsNumber="1" minValue="0" maxValue="0.3"/>
    </cacheField>
    <cacheField name="Quantity" numFmtId="2">
      <sharedItems containsString="0" containsBlank="1" containsNumber="1" containsInteger="1" minValue="2" maxValue="61"/>
    </cacheField>
    <cacheField name="GrossRevenue" numFmtId="0">
      <sharedItems containsString="0" containsBlank="1" containsNumber="1" minValue="18.659839999999999" maxValue="139277.83032000001"/>
    </cacheField>
    <cacheField name="CostofGoods" numFmtId="0">
      <sharedItems containsString="0" containsBlank="1" containsNumber="1" minValue="22" maxValue="83258.290000000008"/>
    </cacheField>
    <cacheField name="GrossProfit" numFmtId="0">
      <sharedItems containsString="0" containsBlank="1" containsNumber="1" minValue="-15655.657510000005" maxValue="65188.659999999996"/>
    </cacheField>
    <cacheField name="Marginct" numFmtId="0">
      <sharedItems containsString="0" containsBlank="1" containsNumber="1" minValue="-0.87167486187856302" maxValue="0.5967253121452894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87.179780555554" createdVersion="5" refreshedVersion="5" minRefreshableVersion="3" recordCount="633" xr:uid="{00000000-000A-0000-FFFF-FFFF01000000}">
  <cacheSource type="worksheet">
    <worksheetSource ref="A1:AF1048576" sheet="Data"/>
  </cacheSource>
  <cacheFields count="32">
    <cacheField name="OrderID" numFmtId="0">
      <sharedItems containsBlank="1" count="632">
        <s v="ORD-2024-275203"/>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m/>
      </sharedItems>
    </cacheField>
    <cacheField name="OrderDate" numFmtId="14">
      <sharedItems containsNonDate="0" containsDate="1" containsString="0" containsBlank="1" minDate="2023-01-02T00:00:00" maxDate="2025-09-16T00:00:00"/>
    </cacheField>
    <cacheField name="OrderMonth" numFmtId="14">
      <sharedItems containsBlank="1"/>
    </cacheField>
    <cacheField name="OrderQuarter" numFmtId="14">
      <sharedItems containsBlank="1"/>
    </cacheField>
    <cacheField name="RequiredDate" numFmtId="14">
      <sharedItems containsNonDate="0" containsDate="1" containsString="0" containsBlank="1" minDate="2023-01-05T00:00:00" maxDate="2025-10-06T00:00:00"/>
    </cacheField>
    <cacheField name="Date_Check" numFmtId="14">
      <sharedItems containsBlank="1"/>
    </cacheField>
    <cacheField name="LeadTimeDays" numFmtId="1">
      <sharedItems containsString="0" containsBlank="1" containsNumber="1" containsInteger="1" minValue="-2" maxValue="30"/>
    </cacheField>
    <cacheField name="CleanedRequiredDates" numFmtId="0">
      <sharedItems containsNonDate="0" containsDate="1" containsString="0" containsBlank="1" minDate="2023-01-05T00:00:00" maxDate="2025-10-06T00:00:00"/>
    </cacheField>
    <cacheField name="Region" numFmtId="0">
      <sharedItems containsBlank="1"/>
    </cacheField>
    <cacheField name="RegionHierarchy" numFmtId="0">
      <sharedItems containsBlank="1"/>
    </cacheField>
    <cacheField name="Country_First SalesDate" numFmtId="0">
      <sharedItems containsBlank="1"/>
    </cacheField>
    <cacheField name="Country" numFmtId="0">
      <sharedItems containsBlank="1" count="13">
        <s v="Kenya"/>
        <s v="Nigeria"/>
        <s v="Japan"/>
        <s v="Canada"/>
        <s v="India"/>
        <s v="Brazil"/>
        <s v="Germany"/>
        <s v="France"/>
        <s v="United Kingdom"/>
        <s v="China"/>
        <s v="USA"/>
        <s v="South Africa"/>
        <m/>
      </sharedItems>
    </cacheField>
    <cacheField name="City" numFmtId="0">
      <sharedItems containsBlank="1"/>
    </cacheField>
    <cacheField name="CustomerSegment" numFmtId="0">
      <sharedItems containsBlank="1"/>
    </cacheField>
    <cacheField name="Channel" numFmtId="0">
      <sharedItems containsBlank="1"/>
    </cacheField>
    <cacheField name="Salesperson" numFmtId="0">
      <sharedItems containsBlank="1"/>
    </cacheField>
    <cacheField name="ProductCategory" numFmtId="0">
      <sharedItems containsBlank="1" count="8">
        <s v="Components"/>
        <s v="Printers"/>
        <s v="Networking"/>
        <s v="Phones"/>
        <s v="Laptops"/>
        <s v="Monitors"/>
        <s v="Accessories"/>
        <m/>
      </sharedItems>
    </cacheField>
    <cacheField name="SKU" numFmtId="0">
      <sharedItems containsBlank="1"/>
    </cacheField>
    <cacheField name="UnitCost" numFmtId="2">
      <sharedItems containsString="0" containsBlank="1" containsNumber="1" minValue="5.34" maxValue="1495.79"/>
    </cacheField>
    <cacheField name="UnitPrice" numFmtId="2">
      <sharedItems containsString="0" containsBlank="1" containsNumber="1" minValue="-33.659999999999997" maxValue="3661.07"/>
    </cacheField>
    <cacheField name="UnitPrice_Tag" numFmtId="2">
      <sharedItems containsBlank="1"/>
    </cacheField>
    <cacheField name="Clean Price" numFmtId="2">
      <sharedItems containsString="0" containsBlank="1" containsNumber="1" minValue="4.22" maxValue="3661.07"/>
    </cacheField>
    <cacheField name="PriceBand" numFmtId="2">
      <sharedItems containsBlank="1"/>
    </cacheField>
    <cacheField name="DiscountPct" numFmtId="2">
      <sharedItems containsString="0" containsBlank="1" containsNumber="1" minValue="0" maxValue="0.56499999999999995"/>
    </cacheField>
    <cacheField name="Discount_Tag" numFmtId="2">
      <sharedItems containsBlank="1"/>
    </cacheField>
    <cacheField name="Clean_DiscountPct" numFmtId="2">
      <sharedItems containsString="0" containsBlank="1" containsNumber="1" minValue="0" maxValue="0.3"/>
    </cacheField>
    <cacheField name="Quantity" numFmtId="2">
      <sharedItems containsString="0" containsBlank="1" containsNumber="1" containsInteger="1" minValue="2" maxValue="61"/>
    </cacheField>
    <cacheField name="GrossRevenue" numFmtId="0">
      <sharedItems containsString="0" containsBlank="1" containsNumber="1" minValue="18.659839999999999" maxValue="139277.83032000001"/>
    </cacheField>
    <cacheField name="CostofGoods" numFmtId="0">
      <sharedItems containsString="0" containsBlank="1" containsNumber="1" minValue="22" maxValue="83258.290000000008"/>
    </cacheField>
    <cacheField name="GrossProfit" numFmtId="0">
      <sharedItems containsString="0" containsBlank="1" containsNumber="1" minValue="-15655.657510000005" maxValue="65188.659999999996"/>
    </cacheField>
    <cacheField name="Marginct" numFmtId="0">
      <sharedItems containsString="0" containsBlank="1" containsNumber="1" minValue="-0.87167486187856302" maxValue="0.59672531214528945"/>
    </cacheField>
    <cacheField name="OnTime_7Days"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87.184742824073" createdVersion="5" refreshedVersion="5" minRefreshableVersion="3" recordCount="633" xr:uid="{00000000-000A-0000-FFFF-FFFF02000000}">
  <cacheSource type="worksheet">
    <worksheetSource ref="A1:AG1048576" sheet="Data"/>
  </cacheSource>
  <cacheFields count="33">
    <cacheField name="OrderID" numFmtId="0">
      <sharedItems containsBlank="1"/>
    </cacheField>
    <cacheField name="OrderDate" numFmtId="14">
      <sharedItems containsNonDate="0" containsDate="1" containsString="0" containsBlank="1" minDate="2023-01-02T00:00:00" maxDate="2025-09-16T00:00:00"/>
    </cacheField>
    <cacheField name="OrderMonth" numFmtId="14">
      <sharedItems containsBlank="1" count="34">
        <s v="Mar-2024"/>
        <s v="Oct-2024"/>
        <s v="Feb-2023"/>
        <s v="Mar-2025"/>
        <s v="Dec-2023"/>
        <s v="Jan-2023"/>
        <s v="Dec-2024"/>
        <s v="May-2024"/>
        <s v="May-2025"/>
        <s v="Jan-2024"/>
        <s v="Jan-2025"/>
        <s v="Sep-2025"/>
        <s v="Apr-2023"/>
        <s v="Jul-2025"/>
        <s v="Jul-2024"/>
        <s v="May-2023"/>
        <s v="Jun-2025"/>
        <s v="Jun-2024"/>
        <s v="Nov-2024"/>
        <s v="Apr-2025"/>
        <s v="Apr-2024"/>
        <s v="Aug-2024"/>
        <s v="Mar-2023"/>
        <s v="Jun-2023"/>
        <s v="Jul-2023"/>
        <s v="Aug-2023"/>
        <s v="Feb-2025"/>
        <s v="Sep-2023"/>
        <s v="Aug-2025"/>
        <s v="Sep-2024"/>
        <s v="Nov-2023"/>
        <s v="Feb-2024"/>
        <s v="Oct-2023"/>
        <m/>
      </sharedItems>
    </cacheField>
    <cacheField name="OrderQuarter" numFmtId="14">
      <sharedItems containsBlank="1"/>
    </cacheField>
    <cacheField name="RequiredDate" numFmtId="14">
      <sharedItems containsNonDate="0" containsDate="1" containsString="0" containsBlank="1" minDate="2023-01-05T00:00:00" maxDate="2025-10-06T00:00:00"/>
    </cacheField>
    <cacheField name="Date_Check" numFmtId="14">
      <sharedItems containsBlank="1"/>
    </cacheField>
    <cacheField name="LeadTimeDays" numFmtId="1">
      <sharedItems containsString="0" containsBlank="1" containsNumber="1" containsInteger="1" minValue="-2" maxValue="30"/>
    </cacheField>
    <cacheField name="CleanedRequiredDates" numFmtId="0">
      <sharedItems containsNonDate="0" containsDate="1" containsString="0" containsBlank="1" minDate="2023-01-05T00:00:00" maxDate="2025-10-06T00:00:00"/>
    </cacheField>
    <cacheField name="Region" numFmtId="0">
      <sharedItems containsBlank="1" count="5">
        <s v="Africa"/>
        <s v="Asia"/>
        <s v="Americas"/>
        <s v="Europe"/>
        <m/>
      </sharedItems>
    </cacheField>
    <cacheField name="RegionHierarchy" numFmtId="0">
      <sharedItems containsBlank="1"/>
    </cacheField>
    <cacheField name="Country_First SalesDate" numFmtId="0">
      <sharedItems containsBlank="1"/>
    </cacheField>
    <cacheField name="Country" numFmtId="0">
      <sharedItems containsBlank="1"/>
    </cacheField>
    <cacheField name="City" numFmtId="0">
      <sharedItems containsBlank="1"/>
    </cacheField>
    <cacheField name="CustomerSegment" numFmtId="0">
      <sharedItems containsBlank="1"/>
    </cacheField>
    <cacheField name="Channel" numFmtId="0">
      <sharedItems containsBlank="1"/>
    </cacheField>
    <cacheField name="Salesperson" numFmtId="0">
      <sharedItems containsBlank="1" count="17">
        <s v="C. Otieno"/>
        <s v="J. Njeri"/>
        <s v="I. Johnson"/>
        <s v="G. Dubois"/>
        <s v="L. Okafor"/>
        <s v="B. Chen"/>
        <s v="E. Garcia"/>
        <s v="O. Wang"/>
        <s v="A. Patel"/>
        <s v="F. Müller"/>
        <s v="H. Kim"/>
        <s v="K. Singh"/>
        <s v="M. Rossi"/>
        <s v="N. Brown"/>
        <s v="D. Smith"/>
        <s v="Unassigned"/>
        <m/>
      </sharedItems>
    </cacheField>
    <cacheField name="ProductCategory" numFmtId="0">
      <sharedItems containsBlank="1"/>
    </cacheField>
    <cacheField name="SKU" numFmtId="0">
      <sharedItems containsBlank="1"/>
    </cacheField>
    <cacheField name="UnitCost" numFmtId="2">
      <sharedItems containsString="0" containsBlank="1" containsNumber="1" minValue="5.34" maxValue="1495.79"/>
    </cacheField>
    <cacheField name="UnitPrice" numFmtId="2">
      <sharedItems containsString="0" containsBlank="1" containsNumber="1" minValue="-33.659999999999997" maxValue="3661.07"/>
    </cacheField>
    <cacheField name="UnitPrice_Tag" numFmtId="2">
      <sharedItems containsBlank="1"/>
    </cacheField>
    <cacheField name="Clean Price" numFmtId="2">
      <sharedItems containsString="0" containsBlank="1" containsNumber="1" minValue="4.22" maxValue="3661.07"/>
    </cacheField>
    <cacheField name="PriceBand" numFmtId="2">
      <sharedItems containsBlank="1"/>
    </cacheField>
    <cacheField name="DiscountPct" numFmtId="2">
      <sharedItems containsString="0" containsBlank="1" containsNumber="1" minValue="0" maxValue="0.56499999999999995"/>
    </cacheField>
    <cacheField name="Discount_Tag" numFmtId="2">
      <sharedItems containsBlank="1"/>
    </cacheField>
    <cacheField name="Clean_DiscountPct" numFmtId="2">
      <sharedItems containsString="0" containsBlank="1" containsNumber="1" minValue="0" maxValue="0.3"/>
    </cacheField>
    <cacheField name="Quantity" numFmtId="2">
      <sharedItems containsString="0" containsBlank="1" containsNumber="1" containsInteger="1" minValue="2" maxValue="61"/>
    </cacheField>
    <cacheField name="GrossRevenue" numFmtId="0">
      <sharedItems containsString="0" containsBlank="1" containsNumber="1" minValue="18.659839999999999" maxValue="139277.83032000001"/>
    </cacheField>
    <cacheField name="CostofGoods" numFmtId="0">
      <sharedItems containsString="0" containsBlank="1" containsNumber="1" minValue="22" maxValue="83258.290000000008"/>
    </cacheField>
    <cacheField name="GrossProfit" numFmtId="0">
      <sharedItems containsString="0" containsBlank="1" containsNumber="1" minValue="-15655.657510000005" maxValue="65188.659999999996"/>
    </cacheField>
    <cacheField name="Marginct" numFmtId="0">
      <sharedItems containsString="0" containsBlank="1" containsNumber="1" minValue="-0.87167486187856302" maxValue="0.59672531214528945"/>
    </cacheField>
    <cacheField name="OnTime_7Days" numFmtId="0">
      <sharedItems containsString="0" containsBlank="1" containsNumber="1" containsInteger="1" minValue="0" maxValue="1"/>
    </cacheField>
    <cacheField name="HighDiscount"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90.050221064812" createdVersion="5" refreshedVersion="5" minRefreshableVersion="3" recordCount="633" xr:uid="{00000000-000A-0000-FFFF-FFFF03000000}">
  <cacheSource type="worksheet">
    <worksheetSource ref="A1:AG634" sheet="Data"/>
  </cacheSource>
  <cacheFields count="33">
    <cacheField name="OrderID" numFmtId="0">
      <sharedItems containsMixedTypes="1" containsNumber="1" containsInteger="1" minValue="0" maxValue="0"/>
    </cacheField>
    <cacheField name="OrderDate" numFmtId="14">
      <sharedItems containsNonDate="0" containsDate="1" containsString="0" containsBlank="1" minDate="2023-01-02T00:00:00" maxDate="2025-09-16T00:00:00"/>
    </cacheField>
    <cacheField name="OrderMonth" numFmtId="14">
      <sharedItems containsBlank="1" count="34">
        <s v="Mar-2024"/>
        <s v="Oct-2024"/>
        <s v="Feb-2023"/>
        <s v="Mar-2025"/>
        <s v="Dec-2023"/>
        <s v="Jan-2023"/>
        <s v="Dec-2024"/>
        <s v="May-2024"/>
        <s v="May-2025"/>
        <s v="Jan-2024"/>
        <s v="Jan-2025"/>
        <s v="Sep-2025"/>
        <s v="Apr-2023"/>
        <s v="Jul-2025"/>
        <s v="Jul-2024"/>
        <s v="May-2023"/>
        <s v="Jun-2025"/>
        <s v="Jun-2024"/>
        <s v="Nov-2024"/>
        <s v="Apr-2025"/>
        <s v="Apr-2024"/>
        <s v="Aug-2024"/>
        <s v="Mar-2023"/>
        <s v="Jun-2023"/>
        <s v="Jul-2023"/>
        <s v="Aug-2023"/>
        <s v="Feb-2025"/>
        <s v="Sep-2023"/>
        <s v="Aug-2025"/>
        <s v="Sep-2024"/>
        <s v="Nov-2023"/>
        <s v="Feb-2024"/>
        <s v="Oct-2023"/>
        <m/>
      </sharedItems>
    </cacheField>
    <cacheField name="OrderQuarter" numFmtId="14">
      <sharedItems containsBlank="1"/>
    </cacheField>
    <cacheField name="RequiredDate" numFmtId="14">
      <sharedItems containsNonDate="0" containsDate="1" containsString="0" containsBlank="1" minDate="2023-01-05T00:00:00" maxDate="2025-10-06T00:00:00"/>
    </cacheField>
    <cacheField name="Date_Check" numFmtId="14">
      <sharedItems containsBlank="1"/>
    </cacheField>
    <cacheField name="LeadTimeDays" numFmtId="1">
      <sharedItems containsString="0" containsBlank="1" containsNumber="1" containsInteger="1" minValue="-2" maxValue="30"/>
    </cacheField>
    <cacheField name="CleanedRequiredDates" numFmtId="0">
      <sharedItems containsNonDate="0" containsDate="1" containsString="0" containsBlank="1" minDate="2023-01-05T00:00:00" maxDate="2025-10-06T00:00:00"/>
    </cacheField>
    <cacheField name="Region" numFmtId="0">
      <sharedItems containsBlank="1" count="5">
        <s v="Africa"/>
        <s v="Asia"/>
        <s v="Americas"/>
        <s v="Europe"/>
        <m/>
      </sharedItems>
    </cacheField>
    <cacheField name="RegionHierarchy" numFmtId="0">
      <sharedItems containsBlank="1"/>
    </cacheField>
    <cacheField name="Country_First SalesDate" numFmtId="0">
      <sharedItems containsBlank="1"/>
    </cacheField>
    <cacheField name="Country" numFmtId="0">
      <sharedItems containsBlank="1" count="13">
        <s v="Kenya"/>
        <s v="Nigeria"/>
        <s v="Japan"/>
        <s v="Canada"/>
        <s v="India"/>
        <s v="Brazil"/>
        <s v="Germany"/>
        <s v="France"/>
        <s v="United Kingdom"/>
        <s v="China"/>
        <s v="USA"/>
        <s v="South Africa"/>
        <m/>
      </sharedItems>
    </cacheField>
    <cacheField name="City" numFmtId="0">
      <sharedItems containsBlank="1"/>
    </cacheField>
    <cacheField name="CustomerSegment" numFmtId="0">
      <sharedItems containsBlank="1"/>
    </cacheField>
    <cacheField name="Channel" numFmtId="0">
      <sharedItems containsBlank="1" count="7">
        <s v="Retail"/>
        <s v="Online"/>
        <s v="Marketplace"/>
        <s v="Distributor"/>
        <s v="Direct"/>
        <s v="Unknown"/>
        <m/>
      </sharedItems>
    </cacheField>
    <cacheField name="Salesperson" numFmtId="0">
      <sharedItems containsBlank="1" count="17">
        <s v="C. Otieno"/>
        <s v="J. Njeri"/>
        <s v="I. Johnson"/>
        <s v="G. Dubois"/>
        <s v="L. Okafor"/>
        <s v="B. Chen"/>
        <s v="E. Garcia"/>
        <s v="O. Wang"/>
        <s v="A. Patel"/>
        <s v="F. Müller"/>
        <s v="H. Kim"/>
        <s v="K. Singh"/>
        <s v="M. Rossi"/>
        <s v="N. Brown"/>
        <s v="D. Smith"/>
        <s v="Unassigned"/>
        <m/>
      </sharedItems>
    </cacheField>
    <cacheField name="ProductCategory" numFmtId="0">
      <sharedItems containsBlank="1" count="8">
        <s v="Components"/>
        <s v="Printers"/>
        <s v="Networking"/>
        <s v="Phones"/>
        <s v="Laptops"/>
        <s v="Monitors"/>
        <s v="Accessories"/>
        <m/>
      </sharedItems>
    </cacheField>
    <cacheField name="SKU" numFmtId="0">
      <sharedItems containsBlank="1" count="631">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m/>
      </sharedItems>
    </cacheField>
    <cacheField name="UnitCost" numFmtId="2">
      <sharedItems containsString="0" containsBlank="1" containsNumber="1" minValue="5.34" maxValue="1495.79"/>
    </cacheField>
    <cacheField name="UnitPrice" numFmtId="2">
      <sharedItems containsString="0" containsBlank="1" containsNumber="1" minValue="-33.659999999999997" maxValue="3661.07"/>
    </cacheField>
    <cacheField name="UnitPrice_Tag" numFmtId="2">
      <sharedItems containsBlank="1"/>
    </cacheField>
    <cacheField name="Clean Unit Price" numFmtId="2">
      <sharedItems containsString="0" containsBlank="1" containsNumber="1" minValue="4.22" maxValue="3661.07"/>
    </cacheField>
    <cacheField name="PriceBand" numFmtId="2">
      <sharedItems containsBlank="1"/>
    </cacheField>
    <cacheField name="DiscountPct" numFmtId="2">
      <sharedItems containsString="0" containsBlank="1" containsNumber="1" minValue="0" maxValue="0.56499999999999995"/>
    </cacheField>
    <cacheField name="Discount_Tag" numFmtId="2">
      <sharedItems containsBlank="1"/>
    </cacheField>
    <cacheField name="Clean_DiscountPct" numFmtId="2">
      <sharedItems containsString="0" containsBlank="1" containsNumber="1" minValue="0" maxValue="0.3" count="223">
        <n v="0.112"/>
        <n v="0.23699999999999999"/>
        <n v="0.13100000000000001"/>
        <n v="7.1999999999999995E-2"/>
        <n v="0.10199999999999999"/>
        <n v="0"/>
        <n v="0.14699999999999999"/>
        <n v="0.19400000000000001"/>
        <n v="3.1E-2"/>
        <n v="0.14899999999999999"/>
        <n v="6.0000000000000001E-3"/>
        <n v="0.25"/>
        <n v="9.4E-2"/>
        <n v="7.3999999999999996E-2"/>
        <n v="0.109"/>
        <n v="0.183"/>
        <n v="3.7999999999999999E-2"/>
        <n v="0.14299999999999999"/>
        <n v="0.12"/>
        <n v="0.01"/>
        <n v="7.0000000000000001E-3"/>
        <n v="0.16800000000000001"/>
        <n v="0.125"/>
        <n v="0.13900000000000001"/>
        <n v="8.6999999999999994E-2"/>
        <n v="8.8999999999999996E-2"/>
        <n v="8.4000000000000005E-2"/>
        <n v="0.10100000000000001"/>
        <n v="0.24299999999999999"/>
        <n v="0.13600000000000001"/>
        <n v="0.17499999999999999"/>
        <n v="0.129"/>
        <n v="3.6999999999999998E-2"/>
        <n v="0.3"/>
        <n v="0.14599999999999999"/>
        <n v="0.182"/>
        <n v="0.16900000000000001"/>
        <n v="0.187"/>
        <n v="0.126"/>
        <n v="0.29199999999999998"/>
        <n v="0.29499999999999998"/>
        <n v="0.14399999999999999"/>
        <n v="3.5000000000000003E-2"/>
        <n v="7.4999999999999997E-2"/>
        <n v="0.20499999999999999"/>
        <n v="0.11899999999999999"/>
        <n v="0.11"/>
        <n v="0.2"/>
        <n v="0.255"/>
        <n v="0.13"/>
        <n v="0.184"/>
        <n v="0.189"/>
        <n v="0.105"/>
        <n v="0.20399999999999999"/>
        <n v="0.05"/>
        <n v="6.8000000000000005E-2"/>
        <n v="0.14199999999999999"/>
        <n v="0.185"/>
        <n v="4.7E-2"/>
        <n v="0.114"/>
        <n v="0.13400000000000001"/>
        <n v="0.25700000000000001"/>
        <n v="0.186"/>
        <n v="0.161"/>
        <n v="0.24099999999999999"/>
        <n v="0.215"/>
        <n v="0.104"/>
        <n v="7.0000000000000007E-2"/>
        <n v="0.154"/>
        <n v="0.188"/>
        <n v="0.03"/>
        <n v="6.6000000000000003E-2"/>
        <n v="9.6000000000000002E-2"/>
        <n v="9.9000000000000005E-2"/>
        <n v="0.16"/>
        <n v="3.4000000000000002E-2"/>
        <n v="9.1999999999999998E-2"/>
        <n v="0.14000000000000001"/>
        <n v="0.18"/>
        <n v="0.27800000000000002"/>
        <n v="0.13700000000000001"/>
        <n v="0.123"/>
        <n v="0.22900000000000001"/>
        <n v="1.2E-2"/>
        <n v="0.11799999999999999"/>
        <n v="0.108"/>
        <n v="0.157"/>
        <n v="7.0999999999999994E-2"/>
        <n v="4.2999999999999997E-2"/>
        <n v="6.9000000000000006E-2"/>
        <n v="0.20300000000000001"/>
        <n v="5.7000000000000002E-2"/>
        <n v="7.2999999999999995E-2"/>
        <n v="0.17899999999999999"/>
        <n v="0.111"/>
        <n v="6.3E-2"/>
        <n v="0.22"/>
        <n v="0.192"/>
        <n v="8.9999999999999993E-3"/>
        <n v="0.26500000000000001"/>
        <n v="0.25900000000000001"/>
        <n v="0.151"/>
        <n v="0.245"/>
        <n v="8.2000000000000003E-2"/>
        <n v="0.107"/>
        <n v="2.1000000000000001E-2"/>
        <n v="4.4999999999999998E-2"/>
        <n v="1.7999999999999999E-2"/>
        <n v="2.5000000000000001E-2"/>
        <n v="0.127"/>
        <n v="0.18099999999999999"/>
        <n v="0.13300000000000001"/>
        <n v="0.02"/>
        <n v="5.2999999999999999E-2"/>
        <n v="0.19700000000000001"/>
        <n v="0.254"/>
        <n v="7.8E-2"/>
        <n v="2.1999999999999999E-2"/>
        <n v="9.0999999999999998E-2"/>
        <n v="0.17699999999999999"/>
        <n v="5.6000000000000001E-2"/>
        <n v="0.17299999999999999"/>
        <n v="0.21199999999999999"/>
        <n v="0.19600000000000001"/>
        <n v="0.153"/>
        <n v="0.21099999999999999"/>
        <n v="0.23300000000000001"/>
        <n v="0.23599999999999999"/>
        <n v="0.159"/>
        <n v="5.0999999999999997E-2"/>
        <n v="0.155"/>
        <n v="0.25800000000000001"/>
        <n v="5.5E-2"/>
        <n v="2.9000000000000001E-2"/>
        <n v="0.14799999999999999"/>
        <n v="0.152"/>
        <n v="0.128"/>
        <n v="0.20100000000000001"/>
        <n v="0.113"/>
        <n v="4.0000000000000001E-3"/>
        <n v="0.26600000000000001"/>
        <n v="9.2999999999999999E-2"/>
        <n v="6.7000000000000004E-2"/>
        <n v="0.11600000000000001"/>
        <n v="0.17199999999999999"/>
        <n v="0.23499999999999999"/>
        <n v="8.5999999999999993E-2"/>
        <n v="9.5000000000000001E-2"/>
        <n v="0.23799999999999999"/>
        <n v="0.16700000000000001"/>
        <n v="0.26300000000000001"/>
        <n v="0.22500000000000001"/>
        <n v="0.122"/>
        <n v="0.216"/>
        <n v="0.17399999999999999"/>
        <n v="0.16400000000000001"/>
        <n v="0.13500000000000001"/>
        <n v="0.115"/>
        <n v="0.13800000000000001"/>
        <n v="0.156"/>
        <n v="0.20699999999999999"/>
        <n v="5.8999999999999997E-2"/>
        <n v="0.08"/>
        <n v="0.1"/>
        <n v="0.17599999999999999"/>
        <n v="8.7999999999999995E-2"/>
        <n v="0.09"/>
        <n v="0.14099999999999999"/>
        <n v="1.4E-2"/>
        <n v="7.5999999999999998E-2"/>
        <n v="0.10299999999999999"/>
        <n v="0.121"/>
        <n v="4.2000000000000003E-2"/>
        <n v="6.5000000000000002E-2"/>
        <n v="0.23899999999999999"/>
        <n v="0.27"/>
        <n v="2.8000000000000001E-2"/>
        <n v="0.14499999999999999"/>
        <n v="0.158"/>
        <n v="0.21"/>
        <n v="0.24"/>
        <n v="0.29899999999999999"/>
        <n v="0.28199999999999997"/>
        <n v="0.26100000000000001"/>
        <n v="3.9E-2"/>
        <n v="0.17"/>
        <n v="0.27200000000000002"/>
        <n v="0.13200000000000001"/>
        <n v="0.106"/>
        <n v="5.8000000000000003E-2"/>
        <n v="0.25600000000000001"/>
        <n v="3.2000000000000001E-2"/>
        <n v="0.16300000000000001"/>
        <n v="0.19"/>
        <n v="9.8000000000000004E-2"/>
        <n v="8.3000000000000004E-2"/>
        <n v="6.4000000000000001E-2"/>
        <n v="7.6999999999999999E-2"/>
        <n v="0.217"/>
        <n v="0.22600000000000001"/>
        <n v="1.9E-2"/>
        <n v="0.214"/>
        <n v="4.1000000000000002E-2"/>
        <n v="0.15"/>
        <n v="0.29299999999999998"/>
        <n v="0.16500000000000001"/>
        <n v="1.7000000000000001E-2"/>
        <n v="0.124"/>
        <n v="0.23"/>
        <n v="4.5999999999999999E-2"/>
        <n v="4.9000000000000002E-2"/>
        <n v="0.222"/>
        <n v="0.218"/>
        <n v="0.20899999999999999"/>
        <n v="0.248"/>
        <n v="4.3999999999999997E-2"/>
        <n v="0.20799999999999999"/>
        <n v="5.3999999999999999E-2"/>
        <n v="9.7000000000000003E-2"/>
        <n v="0.17100000000000001"/>
        <n v="8.1000000000000003E-2"/>
        <n v="6.2E-2"/>
        <m/>
      </sharedItems>
    </cacheField>
    <cacheField name="Quantity" numFmtId="2">
      <sharedItems containsString="0" containsBlank="1" containsNumber="1" containsInteger="1" minValue="2" maxValue="61"/>
    </cacheField>
    <cacheField name="GrossRevenue" numFmtId="0">
      <sharedItems containsSemiMixedTypes="0" containsString="0" containsNumber="1" minValue="18.659839999999999" maxValue="11053963.031096829" count="633">
        <n v="4866.3287999999993"/>
        <n v="17960.432489999999"/>
        <n v="15071.299811162788"/>
        <n v="5225.2710400000005"/>
        <n v="10957.9797"/>
        <n v="4141.7599999999993"/>
        <n v="2886.4496399999998"/>
        <n v="685.06776000000002"/>
        <n v="14714.12934"/>
        <n v="60928.502359999999"/>
        <n v="16006.14344"/>
        <n v="10370.549999999999"/>
        <n v="4968.5039999999999"/>
        <n v="21585.15"/>
        <n v="7578.84"/>
        <n v="7090.5672000000004"/>
        <n v="25948.414799999995"/>
        <n v="35367.211040000002"/>
        <n v="38096.18406"/>
        <n v="39263.702919999996"/>
        <n v="23782.310720000001"/>
        <n v="19903.585040000002"/>
        <n v="10936.992"/>
        <n v="20225.2248"/>
        <n v="24894.430559999997"/>
        <n v="8596.2905599999995"/>
        <n v="1756.6999999999998"/>
        <n v="3980.7075"/>
        <n v="3913.2000000000003"/>
        <n v="20084.133720000002"/>
        <n v="9805.8573800000013"/>
        <n v="26150.364320000001"/>
        <n v="9647.3852800000004"/>
        <n v="13218.5"/>
        <n v="27331.829999999998"/>
        <n v="6631.6443100000006"/>
        <n v="18957.37689"/>
        <n v="11995.153920000001"/>
        <n v="14968.239"/>
        <n v="3562.1983800000003"/>
        <n v="41106.800970000004"/>
        <n v="10558.74"/>
        <n v="31404.1"/>
        <n v="10666.229420000001"/>
        <n v="17930.494560000003"/>
        <n v="32506.559399999998"/>
        <n v="7135.57"/>
        <n v="109244"/>
        <n v="35621.302319999995"/>
        <n v="34444.462359999998"/>
        <n v="14894.903999999999"/>
        <n v="599.53200000000004"/>
        <n v="5785.8"/>
        <n v="2518.8755800000004"/>
        <n v="215.19839999999996"/>
        <n v="31680.795320000001"/>
        <n v="29659.68995"/>
        <n v="4790.1068000000005"/>
        <n v="64336.27104545453"/>
        <n v="4569.8508000000002"/>
        <n v="33687.501800000005"/>
        <n v="27701.570400000001"/>
        <n v="10947.904"/>
        <n v="72665.817450000002"/>
        <n v="26304.275999999998"/>
        <n v="12153.267360000002"/>
        <n v="16013.681599999998"/>
        <n v="14287.896349999999"/>
        <n v="8671.7354400000004"/>
        <n v="8930.7124999999996"/>
        <n v="10647.727199999999"/>
        <n v="6393.0952799999995"/>
        <n v="20171.63305"/>
        <n v="9373.460219999999"/>
        <n v="4717.72"/>
        <n v="6874.4828600000001"/>
        <n v="35396.277799999996"/>
        <n v="33062.236480000007"/>
        <n v="10455.7932"/>
        <n v="4877.1379800000004"/>
        <n v="60292.805299999993"/>
        <n v="18258.868320000001"/>
        <n v="5331.6696000000002"/>
        <n v="524.81174999999996"/>
        <n v="21062.61248"/>
        <n v="13146.470699999998"/>
        <n v="14197.064400000001"/>
        <n v="1654.8966000000003"/>
        <n v="11842.8464"/>
        <n v="624.43503999999996"/>
        <n v="8324.8326000000015"/>
        <n v="19510.808000000001"/>
        <n v="10161.46624"/>
        <n v="20079.343620000003"/>
        <n v="5487.6023999999998"/>
        <n v="43209.006119999991"/>
        <n v="147.00756000000001"/>
        <n v="34139.159999999996"/>
        <n v="5328.4890400000004"/>
        <n v="25502.910479999999"/>
        <n v="52780.07"/>
        <n v="6324.5775999999996"/>
        <n v="13669.81"/>
        <n v="5960.3340000000007"/>
        <n v="12335.654849999999"/>
        <n v="12080.215199999999"/>
        <n v="518.65436999999997"/>
        <n v="23687.524440000001"/>
        <n v="1660.3999999999999"/>
        <n v="549.80010000000004"/>
        <n v="27676.35"/>
        <n v="30151.675319999998"/>
        <n v="34.689059999999998"/>
        <n v="2117.4834999999998"/>
        <n v="1499.22"/>
        <n v="24523.006720000001"/>
        <n v="765.99195000000009"/>
        <n v="65119.329599999997"/>
        <n v="5769.2758000000003"/>
        <n v="592.92849000000001"/>
        <n v="39516.804389999998"/>
        <n v="22983.34563"/>
        <n v="16061.972879999999"/>
        <n v="10817.3416"/>
        <n v="2072.9258400000003"/>
        <n v="8909.8587200000002"/>
        <n v="65111.38614000001"/>
        <n v="853.32276999999988"/>
        <n v="2642.1686999999997"/>
        <n v="16071.44868"/>
        <n v="7703.8640800000003"/>
        <n v="4417.8334199999999"/>
        <n v="8336.8896000000004"/>
        <n v="3494.4040799999998"/>
        <n v="12031.491680000001"/>
        <n v="27370.540859999997"/>
        <n v="9698.1638399999993"/>
        <n v="4336.2427499999994"/>
        <n v="35567.737920000007"/>
        <n v="1446.9507000000001"/>
        <n v="87404.929919999995"/>
        <n v="8211.6342000000004"/>
        <n v="32086.37586"/>
        <n v="9969.4201499999999"/>
        <n v="25672.127039999999"/>
        <n v="12954.358080000002"/>
        <n v="3562.9028999999996"/>
        <n v="13321.14"/>
        <n v="14877.464000000002"/>
        <n v="42495.805439999996"/>
        <n v="7901.5041599999995"/>
        <n v="21572.590500000002"/>
        <n v="4139.8127999999997"/>
        <n v="29654.83008"/>
        <n v="11015.510400000003"/>
        <n v="8909.6646800000017"/>
        <n v="7203.8047000000006"/>
        <n v="24147.922500000001"/>
        <n v="10382.65884"/>
        <n v="29263.754519999995"/>
        <n v="22044.871499999997"/>
        <n v="5650.1744000000008"/>
        <n v="8154.5511600000009"/>
        <n v="12194.714"/>
        <n v="11851.806399999999"/>
        <n v="85637.740319999997"/>
        <n v="14448.298699999998"/>
        <n v="12413.98458"/>
        <n v="6824.2884000000004"/>
        <n v="2316.2621999999997"/>
        <n v="14549.029120000001"/>
        <n v="8928.9795999999988"/>
        <n v="97.0154"/>
        <n v="31556.187599999997"/>
        <n v="1952.6356799999999"/>
        <n v="92715.25"/>
        <n v="15656.47056"/>
        <n v="321.93290999999999"/>
        <n v="7098.5495999999994"/>
        <n v="4420.5961799999995"/>
        <n v="18.659839999999999"/>
        <n v="41352.246200000009"/>
        <n v="7689.4560000000001"/>
        <n v="8698.8768300000011"/>
        <n v="26408.63841"/>
        <n v="10388.429999999998"/>
        <n v="4831.9464600000001"/>
        <n v="26759.28775"/>
        <n v="28072.190160000002"/>
        <n v="8590.7094000000016"/>
        <n v="19542.975350000001"/>
        <n v="8763.2849999999999"/>
        <n v="24374.594880000001"/>
        <n v="4402.1164799999997"/>
        <n v="3928.3797600000003"/>
        <n v="31191.64716"/>
        <n v="21679.749799999998"/>
        <n v="11326.846439999999"/>
        <n v="8349.2224200000001"/>
        <n v="55880.483749999999"/>
        <n v="14963.769179999999"/>
        <n v="4637.7968000000001"/>
        <n v="25299.040000000001"/>
        <n v="47962.717579999997"/>
        <n v="25553.782800000001"/>
        <n v="26131.70736"/>
        <n v="6702.3501999999999"/>
        <n v="28386.015839999996"/>
        <n v="15825.399369999997"/>
        <n v="17847.907199999998"/>
        <n v="18061.204320000004"/>
        <n v="1774.8072"/>
        <n v="6984.8246399999998"/>
        <n v="24223.05"/>
        <n v="7854.6693599999999"/>
        <n v="15253.069799999999"/>
        <n v="7738.9596900000006"/>
        <n v="2231.6467200000002"/>
        <n v="6535.6324800000002"/>
        <n v="28211.92124"/>
        <n v="13519.529099999998"/>
        <n v="908.03700000000003"/>
        <n v="4503.4363999999996"/>
        <n v="66988.771199999988"/>
        <n v="15490.527"/>
        <n v="21573.6495"/>
        <n v="30479.418970000002"/>
        <n v="5533.6230000000005"/>
        <n v="16609.090809999998"/>
        <n v="7446.5209000000004"/>
        <n v="667.15008"/>
        <n v="5814.6927299999998"/>
        <n v="2879.9836"/>
        <n v="5280.8577599999999"/>
        <n v="14269.848599999999"/>
        <n v="17359.804799999998"/>
        <n v="37038.581760000001"/>
        <n v="139277.83032000001"/>
        <n v="6684.1875"/>
        <n v="3823.5108"/>
        <n v="4436.6291200000005"/>
        <n v="9684.8756000000012"/>
        <n v="34082.864639999993"/>
        <n v="748.22303999999997"/>
        <n v="12248.675999999999"/>
        <n v="2909.8689199999999"/>
        <n v="9774.3888000000006"/>
        <n v="607.30668000000003"/>
        <n v="3592.04"/>
        <n v="11813.604160000001"/>
        <n v="12186.368600000002"/>
        <n v="17453.3436"/>
        <n v="17689.623"/>
        <n v="25483.91488"/>
        <n v="6468.2751599999992"/>
        <n v="24161.205600000001"/>
        <n v="19073.059649999999"/>
        <n v="2394.1605599999998"/>
        <n v="4375.3620000000001"/>
        <n v="7568.9632000000001"/>
        <n v="22882.675440000003"/>
        <n v="17964.4038"/>
        <n v="8186.057600000001"/>
        <n v="560.36831999999993"/>
        <n v="40139.874619999995"/>
        <n v="12597.52224"/>
        <n v="38818.760160000005"/>
        <n v="17594.028880000002"/>
        <n v="6946.8"/>
        <n v="7678.2113999999992"/>
        <n v="7235.2134999999998"/>
        <n v="7120.6486400000003"/>
        <n v="34632.106319999999"/>
        <n v="29536.716"/>
        <n v="11417.429099999999"/>
        <n v="8567.3924999999999"/>
        <n v="79548.755999999994"/>
        <n v="6066.54648"/>
        <n v="34840.344000000005"/>
        <n v="8907.6924999999992"/>
        <n v="17441.021520000002"/>
        <n v="13360.438"/>
        <n v="667.74"/>
        <n v="11696.156879999999"/>
        <n v="15505.479600000001"/>
        <n v="3978.6474000000003"/>
        <n v="76.138720000000006"/>
        <n v="20028.787380000002"/>
        <n v="26765.040239999998"/>
        <n v="10456.416880000001"/>
        <n v="19066.045319999997"/>
        <n v="1098.9470800000001"/>
        <n v="23375.594060000003"/>
        <n v="7382.1450000000004"/>
        <n v="8903.4839999999986"/>
        <n v="20455.985130000001"/>
        <n v="4241.88105"/>
        <n v="3190.8713200000002"/>
        <n v="66.920760000000001"/>
        <n v="12699.28"/>
        <n v="25577.274079999999"/>
        <n v="9866.3104799999983"/>
        <n v="39686.4182"/>
        <n v="8093.4784"/>
        <n v="5932.7856000000002"/>
        <n v="1641.7107199999998"/>
        <n v="43084.872000000003"/>
        <n v="3644.3212800000006"/>
        <n v="5334.9141999999993"/>
        <n v="9847.2358600000007"/>
        <n v="30799.273800000003"/>
        <n v="879.05840000000001"/>
        <n v="11283.400799999999"/>
        <n v="40325.31"/>
        <n v="5032.4433599999993"/>
        <n v="8780.5809000000008"/>
        <n v="9062.34692"/>
        <n v="16306.59375"/>
        <n v="2915.4540999999999"/>
        <n v="53034.364139999991"/>
        <n v="22380.204000000002"/>
        <n v="7493.1076000000012"/>
        <n v="39546.774539999999"/>
        <n v="703.2428000000001"/>
        <n v="26015.449459999996"/>
        <n v="9829.0483199999999"/>
        <n v="2373.9623200000001"/>
        <n v="3799.8031499999997"/>
        <n v="6667.9199999999983"/>
        <n v="27756.432000000001"/>
        <n v="2537.2908000000002"/>
        <n v="8764.4065599999994"/>
        <n v="7105.3528000000006"/>
        <n v="5610.0923999999995"/>
        <n v="4856.35725"/>
        <n v="16219.34496"/>
        <n v="28247.74656"/>
        <n v="38535.955099999999"/>
        <n v="3021.5016000000001"/>
        <n v="26106.613960000002"/>
        <n v="27465.647999999997"/>
        <n v="1115.1975999999997"/>
        <n v="20053.439999999999"/>
        <n v="8938.8996600000009"/>
        <n v="3175.1547799999998"/>
        <n v="13637.287999999999"/>
        <n v="79082.507010000001"/>
        <n v="2206.8000000000002"/>
        <n v="27158.894079999998"/>
        <n v="12236.874600000001"/>
        <n v="4132.0325200000007"/>
        <n v="16487.22781"/>
        <n v="26552.60298"/>
        <n v="34816.968000000001"/>
        <n v="1122.0896000000002"/>
        <n v="23195.01828"/>
        <n v="43907.94"/>
        <n v="49336.511399999996"/>
        <n v="4071.8"/>
        <n v="14813.731920000002"/>
        <n v="35167.7448"/>
        <n v="4804.4682400000002"/>
        <n v="82514.711519999997"/>
        <n v="7327.9533600000004"/>
        <n v="12717.311040000001"/>
        <n v="21584.693520000001"/>
        <n v="19547.329920000004"/>
        <n v="18554.370299999999"/>
        <n v="13784.586000000001"/>
        <n v="4569.5735999999997"/>
        <n v="4133.25108"/>
        <n v="16873.45"/>
        <n v="32280.32474"/>
        <n v="4117.4880599999997"/>
        <n v="31005.24768"/>
        <n v="38422.022320000004"/>
        <n v="43553.493060000001"/>
        <n v="15348.702599999999"/>
        <n v="6576.298960000001"/>
        <n v="33200.038079999998"/>
        <n v="11332.142999999998"/>
        <n v="12881.097599999999"/>
        <n v="37562.28"/>
        <n v="47693.373"/>
        <n v="15257.51748"/>
        <n v="22064.910300000003"/>
        <n v="9586.8057599999993"/>
        <n v="19773.362699999998"/>
        <n v="14108.16791"/>
        <n v="434.45248000000004"/>
        <n v="16142.527829999999"/>
        <n v="2525.0635000000002"/>
        <n v="52361.645000000004"/>
        <n v="11285.764020000001"/>
        <n v="19800.88896"/>
        <n v="14431.738420000001"/>
        <n v="56176.777799999996"/>
        <n v="18641.222160000001"/>
        <n v="13185.543"/>
        <n v="12972.00222"/>
        <n v="17731.623"/>
        <n v="17427.164800000002"/>
        <n v="16946.091840000001"/>
        <n v="5250.4239000000007"/>
        <n v="7832.0010999999995"/>
        <n v="13437.300239999999"/>
        <n v="22457.143800000002"/>
        <n v="21541.017959999997"/>
        <n v="4679.7141600000004"/>
        <n v="23668.560000000001"/>
        <n v="5323.9903199999999"/>
        <n v="6899.8804600000003"/>
        <n v="2059.0056"/>
        <n v="16134.22069"/>
        <n v="31513.423040000001"/>
        <n v="18411.4084"/>
        <n v="10893.6232"/>
        <n v="7969.4615000000003"/>
        <n v="741.43835999999999"/>
        <n v="9509.2865999999995"/>
        <n v="14527.748400000002"/>
        <n v="9984.7160999999978"/>
        <n v="102122.94203999999"/>
        <n v="29627.320319999999"/>
        <n v="58091.634960000003"/>
        <n v="15366.983199999999"/>
        <n v="30435.614999999998"/>
        <n v="20038.536"/>
        <n v="13450.74"/>
        <n v="41138.261999999995"/>
        <n v="12955.824749999998"/>
        <n v="58057.65"/>
        <n v="2627.6239999999998"/>
        <n v="12967.958640000001"/>
        <n v="1950.0031200000001"/>
        <n v="27249"/>
        <n v="5546.4642200000008"/>
        <n v="7340.3891399999993"/>
        <n v="24278.849280000002"/>
        <n v="2795.6384399999997"/>
        <n v="20672.289000000001"/>
        <n v="12668.50728"/>
        <n v="31513.085009999999"/>
        <n v="5960.04288"/>
        <n v="21664.440000000002"/>
        <n v="1925.29872"/>
        <n v="9771.4483199999995"/>
        <n v="5565.3272500000003"/>
        <n v="45547.183360000003"/>
        <n v="12289.2"/>
        <n v="12462.65055"/>
        <n v="19628.476999999999"/>
        <n v="23694.405119999999"/>
        <n v="11984.891250000001"/>
        <n v="23132.398349999996"/>
        <n v="14752.706080000002"/>
        <n v="20797.98"/>
        <n v="7854.6931199999999"/>
        <n v="7643.2649999999994"/>
        <n v="24321.57"/>
        <n v="1662.6945600000001"/>
        <n v="930.17574000000002"/>
        <n v="4055.5175999999997"/>
        <n v="1886.9915999999998"/>
        <n v="1808.04592"/>
        <n v="84136.119600000005"/>
        <n v="2719.8567000000003"/>
        <n v="14261.92439"/>
        <n v="25269.09"/>
        <n v="16252.219979999998"/>
        <n v="10428.057360000001"/>
        <n v="36549.429260000004"/>
        <n v="15374.563199999999"/>
        <n v="8330.2513199999994"/>
        <n v="19233.355499999998"/>
        <n v="27194.152039999997"/>
        <n v="1009.2969000000002"/>
        <n v="4212.3745999999992"/>
        <n v="41914.215840000004"/>
        <n v="22620.859800000002"/>
        <n v="40488.792960000006"/>
        <n v="4738.5261"/>
        <n v="36161.097000000002"/>
        <n v="5127.0390600000001"/>
        <n v="21908.731650000002"/>
        <n v="6063.2517199999993"/>
        <n v="5159.7893599999998"/>
        <n v="28856.475000000002"/>
        <n v="4025.8565599999993"/>
        <n v="9614.4403999999995"/>
        <n v="1547.3500000000001"/>
        <n v="6664.0999999999995"/>
        <n v="7507.4514899999995"/>
        <n v="110.14919999999999"/>
        <n v="11859.695119999998"/>
        <n v="4682.9519799999998"/>
        <n v="30692.47896"/>
        <n v="25249.613219999999"/>
        <n v="8644.6696000000011"/>
        <n v="16574.544740000001"/>
        <n v="20332.775539999999"/>
        <n v="7428.1108999999988"/>
        <n v="10869.182940000001"/>
        <n v="8637.1874499999994"/>
        <n v="10189.8891"/>
        <n v="32335.21802"/>
        <n v="34800.431400000001"/>
        <n v="15323.926799999999"/>
        <n v="3921.1744000000008"/>
        <n v="8297.4286000000011"/>
        <n v="9232.2830599999998"/>
        <n v="3525.5505600000001"/>
        <n v="50296.415399999998"/>
        <n v="5189.8836000000001"/>
        <n v="33308.550000000003"/>
        <n v="10859.64"/>
        <n v="22201.762229999997"/>
        <n v="1010.3759200000001"/>
        <n v="9807.7842799999999"/>
        <n v="855.72881999999993"/>
        <n v="7399.4832000000006"/>
        <n v="64192.976999999999"/>
        <n v="22526.66"/>
        <n v="16121.273400000002"/>
        <n v="6435.2555999999995"/>
        <n v="8326.6852500000005"/>
        <n v="2146.5580500000001"/>
        <n v="11406.96"/>
        <n v="58526.83122"/>
        <n v="33421.1"/>
        <n v="9262.0686600000008"/>
        <n v="618.19979999999987"/>
        <n v="534.57695999999999"/>
        <n v="11924.0978"/>
        <n v="42433.254400000005"/>
        <n v="15155.326800000001"/>
        <n v="7823.4472399999995"/>
        <n v="50958.766320000002"/>
        <n v="20430.771599999996"/>
        <n v="66260.314239999992"/>
        <n v="3340.6370000000002"/>
        <n v="19581.87"/>
        <n v="30652.403519999996"/>
        <n v="4737.2198399999997"/>
        <n v="14114.068500000001"/>
        <n v="10792.637119999999"/>
        <n v="4826.5396199999996"/>
        <n v="15530.929919999999"/>
        <n v="31822.023930000003"/>
        <n v="10937.519999999999"/>
        <n v="29673.454499999993"/>
        <n v="1846.8040799999999"/>
        <n v="18830.12472"/>
        <n v="20163.409200000002"/>
        <n v="15860.782080000001"/>
        <n v="33551.927499999998"/>
        <n v="46450.26"/>
        <n v="50545.319219999998"/>
        <n v="10519.776450000001"/>
        <n v="13108.78584"/>
        <n v="13251.48"/>
        <n v="6766.9829999999993"/>
        <n v="33071.3145"/>
        <n v="8520.2954399999999"/>
        <n v="10166.535600000001"/>
        <n v="4229.4321199999995"/>
        <n v="17540.201120000002"/>
        <n v="44173.627960000005"/>
        <n v="25079.480689999997"/>
        <n v="34307.159999999996"/>
        <n v="3378.1478400000001"/>
        <n v="4577.1480000000001"/>
        <n v="841.00536"/>
        <n v="19139.594240000002"/>
        <n v="14466.95104"/>
        <n v="496.98660000000001"/>
        <n v="12091.190399999999"/>
        <n v="13882.6016"/>
        <n v="6732.4334000000008"/>
        <n v="4280.6786400000001"/>
        <n v="7173.3342799999991"/>
        <n v="6137.8019999999988"/>
        <n v="1801.4076000000002"/>
        <n v="40563.321749999996"/>
        <n v="3823.6151599999998"/>
        <n v="22676.312610000001"/>
        <n v="370.86"/>
        <n v="25131.155999999999"/>
        <n v="68665.574250000005"/>
        <n v="12040.64352"/>
        <n v="9022.35"/>
        <n v="11742.8703"/>
        <n v="51768.181920000003"/>
        <n v="5725.6496000000006"/>
        <n v="8366.02"/>
        <n v="14910.609600000002"/>
        <n v="8128.5187499999993"/>
        <n v="3116.21"/>
        <n v="4409.5168800000001"/>
        <n v="5962.1422499999999"/>
        <n v="33938.142760000002"/>
        <n v="7466.3063999999986"/>
        <n v="1062.5902000000001"/>
        <n v="39810.328000000001"/>
        <n v="5457.4317000000001"/>
        <n v="7071.6331400000008"/>
        <n v="13856.52411"/>
        <n v="29175.036029999999"/>
        <n v="2736.27018"/>
        <n v="2077.46"/>
        <n v="10260.060159999999"/>
        <n v="18003.847679999999"/>
        <n v="9256.14"/>
        <n v="82141.339799999987"/>
        <n v="18500.693520000001"/>
        <n v="10464.138360000001"/>
        <n v="10786.32144"/>
        <n v="30226.602810212757"/>
        <n v="25174.028880000002"/>
        <n v="41419.524249999995"/>
        <n v="1030.7574"/>
        <n v="2355.2113199999999"/>
        <n v="30229.994880000002"/>
        <n v="10693.88488"/>
        <n v="50090.397499999999"/>
        <n v="32704.386400000003"/>
        <n v="13983.752729999998"/>
        <n v="5096.4790800000001"/>
        <n v="33017.42"/>
        <n v="40476.013200000001"/>
        <n v="12769.38768"/>
        <n v="266.17821999999995"/>
        <n v="11053963.031096829"/>
      </sharedItems>
    </cacheField>
    <cacheField name="CostofGoods" numFmtId="0">
      <sharedItems containsString="0" containsBlank="1" containsNumber="1" minValue="22" maxValue="83258.290000000008"/>
    </cacheField>
    <cacheField name="GrossProfit" numFmtId="0">
      <sharedItems containsSemiMixedTypes="0" containsString="0" containsNumber="1" minValue="-15655.657510000005" maxValue="3526215.3210968319"/>
    </cacheField>
    <cacheField name="MarginPct" numFmtId="0">
      <sharedItems containsString="0" containsBlank="1" containsNumber="1" minValue="-0.87167486187856302" maxValue="0.59672531214528945"/>
    </cacheField>
    <cacheField name="OnTime_7Days" numFmtId="0">
      <sharedItems containsSemiMixedTypes="0" containsString="0" containsNumber="1" minValue="0" maxValue="1"/>
    </cacheField>
    <cacheField name="HighDiscount" numFmtId="0">
      <sharedItems containsString="0" containsBlank="1" containsNumber="1" containsInteger="1" minValue="0" maxValue="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33">
  <r>
    <s v="ORD-2024-275203"/>
    <d v="2024-03-11T00:00:00"/>
    <x v="0"/>
    <s v="Q1-2024"/>
    <d v="2024-04-06T00:00:00"/>
    <s v="Valid"/>
    <n v="26"/>
    <d v="2024-04-06T00:00:00"/>
    <x v="0"/>
    <s v="Africa → Kenya → Kisumu"/>
    <x v="0"/>
    <x v="0"/>
    <s v="Kisumu"/>
    <s v="Corporate"/>
    <x v="0"/>
    <x v="0"/>
    <x v="0"/>
    <x v="0"/>
    <n v="279.24"/>
    <n v="608.9"/>
    <s v="Valid"/>
    <n v="608.9"/>
    <s v="Low"/>
    <n v="0.112"/>
    <s v="Valid"/>
    <n v="0.112"/>
    <n v="9"/>
    <n v="4866.3287999999993"/>
    <n v="2513.16"/>
    <n v="2353.1687999999995"/>
    <n v="0.48356140670149533"/>
  </r>
  <r>
    <s v="ORD-2024-358795"/>
    <d v="2024-10-23T00:00:00"/>
    <x v="1"/>
    <s v="Q4-2024"/>
    <d v="2024-10-22T00:00:00"/>
    <s v="Invalid RequiredDate"/>
    <n v="-1"/>
    <d v="2024-11-18T00:00:00"/>
    <x v="0"/>
    <s v="Africa → Nigeria → Port Harcourt"/>
    <x v="1"/>
    <x v="1"/>
    <s v="Port Harcourt"/>
    <s v="Education"/>
    <x v="1"/>
    <x v="1"/>
    <x v="1"/>
    <x v="1"/>
    <n v="1084.3900000000001"/>
    <n v="759.33"/>
    <s v="Valid"/>
    <n v="759.33"/>
    <s v="Medium"/>
    <n v="0.23699999999999999"/>
    <s v="Valid"/>
    <n v="0.23699999999999999"/>
    <n v="31"/>
    <n v="17960.432489999999"/>
    <n v="33616.090000000004"/>
    <n v="-15655.657510000005"/>
    <n v="-0.87167486187856302"/>
  </r>
  <r>
    <s v="ORD-2023-373538"/>
    <d v="2023-02-28T00:00:00"/>
    <x v="2"/>
    <s v="Q1-2023"/>
    <d v="2023-03-25T00:00:00"/>
    <s v="Valid"/>
    <n v="25"/>
    <d v="2023-03-25T00:00:00"/>
    <x v="0"/>
    <s v="Africa → Kenya → Nairobi"/>
    <x v="2"/>
    <x v="0"/>
    <s v="Nairobi"/>
    <s v="Corporate"/>
    <x v="0"/>
    <x v="2"/>
    <x v="2"/>
    <x v="2"/>
    <n v="1460.76"/>
    <n v="-30.66"/>
    <s v="Invalid Price"/>
    <n v="1445.2723255813949"/>
    <s v="Medium"/>
    <n v="0.13100000000000001"/>
    <s v="Valid"/>
    <n v="0.13100000000000001"/>
    <n v="12"/>
    <n v="15071.299811162788"/>
    <n v="17529.12"/>
    <n v="-2457.8201888372114"/>
    <n v="-0.16307951003779975"/>
  </r>
  <r>
    <s v="ORD-2025-168148"/>
    <d v="2025-03-29T00:00:00"/>
    <x v="3"/>
    <s v="Q1-2025"/>
    <d v="2025-04-02T00:00:00"/>
    <s v="Valid"/>
    <n v="4"/>
    <d v="2025-04-02T00:00:00"/>
    <x v="0"/>
    <s v="Africa → Nigeria → Lagos"/>
    <x v="3"/>
    <x v="1"/>
    <s v="Lagos"/>
    <s v="Non-Profit"/>
    <x v="2"/>
    <x v="3"/>
    <x v="3"/>
    <x v="3"/>
    <n v="259.93"/>
    <n v="255.94"/>
    <s v="Valid"/>
    <n v="255.94"/>
    <s v="Low"/>
    <n v="7.1999999999999995E-2"/>
    <s v="Valid"/>
    <n v="7.1999999999999995E-2"/>
    <n v="22"/>
    <n v="5225.2710400000005"/>
    <n v="5718.46"/>
    <n v="-493.1889599999995"/>
    <n v="-9.4385335463861311E-2"/>
  </r>
  <r>
    <s v="ORD-2023-824839"/>
    <d v="2023-12-06T00:00:00"/>
    <x v="4"/>
    <s v="Q4-2023"/>
    <d v="2023-12-31T00:00:00"/>
    <s v="Valid"/>
    <n v="25"/>
    <d v="2023-12-31T00:00:00"/>
    <x v="1"/>
    <s v="Asia → Japan → Osaka"/>
    <x v="4"/>
    <x v="2"/>
    <s v="Osaka"/>
    <s v="Consumer"/>
    <x v="0"/>
    <x v="4"/>
    <x v="1"/>
    <x v="4"/>
    <n v="663.03"/>
    <n v="813.51"/>
    <s v="Valid"/>
    <n v="813.51"/>
    <s v="Medium"/>
    <n v="0.10199999999999999"/>
    <s v="Valid"/>
    <n v="0.10199999999999999"/>
    <n v="15"/>
    <n v="10957.9797"/>
    <n v="9945.4499999999989"/>
    <n v="1012.529700000001"/>
    <n v="9.2401129379715952E-2"/>
  </r>
  <r>
    <s v="ORD-2023-723587"/>
    <d v="2023-01-02T00:00:00"/>
    <x v="5"/>
    <s v="Q1-2023"/>
    <d v="2023-01-05T00:00:00"/>
    <s v="Valid"/>
    <n v="3"/>
    <d v="2023-01-05T00:00:00"/>
    <x v="2"/>
    <s v="Americas → Canada → Toronto"/>
    <x v="5"/>
    <x v="3"/>
    <s v="Toronto"/>
    <s v="Corporate"/>
    <x v="3"/>
    <x v="5"/>
    <x v="4"/>
    <x v="5"/>
    <n v="315.87"/>
    <n v="591.67999999999995"/>
    <s v="Valid"/>
    <n v="591.67999999999995"/>
    <s v="Low"/>
    <n v="0"/>
    <s v="Valid"/>
    <n v="0"/>
    <n v="7"/>
    <n v="4141.7599999999993"/>
    <n v="2211.09"/>
    <n v="1930.6699999999992"/>
    <n v="0.46614724175229844"/>
  </r>
  <r>
    <s v="ORD-2024-336584"/>
    <d v="2024-12-27T00:00:00"/>
    <x v="6"/>
    <s v="Q4-2024"/>
    <d v="2025-01-14T00:00:00"/>
    <s v="Valid"/>
    <n v="18"/>
    <d v="2025-01-14T00:00:00"/>
    <x v="1"/>
    <s v="Asia → India → Bengaluru"/>
    <x v="6"/>
    <x v="4"/>
    <s v="Bengaluru"/>
    <s v="Small Business"/>
    <x v="2"/>
    <x v="6"/>
    <x v="5"/>
    <x v="6"/>
    <n v="586.07000000000005"/>
    <n v="845.97"/>
    <s v="Valid"/>
    <n v="845.97"/>
    <s v="Medium"/>
    <n v="0.14699999999999999"/>
    <s v="Valid"/>
    <n v="0.14699999999999999"/>
    <n v="4"/>
    <n v="2886.4496399999998"/>
    <n v="2344.2800000000002"/>
    <n v="542.16963999999962"/>
    <n v="0.18783270370862928"/>
  </r>
  <r>
    <s v="ORD-2023-112666"/>
    <d v="2023-01-15T00:00:00"/>
    <x v="5"/>
    <s v="Q1-2023"/>
    <d v="2023-01-13T00:00:00"/>
    <s v="Invalid RequiredDate"/>
    <n v="-2"/>
    <d v="2023-02-10T00:00:00"/>
    <x v="0"/>
    <s v="Africa → Nigeria → Abuja"/>
    <x v="7"/>
    <x v="1"/>
    <s v="Abuja"/>
    <s v="Education"/>
    <x v="1"/>
    <x v="7"/>
    <x v="1"/>
    <x v="7"/>
    <n v="28.38"/>
    <n v="47.22"/>
    <s v="Valid"/>
    <n v="47.22"/>
    <s v="Low"/>
    <n v="0.19400000000000001"/>
    <s v="Valid"/>
    <n v="0.19400000000000001"/>
    <n v="18"/>
    <n v="685.06776000000002"/>
    <n v="510.84"/>
    <n v="174.22776000000005"/>
    <n v="0.25432193743871417"/>
  </r>
  <r>
    <s v="ORD-2024-589570"/>
    <d v="2024-05-04T00:00:00"/>
    <x v="7"/>
    <s v="Q2-2024"/>
    <d v="2024-05-29T00:00:00"/>
    <s v="Valid"/>
    <n v="25"/>
    <d v="2024-05-29T00:00:00"/>
    <x v="0"/>
    <s v="Africa → Nigeria → Abuja"/>
    <x v="8"/>
    <x v="1"/>
    <s v="Abuja"/>
    <s v="Non-Profit"/>
    <x v="2"/>
    <x v="7"/>
    <x v="5"/>
    <x v="8"/>
    <n v="1295.3399999999999"/>
    <n v="2530.81"/>
    <s v="Valid"/>
    <n v="2530.81"/>
    <s v="High"/>
    <n v="3.1E-2"/>
    <s v="Valid"/>
    <n v="3.1E-2"/>
    <n v="6"/>
    <n v="14714.12934"/>
    <n v="7772.0399999999991"/>
    <n v="6942.0893400000004"/>
    <n v="0.4717974933880798"/>
  </r>
  <r>
    <s v="ORD-2025-997421"/>
    <d v="2025-05-21T00:00:00"/>
    <x v="8"/>
    <s v="Q2-2025"/>
    <d v="2025-06-09T00:00:00"/>
    <s v="Valid"/>
    <n v="19"/>
    <d v="2025-06-09T00:00:00"/>
    <x v="2"/>
    <s v="Americas → Brazil → São Paulo"/>
    <x v="9"/>
    <x v="5"/>
    <s v="São Paulo"/>
    <s v="Non-Profit"/>
    <x v="1"/>
    <x v="8"/>
    <x v="0"/>
    <x v="9"/>
    <n v="1331.38"/>
    <n v="2309.56"/>
    <s v="Valid"/>
    <n v="2309.56"/>
    <s v="High"/>
    <n v="0.14899999999999999"/>
    <s v="Valid"/>
    <n v="0.14899999999999999"/>
    <n v="31"/>
    <n v="60928.502359999999"/>
    <n v="41272.780000000006"/>
    <n v="19655.722359999992"/>
    <n v="0.32260307735553528"/>
  </r>
  <r>
    <s v="ORD-2024-210687"/>
    <d v="2024-01-28T00:00:00"/>
    <x v="9"/>
    <s v="Q1-2024"/>
    <d v="2024-02-09T00:00:00"/>
    <s v="Valid"/>
    <n v="12"/>
    <d v="2024-02-09T00:00:00"/>
    <x v="3"/>
    <s v="Europe → Germany → Berlin"/>
    <x v="10"/>
    <x v="6"/>
    <s v="Berlin"/>
    <s v="Corporate"/>
    <x v="1"/>
    <x v="3"/>
    <x v="6"/>
    <x v="10"/>
    <n v="644.16999999999996"/>
    <n v="700.12"/>
    <s v="Valid"/>
    <n v="700.12"/>
    <s v="Medium"/>
    <n v="6.0000000000000001E-3"/>
    <s v="Valid"/>
    <n v="6.0000000000000001E-3"/>
    <n v="23"/>
    <n v="16006.14344"/>
    <n v="14815.91"/>
    <n v="1190.23344"/>
    <n v="7.436103796405813E-2"/>
  </r>
  <r>
    <s v="ORD-2025-515515"/>
    <d v="2025-01-03T00:00:00"/>
    <x v="10"/>
    <s v="Q1-2025"/>
    <d v="2025-01-23T00:00:00"/>
    <s v="Valid"/>
    <n v="20"/>
    <d v="2025-01-23T00:00:00"/>
    <x v="1"/>
    <s v="Asia → Japan → Osaka"/>
    <x v="11"/>
    <x v="2"/>
    <s v="Osaka"/>
    <s v="Corporate"/>
    <x v="3"/>
    <x v="9"/>
    <x v="3"/>
    <x v="11"/>
    <n v="908.6"/>
    <n v="691.37"/>
    <s v="Valid"/>
    <n v="691.37"/>
    <s v="Medium"/>
    <n v="0.25"/>
    <s v="Valid"/>
    <n v="0.25"/>
    <n v="20"/>
    <n v="10370.549999999999"/>
    <n v="18172"/>
    <n v="-7801.4500000000007"/>
    <n v="-0.75226964818645115"/>
  </r>
  <r>
    <s v="ORD-2025-487261"/>
    <d v="2025-03-06T00:00:00"/>
    <x v="3"/>
    <s v="Q1-2025"/>
    <d v="2025-03-31T00:00:00"/>
    <s v="Valid"/>
    <n v="25"/>
    <d v="2025-03-31T00:00:00"/>
    <x v="2"/>
    <s v="Americas → Brazil → Brasília"/>
    <x v="12"/>
    <x v="5"/>
    <s v="Brasília"/>
    <s v="Non-Profit"/>
    <x v="1"/>
    <x v="1"/>
    <x v="0"/>
    <x v="12"/>
    <n v="331.57"/>
    <n v="548.4"/>
    <s v="Valid"/>
    <n v="548.4"/>
    <s v="Low"/>
    <n v="9.4E-2"/>
    <s v="Valid"/>
    <n v="9.4E-2"/>
    <n v="10"/>
    <n v="4968.5039999999999"/>
    <n v="3315.7"/>
    <n v="1652.8040000000001"/>
    <n v="0.33265626836568918"/>
  </r>
  <r>
    <s v="ORD-2024-890180"/>
    <d v="2024-01-20T00:00:00"/>
    <x v="9"/>
    <s v="Q1-2024"/>
    <d v="2024-02-13T00:00:00"/>
    <s v="Valid"/>
    <n v="24"/>
    <d v="2024-02-13T00:00:00"/>
    <x v="3"/>
    <s v="Europe → France → Marseille"/>
    <x v="13"/>
    <x v="7"/>
    <s v="Marseille"/>
    <s v="Corporate"/>
    <x v="0"/>
    <x v="10"/>
    <x v="1"/>
    <x v="13"/>
    <n v="643.53"/>
    <n v="1439.01"/>
    <s v="Valid"/>
    <n v="1439.01"/>
    <s v="Medium"/>
    <n v="0"/>
    <s v="Valid"/>
    <n v="0"/>
    <n v="15"/>
    <n v="21585.15"/>
    <n v="9652.9499999999989"/>
    <n v="11932.200000000003"/>
    <n v="0.55279671440782208"/>
  </r>
  <r>
    <s v="ORD-2025-840976"/>
    <d v="2025-09-01T00:00:00"/>
    <x v="11"/>
    <s v="Q3-2025"/>
    <d v="2025-09-30T00:00:00"/>
    <s v="Valid"/>
    <n v="29"/>
    <d v="2025-09-30T00:00:00"/>
    <x v="2"/>
    <s v="Americas → Brazil → Brasília"/>
    <x v="14"/>
    <x v="5"/>
    <s v="Brasília"/>
    <s v="Education"/>
    <x v="0"/>
    <x v="11"/>
    <x v="6"/>
    <x v="14"/>
    <n v="780.59"/>
    <n v="631.57000000000005"/>
    <s v="Valid"/>
    <n v="631.57000000000005"/>
    <s v="Medium"/>
    <n v="0"/>
    <s v="Valid"/>
    <n v="0"/>
    <n v="12"/>
    <n v="7578.84"/>
    <n v="9367.08"/>
    <n v="-1788.2399999999998"/>
    <n v="-0.23595167598207639"/>
  </r>
  <r>
    <s v="ORD-2023-937291"/>
    <d v="2023-04-23T00:00:00"/>
    <x v="12"/>
    <s v="Q2-2023"/>
    <d v="2023-04-22T00:00:00"/>
    <s v="Invalid RequiredDate"/>
    <n v="-1"/>
    <d v="2023-05-19T00:00:00"/>
    <x v="0"/>
    <s v="Africa → Kenya → Nairobi"/>
    <x v="15"/>
    <x v="0"/>
    <s v="Nairobi"/>
    <s v="Small Business"/>
    <x v="4"/>
    <x v="6"/>
    <x v="4"/>
    <x v="15"/>
    <n v="756.51"/>
    <n v="850.8"/>
    <s v="Valid"/>
    <n v="850.8"/>
    <s v="Medium"/>
    <n v="7.3999999999999996E-2"/>
    <s v="Valid"/>
    <n v="7.3999999999999996E-2"/>
    <n v="9"/>
    <n v="7090.5672000000004"/>
    <n v="6808.59"/>
    <n v="281.97720000000027"/>
    <n v="3.9767932810791252E-2"/>
  </r>
  <r>
    <s v="ORD-2024-206081"/>
    <d v="2024-12-10T00:00:00"/>
    <x v="6"/>
    <s v="Q4-2024"/>
    <d v="2025-01-08T00:00:00"/>
    <s v="Valid"/>
    <n v="29"/>
    <d v="2025-01-08T00:00:00"/>
    <x v="3"/>
    <s v="Europe → France → Marseille"/>
    <x v="16"/>
    <x v="7"/>
    <s v="Marseille"/>
    <s v="Small Business"/>
    <x v="0"/>
    <x v="11"/>
    <x v="1"/>
    <x v="16"/>
    <n v="891.08"/>
    <n v="1040.0999999999999"/>
    <s v="Valid"/>
    <n v="1040.0999999999999"/>
    <s v="Medium"/>
    <n v="0.109"/>
    <s v="Valid"/>
    <n v="0.109"/>
    <n v="28"/>
    <n v="25948.414799999995"/>
    <n v="24950.240000000002"/>
    <n v="998.17479999999341"/>
    <n v="3.8467660074556598E-2"/>
  </r>
  <r>
    <s v="ORD-2025-233883"/>
    <d v="2025-09-08T00:00:00"/>
    <x v="11"/>
    <s v="Q3-2025"/>
    <d v="2025-09-16T00:00:00"/>
    <s v="Valid"/>
    <n v="8"/>
    <d v="2025-09-16T00:00:00"/>
    <x v="1"/>
    <s v="Asia → Japan → Osaka"/>
    <x v="17"/>
    <x v="2"/>
    <s v="Osaka"/>
    <s v="Corporate"/>
    <x v="3"/>
    <x v="0"/>
    <x v="3"/>
    <x v="17"/>
    <n v="1225.57"/>
    <n v="2705.57"/>
    <s v="Valid"/>
    <n v="2705.57"/>
    <s v="High"/>
    <n v="0.183"/>
    <s v="Valid"/>
    <n v="0.183"/>
    <n v="16"/>
    <n v="35367.211040000002"/>
    <n v="19609.12"/>
    <n v="15758.091040000003"/>
    <n v="0.44555650775453404"/>
  </r>
  <r>
    <s v="ORD-2025-843974"/>
    <d v="2025-07-20T00:00:00"/>
    <x v="13"/>
    <s v="Q3-2025"/>
    <d v="2025-08-05T00:00:00"/>
    <s v="Valid"/>
    <n v="16"/>
    <d v="2025-08-05T00:00:00"/>
    <x v="2"/>
    <s v="Americas → Brazil → Brasília"/>
    <x v="18"/>
    <x v="5"/>
    <s v="Brasília"/>
    <s v="Enterprise"/>
    <x v="2"/>
    <x v="3"/>
    <x v="6"/>
    <x v="18"/>
    <n v="1068.17"/>
    <n v="2375.37"/>
    <s v="Valid"/>
    <n v="2375.37"/>
    <s v="High"/>
    <n v="0.109"/>
    <s v="Valid"/>
    <n v="0.109"/>
    <n v="18"/>
    <n v="38096.18406"/>
    <n v="19227.060000000001"/>
    <n v="18869.124059999998"/>
    <n v="0.49530220744108822"/>
  </r>
  <r>
    <s v="ORD-2025-745263"/>
    <d v="2025-05-21T00:00:00"/>
    <x v="8"/>
    <s v="Q2-2025"/>
    <d v="2025-05-19T00:00:00"/>
    <s v="Invalid RequiredDate"/>
    <n v="-2"/>
    <d v="2025-06-16T00:00:00"/>
    <x v="3"/>
    <s v="Europe → United Kingdom → Birmingham"/>
    <x v="19"/>
    <x v="8"/>
    <s v="Birmingham"/>
    <s v="Enterprise"/>
    <x v="1"/>
    <x v="12"/>
    <x v="4"/>
    <x v="19"/>
    <n v="1015.16"/>
    <n v="2148.14"/>
    <s v="Valid"/>
    <n v="2148.14"/>
    <s v="High"/>
    <n v="3.7999999999999999E-2"/>
    <s v="Valid"/>
    <n v="3.7999999999999999E-2"/>
    <n v="19"/>
    <n v="39263.702919999996"/>
    <n v="19288.04"/>
    <n v="19975.662919999995"/>
    <n v="0.50875647059322227"/>
  </r>
  <r>
    <s v="ORD-2024-798002"/>
    <d v="2024-07-25T00:00:00"/>
    <x v="14"/>
    <s v="Q3-2024"/>
    <d v="2024-07-24T00:00:00"/>
    <s v="Invalid RequiredDate"/>
    <n v="-1"/>
    <d v="2024-08-20T00:00:00"/>
    <x v="0"/>
    <s v="Africa → Kenya → Mombasa"/>
    <x v="20"/>
    <x v="0"/>
    <s v="Mombasa"/>
    <s v="Non-Profit"/>
    <x v="4"/>
    <x v="1"/>
    <x v="4"/>
    <x v="20"/>
    <n v="1494.4"/>
    <n v="3661.07"/>
    <s v="Valid"/>
    <n v="3661.07"/>
    <s v="High"/>
    <n v="7.1999999999999995E-2"/>
    <s v="Valid"/>
    <n v="7.1999999999999995E-2"/>
    <n v="7"/>
    <n v="23782.310720000001"/>
    <n v="10460.800000000001"/>
    <n v="13321.51072"/>
    <n v="0.56014366630897339"/>
  </r>
  <r>
    <s v="ORD-2023-867836"/>
    <d v="2023-05-11T00:00:00"/>
    <x v="15"/>
    <s v="Q2-2023"/>
    <d v="2023-05-28T00:00:00"/>
    <s v="Valid"/>
    <n v="17"/>
    <d v="2023-05-28T00:00:00"/>
    <x v="1"/>
    <s v="Asia → China → Shenzhen"/>
    <x v="21"/>
    <x v="9"/>
    <s v="Shenzhen"/>
    <s v="Enterprise"/>
    <x v="2"/>
    <x v="6"/>
    <x v="2"/>
    <x v="21"/>
    <n v="1331.19"/>
    <n v="2903.09"/>
    <s v="Valid"/>
    <n v="2903.09"/>
    <s v="High"/>
    <n v="0.14299999999999999"/>
    <s v="Valid"/>
    <n v="0.14299999999999999"/>
    <n v="8"/>
    <n v="19903.585040000002"/>
    <n v="10649.52"/>
    <n v="9254.0650400000013"/>
    <n v="0.46494463290920784"/>
  </r>
  <r>
    <s v="ORD-2025-580047"/>
    <d v="2025-06-14T00:00:00"/>
    <x v="16"/>
    <s v="Q2-2025"/>
    <d v="2025-06-29T00:00:00"/>
    <s v="Valid"/>
    <n v="15"/>
    <d v="2025-06-29T00:00:00"/>
    <x v="0"/>
    <s v="Africa → Nigeria → Port Harcourt"/>
    <x v="22"/>
    <x v="1"/>
    <s v="Port Harcourt"/>
    <s v="Consumer"/>
    <x v="2"/>
    <x v="12"/>
    <x v="6"/>
    <x v="22"/>
    <n v="730.99"/>
    <n v="1242.8399999999999"/>
    <s v="Valid"/>
    <n v="1242.8399999999999"/>
    <s v="Medium"/>
    <n v="0.12"/>
    <s v="Valid"/>
    <n v="0.12"/>
    <n v="10"/>
    <n v="10936.992"/>
    <n v="7309.9"/>
    <n v="3627.0920000000006"/>
    <n v="0.33163524303574515"/>
  </r>
  <r>
    <s v="ORD-2024-500109"/>
    <d v="2024-05-18T00:00:00"/>
    <x v="7"/>
    <s v="Q2-2024"/>
    <d v="2024-05-23T00:00:00"/>
    <s v="Valid"/>
    <n v="5"/>
    <d v="2024-05-23T00:00:00"/>
    <x v="2"/>
    <s v="Americas → USA → Chicago"/>
    <x v="23"/>
    <x v="10"/>
    <s v="Chicago"/>
    <s v="Enterprise"/>
    <x v="0"/>
    <x v="10"/>
    <x v="4"/>
    <x v="23"/>
    <n v="1274.5899999999999"/>
    <n v="2553.69"/>
    <s v="Valid"/>
    <n v="2553.69"/>
    <s v="High"/>
    <n v="0.01"/>
    <s v="Valid"/>
    <n v="0.01"/>
    <n v="8"/>
    <n v="20225.2248"/>
    <n v="10196.719999999999"/>
    <n v="10028.504800000001"/>
    <n v="0.49584145042481803"/>
  </r>
  <r>
    <s v="ORD-2023-271836"/>
    <d v="2023-02-07T00:00:00"/>
    <x v="2"/>
    <s v="Q1-2023"/>
    <d v="2023-02-12T00:00:00"/>
    <s v="Valid"/>
    <n v="5"/>
    <d v="2023-02-12T00:00:00"/>
    <x v="2"/>
    <s v="Americas → Brazil → São Paulo"/>
    <x v="24"/>
    <x v="5"/>
    <s v="São Paulo"/>
    <s v="Education"/>
    <x v="1"/>
    <x v="13"/>
    <x v="0"/>
    <x v="24"/>
    <n v="948.55"/>
    <n v="2089.16"/>
    <s v="Valid"/>
    <n v="2089.16"/>
    <s v="High"/>
    <n v="7.0000000000000001E-3"/>
    <s v="Valid"/>
    <n v="7.0000000000000001E-3"/>
    <n v="12"/>
    <n v="24894.430559999997"/>
    <n v="11382.599999999999"/>
    <n v="13511.830559999999"/>
    <n v="0.54276519912492427"/>
  </r>
  <r>
    <s v="ORD-2024-215294"/>
    <d v="2024-06-30T00:00:00"/>
    <x v="17"/>
    <s v="Q2-2024"/>
    <d v="2024-07-14T00:00:00"/>
    <s v="Valid"/>
    <n v="14"/>
    <d v="2024-07-14T00:00:00"/>
    <x v="2"/>
    <s v="Americas → Brazil → Brasília"/>
    <x v="25"/>
    <x v="5"/>
    <s v="Brasília"/>
    <s v="Education"/>
    <x v="0"/>
    <x v="0"/>
    <x v="6"/>
    <x v="25"/>
    <n v="1491.85"/>
    <n v="2583.02"/>
    <s v="Valid"/>
    <n v="2583.02"/>
    <s v="High"/>
    <n v="0.16800000000000001"/>
    <s v="Valid"/>
    <n v="0.16800000000000001"/>
    <n v="4"/>
    <n v="8596.2905599999995"/>
    <n v="5967.4"/>
    <n v="2628.8905599999998"/>
    <n v="0.30581685689321325"/>
  </r>
  <r>
    <s v="ORD-2024-788105"/>
    <d v="2024-11-30T00:00:00"/>
    <x v="18"/>
    <s v="Q4-2024"/>
    <d v="2024-12-30T00:00:00"/>
    <s v="Valid"/>
    <n v="30"/>
    <d v="2024-12-30T00:00:00"/>
    <x v="3"/>
    <s v="Europe → France → Marseille"/>
    <x v="26"/>
    <x v="7"/>
    <s v="Marseille"/>
    <s v="Consumer"/>
    <x v="2"/>
    <x v="9"/>
    <x v="1"/>
    <x v="26"/>
    <n v="117.64"/>
    <n v="175.67"/>
    <s v="Valid"/>
    <n v="175.67"/>
    <s v="Low"/>
    <n v="0"/>
    <s v="Valid"/>
    <n v="0"/>
    <n v="10"/>
    <n v="1756.6999999999998"/>
    <n v="1176.4000000000001"/>
    <n v="580.29999999999973"/>
    <n v="0.33033528775545046"/>
  </r>
  <r>
    <s v="ORD-2024-855073"/>
    <d v="2024-07-19T00:00:00"/>
    <x v="14"/>
    <s v="Q3-2024"/>
    <d v="2024-07-19T00:00:00"/>
    <s v="Valid"/>
    <n v="0"/>
    <d v="2024-07-19T00:00:00"/>
    <x v="0"/>
    <s v="Africa → Kenya → Kisumu"/>
    <x v="20"/>
    <x v="0"/>
    <s v="Kisumu"/>
    <s v="Small Business"/>
    <x v="0"/>
    <x v="8"/>
    <x v="3"/>
    <x v="27"/>
    <n v="857.24"/>
    <n v="758.23"/>
    <s v="Valid"/>
    <n v="758.23"/>
    <s v="Medium"/>
    <n v="0.125"/>
    <s v="Valid"/>
    <n v="0.125"/>
    <n v="6"/>
    <n v="3980.7075"/>
    <n v="5143.4400000000005"/>
    <n v="-1162.7325000000005"/>
    <n v="-0.29209192084572921"/>
  </r>
  <r>
    <s v="ORD-2023-897079"/>
    <d v="2023-04-14T00:00:00"/>
    <x v="12"/>
    <s v="Q2-2023"/>
    <d v="2023-05-14T00:00:00"/>
    <s v="Valid"/>
    <n v="30"/>
    <d v="2023-05-14T00:00:00"/>
    <x v="0"/>
    <s v="Africa → Kenya → Nakuru"/>
    <x v="15"/>
    <x v="0"/>
    <s v="Nakuru"/>
    <s v="Consumer"/>
    <x v="2"/>
    <x v="12"/>
    <x v="3"/>
    <x v="28"/>
    <n v="209.25"/>
    <n v="434.8"/>
    <s v="Valid"/>
    <n v="434.8"/>
    <s v="Low"/>
    <n v="0"/>
    <s v="Valid"/>
    <n v="0"/>
    <n v="9"/>
    <n v="3913.2000000000003"/>
    <n v="1883.25"/>
    <n v="2029.9500000000003"/>
    <n v="0.51874425022999082"/>
  </r>
  <r>
    <s v="ORD-2025-548982"/>
    <d v="2025-04-07T00:00:00"/>
    <x v="19"/>
    <s v="Q2-2025"/>
    <d v="2025-04-11T00:00:00"/>
    <s v="Valid"/>
    <n v="4"/>
    <d v="2025-04-11T00:00:00"/>
    <x v="3"/>
    <s v="Europe → France → Lyon"/>
    <x v="27"/>
    <x v="7"/>
    <s v="Lyon"/>
    <s v="Education"/>
    <x v="0"/>
    <x v="6"/>
    <x v="2"/>
    <x v="29"/>
    <n v="754.77"/>
    <n v="1666.18"/>
    <s v="Valid"/>
    <n v="1666.18"/>
    <s v="Medium"/>
    <n v="0.13900000000000001"/>
    <s v="Valid"/>
    <n v="0.13900000000000001"/>
    <n v="14"/>
    <n v="20084.133720000002"/>
    <n v="10566.779999999999"/>
    <n v="9517.3537200000028"/>
    <n v="0.47387424584424653"/>
  </r>
  <r>
    <s v="ORD-2024-170313"/>
    <d v="2024-12-27T00:00:00"/>
    <x v="6"/>
    <s v="Q4-2024"/>
    <d v="2025-01-15T00:00:00"/>
    <s v="Valid"/>
    <n v="19"/>
    <d v="2025-01-15T00:00:00"/>
    <x v="1"/>
    <s v="Asia → India → Delhi"/>
    <x v="6"/>
    <x v="4"/>
    <s v="Delhi"/>
    <s v="Non-Profit"/>
    <x v="3"/>
    <x v="3"/>
    <x v="0"/>
    <x v="30"/>
    <n v="495.59"/>
    <n v="631.78"/>
    <s v="Valid"/>
    <n v="631.78"/>
    <s v="Medium"/>
    <n v="8.6999999999999994E-2"/>
    <s v="Valid"/>
    <n v="8.6999999999999994E-2"/>
    <n v="17"/>
    <n v="9805.8573800000013"/>
    <n v="8425.0299999999988"/>
    <n v="1380.8273800000024"/>
    <n v="0.14081658813601899"/>
  </r>
  <r>
    <s v="ORD-2023-562894"/>
    <d v="2023-02-23T00:00:00"/>
    <x v="2"/>
    <s v="Q1-2023"/>
    <d v="2023-03-25T00:00:00"/>
    <s v="Valid"/>
    <n v="30"/>
    <d v="2023-03-25T00:00:00"/>
    <x v="2"/>
    <s v="Americas → Canada → Montreal"/>
    <x v="28"/>
    <x v="3"/>
    <s v="Montreal"/>
    <s v="Enterprise"/>
    <x v="1"/>
    <x v="14"/>
    <x v="3"/>
    <x v="31"/>
    <n v="1242.6600000000001"/>
    <n v="1794.07"/>
    <s v="Valid"/>
    <n v="1794.07"/>
    <s v="Medium"/>
    <n v="8.8999999999999996E-2"/>
    <s v="Valid"/>
    <n v="8.8999999999999996E-2"/>
    <n v="16"/>
    <n v="26150.364320000001"/>
    <n v="19882.560000000001"/>
    <n v="6267.8043199999993"/>
    <n v="0.23968325042440553"/>
  </r>
  <r>
    <s v="ORD-2025-474710"/>
    <d v="2025-07-24T00:00:00"/>
    <x v="13"/>
    <s v="Q3-2025"/>
    <d v="2025-08-06T00:00:00"/>
    <s v="Valid"/>
    <n v="13"/>
    <d v="2025-08-06T00:00:00"/>
    <x v="0"/>
    <s v="Africa → South Africa → Johannesburg"/>
    <x v="29"/>
    <x v="11"/>
    <s v="Johannesburg"/>
    <s v="Education"/>
    <x v="2"/>
    <x v="14"/>
    <x v="2"/>
    <x v="32"/>
    <n v="1463.9"/>
    <n v="2633.02"/>
    <s v="Valid"/>
    <n v="2633.02"/>
    <s v="High"/>
    <n v="8.4000000000000005E-2"/>
    <s v="Valid"/>
    <n v="8.4000000000000005E-2"/>
    <n v="4"/>
    <n v="9647.3852800000004"/>
    <n v="5855.6"/>
    <n v="3791.7852800000001"/>
    <n v="0.39303761277791527"/>
  </r>
  <r>
    <s v="ORD-2024-629525"/>
    <d v="2024-04-18T00:00:00"/>
    <x v="20"/>
    <s v="Q2-2024"/>
    <d v="2024-05-08T00:00:00"/>
    <s v="Valid"/>
    <n v="20"/>
    <d v="2024-05-08T00:00:00"/>
    <x v="3"/>
    <s v="Europe → United Kingdom → London"/>
    <x v="30"/>
    <x v="8"/>
    <s v="London"/>
    <s v="Non-Profit"/>
    <x v="5"/>
    <x v="14"/>
    <x v="4"/>
    <x v="33"/>
    <n v="645.33000000000004"/>
    <n v="1321.85"/>
    <s v="Valid"/>
    <n v="1321.85"/>
    <s v="Medium"/>
    <n v="0"/>
    <s v="Valid"/>
    <n v="0"/>
    <n v="10"/>
    <n v="13218.5"/>
    <n v="6453.3"/>
    <n v="6765.2"/>
    <n v="0.51179785906116426"/>
  </r>
  <r>
    <s v="ORD-2024-167215"/>
    <d v="2024-08-23T00:00:00"/>
    <x v="21"/>
    <s v="Q3-2024"/>
    <d v="2024-08-21T00:00:00"/>
    <s v="Invalid RequiredDate"/>
    <n v="-2"/>
    <d v="2024-09-18T00:00:00"/>
    <x v="0"/>
    <s v="Africa → South Africa → Johannesburg"/>
    <x v="31"/>
    <x v="11"/>
    <s v="Johannesburg"/>
    <s v="Education"/>
    <x v="0"/>
    <x v="6"/>
    <x v="0"/>
    <x v="34"/>
    <n v="1432.52"/>
    <n v="3036.87"/>
    <s v="Valid"/>
    <n v="3036.87"/>
    <s v="High"/>
    <n v="0"/>
    <s v="Valid"/>
    <n v="0"/>
    <n v="9"/>
    <n v="27331.829999999998"/>
    <n v="12892.68"/>
    <n v="14439.149999999998"/>
    <n v="0.52829064135112791"/>
  </r>
  <r>
    <s v="ORD-2023-864121"/>
    <d v="2023-03-27T00:00:00"/>
    <x v="22"/>
    <s v="Q1-2023"/>
    <d v="2023-04-22T00:00:00"/>
    <s v="Valid"/>
    <n v="26"/>
    <d v="2023-04-22T00:00:00"/>
    <x v="1"/>
    <s v="Asia → India → Delhi"/>
    <x v="32"/>
    <x v="4"/>
    <s v="Delhi"/>
    <s v="Non-Profit"/>
    <x v="2"/>
    <x v="1"/>
    <x v="1"/>
    <x v="35"/>
    <n v="178.53"/>
    <n v="199.37"/>
    <s v="Valid"/>
    <n v="199.37"/>
    <s v="Low"/>
    <n v="0.10100000000000001"/>
    <s v="Valid"/>
    <n v="0.10100000000000001"/>
    <n v="37"/>
    <n v="6631.6443100000006"/>
    <n v="6605.61"/>
    <n v="26.034310000000914"/>
    <n v="3.9257699573457538E-3"/>
  </r>
  <r>
    <s v="ORD-2024-692673"/>
    <d v="2024-03-07T00:00:00"/>
    <x v="0"/>
    <s v="Q1-2024"/>
    <d v="2024-03-25T00:00:00"/>
    <s v="Valid"/>
    <n v="18"/>
    <d v="2024-03-25T00:00:00"/>
    <x v="3"/>
    <s v="Europe → Germany → Munich"/>
    <x v="33"/>
    <x v="6"/>
    <s v="Munich"/>
    <s v="Corporate"/>
    <x v="1"/>
    <x v="5"/>
    <x v="0"/>
    <x v="36"/>
    <n v="712.84"/>
    <n v="927.51"/>
    <s v="Valid"/>
    <n v="927.51"/>
    <s v="Medium"/>
    <n v="0.24299999999999999"/>
    <s v="Valid"/>
    <n v="0.24299999999999999"/>
    <n v="27"/>
    <n v="18957.37689"/>
    <n v="19246.68"/>
    <n v="-289.30311000000074"/>
    <n v="-1.5260714163076427E-2"/>
  </r>
  <r>
    <s v="ORD-2025-718992"/>
    <d v="2025-06-24T00:00:00"/>
    <x v="16"/>
    <s v="Q2-2025"/>
    <d v="2025-07-10T00:00:00"/>
    <s v="Valid"/>
    <n v="16"/>
    <d v="2025-07-10T00:00:00"/>
    <x v="1"/>
    <s v="Asia → China → Shanghai"/>
    <x v="34"/>
    <x v="9"/>
    <s v="Shanghai"/>
    <s v="Enterprise"/>
    <x v="4"/>
    <x v="13"/>
    <x v="0"/>
    <x v="37"/>
    <n v="757.19"/>
    <n v="1735.41"/>
    <s v="Valid"/>
    <n v="1735.41"/>
    <s v="Medium"/>
    <n v="0.13600000000000001"/>
    <s v="Valid"/>
    <n v="0.13600000000000001"/>
    <n v="8"/>
    <n v="11995.153920000001"/>
    <n v="6057.52"/>
    <n v="5937.6339200000002"/>
    <n v="0.4950027285685718"/>
  </r>
  <r>
    <s v="ORD-2024-599522"/>
    <d v="2024-04-19T00:00:00"/>
    <x v="20"/>
    <s v="Q2-2024"/>
    <d v="2024-05-06T00:00:00"/>
    <s v="Valid"/>
    <n v="17"/>
    <d v="2024-05-06T00:00:00"/>
    <x v="0"/>
    <s v="Africa → Nigeria → Port Harcourt"/>
    <x v="35"/>
    <x v="1"/>
    <s v="Port Harcourt"/>
    <s v="Non-Profit"/>
    <x v="1"/>
    <x v="8"/>
    <x v="1"/>
    <x v="38"/>
    <n v="865.33"/>
    <n v="1395.64"/>
    <s v="Valid"/>
    <n v="1395.64"/>
    <s v="Medium"/>
    <n v="0.17499999999999999"/>
    <s v="Valid"/>
    <n v="0.17499999999999999"/>
    <n v="13"/>
    <n v="14968.239"/>
    <n v="11249.29"/>
    <n v="3718.9489999999987"/>
    <n v="0.24845601409758347"/>
  </r>
  <r>
    <s v="ORD-2023-651638"/>
    <d v="2023-06-17T00:00:00"/>
    <x v="23"/>
    <s v="Q2-2023"/>
    <d v="2023-06-24T00:00:00"/>
    <s v="Valid"/>
    <n v="7"/>
    <d v="2023-06-24T00:00:00"/>
    <x v="2"/>
    <s v="Americas → USA → San Francisco"/>
    <x v="36"/>
    <x v="10"/>
    <s v="San Francisco"/>
    <s v="Corporate"/>
    <x v="0"/>
    <x v="2"/>
    <x v="1"/>
    <x v="39"/>
    <n v="313.99"/>
    <n v="454.42"/>
    <s v="Valid"/>
    <n v="454.42"/>
    <s v="Low"/>
    <n v="0.129"/>
    <s v="Valid"/>
    <n v="0.129"/>
    <n v="9"/>
    <n v="3562.1983800000003"/>
    <n v="2825.91"/>
    <n v="736.28838000000042"/>
    <n v="0.20669493988147858"/>
  </r>
  <r>
    <s v="ORD-2024-635626"/>
    <d v="2024-08-27T00:00:00"/>
    <x v="21"/>
    <s v="Q3-2024"/>
    <d v="2024-09-19T00:00:00"/>
    <s v="Valid"/>
    <n v="23"/>
    <d v="2024-09-19T00:00:00"/>
    <x v="3"/>
    <s v="Europe → Germany → Berlin"/>
    <x v="37"/>
    <x v="6"/>
    <s v="Berlin"/>
    <s v="Small Business"/>
    <x v="4"/>
    <x v="14"/>
    <x v="5"/>
    <x v="40"/>
    <n v="1024.01"/>
    <n v="1580.97"/>
    <s v="Valid"/>
    <n v="1580.97"/>
    <s v="Medium"/>
    <n v="3.6999999999999998E-2"/>
    <s v="Valid"/>
    <n v="3.6999999999999998E-2"/>
    <n v="27"/>
    <n v="41106.800970000004"/>
    <n v="27648.27"/>
    <n v="13458.530970000003"/>
    <n v="0.3274039976942531"/>
  </r>
  <r>
    <s v="ORD-2024-296582"/>
    <d v="2024-01-11T00:00:00"/>
    <x v="9"/>
    <s v="Q1-2024"/>
    <d v="2024-02-02T00:00:00"/>
    <s v="Valid"/>
    <n v="22"/>
    <d v="2024-02-02T00:00:00"/>
    <x v="0"/>
    <s v="Africa → South Africa → Durban"/>
    <x v="38"/>
    <x v="11"/>
    <s v="Durban"/>
    <s v="Consumer"/>
    <x v="1"/>
    <x v="11"/>
    <x v="2"/>
    <x v="41"/>
    <n v="1206.2"/>
    <n v="1759.79"/>
    <s v="Valid"/>
    <n v="1759.79"/>
    <s v="Medium"/>
    <n v="0"/>
    <s v="Valid"/>
    <n v="0"/>
    <n v="6"/>
    <n v="10558.74"/>
    <n v="7237.2000000000007"/>
    <n v="3321.5399999999991"/>
    <n v="0.31457730751964713"/>
  </r>
  <r>
    <s v="ORD-2024-998320"/>
    <d v="2024-10-25T00:00:00"/>
    <x v="1"/>
    <s v="Q4-2024"/>
    <d v="2024-11-14T00:00:00"/>
    <s v="Valid"/>
    <n v="20"/>
    <d v="2024-11-14T00:00:00"/>
    <x v="0"/>
    <s v="Africa → Kenya → Mombasa"/>
    <x v="39"/>
    <x v="0"/>
    <s v="Mombasa"/>
    <s v="Corporate"/>
    <x v="4"/>
    <x v="10"/>
    <x v="1"/>
    <x v="42"/>
    <n v="1396.48"/>
    <n v="3204.5"/>
    <s v="Valid"/>
    <n v="3204.5"/>
    <s v="High"/>
    <n v="0.318"/>
    <s v="High Discount"/>
    <n v="0.3"/>
    <n v="14"/>
    <n v="31404.1"/>
    <n v="19550.72"/>
    <n v="11853.379999999997"/>
    <n v="0.3774468938769141"/>
  </r>
  <r>
    <s v="ORD-2025-820255"/>
    <d v="2025-05-29T00:00:00"/>
    <x v="8"/>
    <s v="Q2-2025"/>
    <d v="2025-06-20T00:00:00"/>
    <s v="Valid"/>
    <n v="22"/>
    <d v="2025-06-20T00:00:00"/>
    <x v="3"/>
    <s v="Europe → Germany → Berlin"/>
    <x v="40"/>
    <x v="6"/>
    <s v="Berlin"/>
    <s v="Corporate"/>
    <x v="4"/>
    <x v="8"/>
    <x v="1"/>
    <x v="43"/>
    <n v="483.47"/>
    <n v="1135.43"/>
    <s v="Valid"/>
    <n v="1135.43"/>
    <s v="Medium"/>
    <n v="0.14599999999999999"/>
    <s v="Valid"/>
    <n v="0.14599999999999999"/>
    <n v="11"/>
    <n v="10666.229420000001"/>
    <n v="5318.17"/>
    <n v="5348.0594200000014"/>
    <n v="0.50140112399719983"/>
  </r>
  <r>
    <s v="ORD-2024-389336"/>
    <d v="2024-05-20T00:00:00"/>
    <x v="7"/>
    <s v="Q2-2024"/>
    <d v="2024-06-02T00:00:00"/>
    <s v="Valid"/>
    <n v="13"/>
    <d v="2024-06-02T00:00:00"/>
    <x v="2"/>
    <s v="Americas → Canada → Vancouver"/>
    <x v="41"/>
    <x v="3"/>
    <s v="Vancouver"/>
    <s v="Enterprise"/>
    <x v="2"/>
    <x v="11"/>
    <x v="0"/>
    <x v="44"/>
    <n v="675.43"/>
    <n v="996.36"/>
    <s v="Valid"/>
    <n v="996.36"/>
    <s v="Medium"/>
    <n v="0.182"/>
    <s v="Valid"/>
    <n v="0.182"/>
    <n v="22"/>
    <n v="17930.494560000003"/>
    <n v="14859.46"/>
    <n v="3071.0345600000037"/>
    <n v="0.17127439233332575"/>
  </r>
  <r>
    <s v="ORD-2023-308124"/>
    <d v="2023-04-19T00:00:00"/>
    <x v="12"/>
    <s v="Q2-2023"/>
    <d v="2023-04-30T00:00:00"/>
    <s v="Valid"/>
    <n v="11"/>
    <d v="2023-04-30T00:00:00"/>
    <x v="1"/>
    <s v="Asia → India → Delhi"/>
    <x v="42"/>
    <x v="4"/>
    <s v="Delhi"/>
    <s v="Small Business"/>
    <x v="0"/>
    <x v="8"/>
    <x v="2"/>
    <x v="45"/>
    <n v="826.55"/>
    <n v="1397.05"/>
    <s v="Valid"/>
    <n v="1397.05"/>
    <s v="Medium"/>
    <n v="0.16900000000000001"/>
    <s v="Valid"/>
    <n v="0.16900000000000001"/>
    <n v="28"/>
    <n v="32506.559399999998"/>
    <n v="23143.399999999998"/>
    <n v="9363.1594000000005"/>
    <n v="0.28803907804527601"/>
  </r>
  <r>
    <s v="ORD-2023-128295"/>
    <d v="2023-06-23T00:00:00"/>
    <x v="23"/>
    <s v="Q2-2023"/>
    <d v="2023-07-03T00:00:00"/>
    <s v="Valid"/>
    <n v="10"/>
    <d v="2023-07-03T00:00:00"/>
    <x v="0"/>
    <s v="Africa → Nigeria → Abuja"/>
    <x v="43"/>
    <x v="1"/>
    <s v="Abuja"/>
    <s v="Consumer"/>
    <x v="1"/>
    <x v="1"/>
    <x v="1"/>
    <x v="46"/>
    <n v="337.75"/>
    <n v="548.89"/>
    <s v="Valid"/>
    <n v="548.89"/>
    <s v="Low"/>
    <n v="0"/>
    <s v="Valid"/>
    <n v="0"/>
    <n v="13"/>
    <n v="7135.57"/>
    <n v="4390.75"/>
    <n v="2744.8199999999997"/>
    <n v="0.38466723751571352"/>
  </r>
  <r>
    <s v="ORD-2024-548345"/>
    <d v="2024-05-14T00:00:00"/>
    <x v="7"/>
    <s v="Q2-2024"/>
    <d v="2024-05-28T00:00:00"/>
    <s v="Valid"/>
    <n v="14"/>
    <d v="2024-05-28T00:00:00"/>
    <x v="3"/>
    <s v="Europe → United Kingdom → Birmingham"/>
    <x v="44"/>
    <x v="8"/>
    <s v="Birmingham"/>
    <s v="Consumer"/>
    <x v="0"/>
    <x v="5"/>
    <x v="2"/>
    <x v="47"/>
    <n v="1421.14"/>
    <n v="3524"/>
    <s v="Valid"/>
    <n v="3524"/>
    <s v="High"/>
    <n v="0"/>
    <s v="Valid"/>
    <n v="0"/>
    <n v="31"/>
    <n v="109244"/>
    <n v="44055.340000000004"/>
    <n v="65188.659999999996"/>
    <n v="0.59672531214528945"/>
  </r>
  <r>
    <s v="ORD-2024-966651"/>
    <d v="2024-10-14T00:00:00"/>
    <x v="1"/>
    <s v="Q4-2024"/>
    <d v="2024-11-08T00:00:00"/>
    <s v="Valid"/>
    <n v="25"/>
    <d v="2024-11-08T00:00:00"/>
    <x v="0"/>
    <s v="Africa → Nigeria → Lagos"/>
    <x v="1"/>
    <x v="1"/>
    <s v="Lagos"/>
    <s v="Enterprise"/>
    <x v="1"/>
    <x v="7"/>
    <x v="2"/>
    <x v="48"/>
    <n v="859.35"/>
    <n v="1825.61"/>
    <s v="Valid"/>
    <n v="1825.61"/>
    <s v="Medium"/>
    <n v="0.187"/>
    <s v="Valid"/>
    <n v="0.187"/>
    <n v="24"/>
    <n v="35621.302319999995"/>
    <n v="20624.400000000001"/>
    <n v="14996.902319999994"/>
    <n v="0.42100937762681989"/>
  </r>
  <r>
    <s v="ORD-2023-292714"/>
    <d v="2023-07-10T00:00:00"/>
    <x v="24"/>
    <s v="Q3-2023"/>
    <d v="2023-08-01T00:00:00"/>
    <s v="Valid"/>
    <n v="22"/>
    <d v="2023-08-01T00:00:00"/>
    <x v="3"/>
    <s v="Europe → France → Marseille"/>
    <x v="45"/>
    <x v="7"/>
    <s v="Marseille"/>
    <s v="Consumer"/>
    <x v="2"/>
    <x v="5"/>
    <x v="1"/>
    <x v="49"/>
    <n v="1303.56"/>
    <n v="1791.37"/>
    <s v="Valid"/>
    <n v="1791.37"/>
    <s v="Medium"/>
    <n v="0.126"/>
    <s v="Valid"/>
    <n v="0.126"/>
    <n v="22"/>
    <n v="34444.462359999998"/>
    <n v="28678.32"/>
    <n v="5766.142359999998"/>
    <n v="0.16740404596055358"/>
  </r>
  <r>
    <s v="ORD-2024-468501"/>
    <d v="2024-11-06T00:00:00"/>
    <x v="18"/>
    <s v="Q4-2024"/>
    <d v="2024-11-22T00:00:00"/>
    <s v="Valid"/>
    <n v="16"/>
    <d v="2024-11-22T00:00:00"/>
    <x v="2"/>
    <s v="Americas → Canada → Toronto"/>
    <x v="46"/>
    <x v="3"/>
    <s v="Toronto"/>
    <s v="Non-Profit"/>
    <x v="3"/>
    <x v="14"/>
    <x v="6"/>
    <x v="50"/>
    <n v="1454.11"/>
    <n v="2629.75"/>
    <s v="Valid"/>
    <n v="2629.75"/>
    <s v="High"/>
    <n v="0.29199999999999998"/>
    <s v="Valid"/>
    <n v="0.29199999999999998"/>
    <n v="8"/>
    <n v="14894.903999999999"/>
    <n v="11632.88"/>
    <n v="3262.0239999999994"/>
    <n v="0.21900268709351867"/>
  </r>
  <r>
    <s v="ORD-2024-260775"/>
    <d v="2024-10-17T00:00:00"/>
    <x v="1"/>
    <s v="Q4-2024"/>
    <d v="2024-11-06T00:00:00"/>
    <s v="Valid"/>
    <n v="20"/>
    <d v="2024-11-06T00:00:00"/>
    <x v="1"/>
    <s v="Asia → India → Bengaluru"/>
    <x v="47"/>
    <x v="4"/>
    <s v="Bengaluru"/>
    <s v="Enterprise"/>
    <x v="3"/>
    <x v="7"/>
    <x v="5"/>
    <x v="51"/>
    <n v="72.94"/>
    <n v="106.3"/>
    <s v="Valid"/>
    <n v="106.3"/>
    <s v="Low"/>
    <n v="0.29499999999999998"/>
    <s v="Valid"/>
    <n v="0.29499999999999998"/>
    <n v="8"/>
    <n v="599.53200000000004"/>
    <n v="583.52"/>
    <n v="16.012000000000057"/>
    <n v="2.6707498515508857E-2"/>
  </r>
  <r>
    <s v="ORD-2023-419187"/>
    <d v="2023-03-31T00:00:00"/>
    <x v="22"/>
    <s v="Q1-2023"/>
    <d v="2023-04-05T00:00:00"/>
    <s v="Valid"/>
    <n v="5"/>
    <d v="2023-04-05T00:00:00"/>
    <x v="0"/>
    <s v="Africa → Kenya → Nakuru"/>
    <x v="48"/>
    <x v="0"/>
    <s v="Nakuru"/>
    <s v="Education"/>
    <x v="2"/>
    <x v="5"/>
    <x v="4"/>
    <x v="52"/>
    <n v="533.26"/>
    <n v="385.72"/>
    <s v="Valid"/>
    <n v="385.72"/>
    <s v="Low"/>
    <n v="0"/>
    <s v="Valid"/>
    <n v="0"/>
    <n v="15"/>
    <n v="5785.8"/>
    <n v="7998.9"/>
    <n v="-2213.0999999999995"/>
    <n v="-0.38250544436378708"/>
  </r>
  <r>
    <s v="ORD-2025-578007"/>
    <d v="2025-01-21T00:00:00"/>
    <x v="10"/>
    <s v="Q1-2025"/>
    <d v="2025-02-16T00:00:00"/>
    <s v="Valid"/>
    <n v="26"/>
    <d v="2025-02-16T00:00:00"/>
    <x v="3"/>
    <s v="Europe → France → Lyon"/>
    <x v="49"/>
    <x v="7"/>
    <s v="Lyon"/>
    <s v="Corporate"/>
    <x v="3"/>
    <x v="7"/>
    <x v="4"/>
    <x v="53"/>
    <n v="204.11"/>
    <n v="236.87"/>
    <s v="Valid"/>
    <n v="236.87"/>
    <s v="Low"/>
    <n v="0.182"/>
    <s v="Valid"/>
    <n v="0.182"/>
    <n v="13"/>
    <n v="2518.8755800000004"/>
    <n v="2653.4300000000003"/>
    <n v="-134.55441999999994"/>
    <n v="-5.3418446337075494E-2"/>
  </r>
  <r>
    <s v="ORD-2023-235230"/>
    <d v="2023-08-30T00:00:00"/>
    <x v="25"/>
    <s v="Q3-2023"/>
    <d v="2023-09-01T00:00:00"/>
    <s v="Valid"/>
    <n v="2"/>
    <d v="2023-09-01T00:00:00"/>
    <x v="3"/>
    <s v="Europe → Germany → Munich"/>
    <x v="50"/>
    <x v="6"/>
    <s v="Munich"/>
    <s v="Corporate"/>
    <x v="4"/>
    <x v="13"/>
    <x v="2"/>
    <x v="54"/>
    <n v="44.42"/>
    <n v="41.9"/>
    <s v="Valid"/>
    <n v="41.9"/>
    <s v="Low"/>
    <n v="0.14399999999999999"/>
    <s v="Valid"/>
    <n v="0.14399999999999999"/>
    <n v="6"/>
    <n v="215.19839999999996"/>
    <n v="266.52"/>
    <n v="-51.321600000000018"/>
    <n v="-0.23848504449847224"/>
  </r>
  <r>
    <s v="ORD-2025-765220"/>
    <d v="2025-04-06T00:00:00"/>
    <x v="19"/>
    <s v="Q2-2025"/>
    <d v="2025-04-30T00:00:00"/>
    <s v="Valid"/>
    <n v="24"/>
    <d v="2025-04-30T00:00:00"/>
    <x v="2"/>
    <s v="Americas → Brazil → Brasília"/>
    <x v="51"/>
    <x v="5"/>
    <s v="Brasília"/>
    <s v="Education"/>
    <x v="1"/>
    <x v="11"/>
    <x v="5"/>
    <x v="55"/>
    <n v="855.78"/>
    <n v="977.38"/>
    <s v="Valid"/>
    <n v="977.38"/>
    <s v="Medium"/>
    <n v="0.14699999999999999"/>
    <s v="Valid"/>
    <n v="0.14699999999999999"/>
    <n v="38"/>
    <n v="31680.795320000001"/>
    <n v="32519.64"/>
    <n v="-838.84467999999833"/>
    <n v="-2.6478018355506307E-2"/>
  </r>
  <r>
    <s v="ORD-2025-931538"/>
    <d v="2025-02-09T00:00:00"/>
    <x v="26"/>
    <s v="Q1-2025"/>
    <d v="2025-03-01T00:00:00"/>
    <s v="Valid"/>
    <n v="20"/>
    <d v="2025-03-01T00:00:00"/>
    <x v="2"/>
    <s v="Americas → Brazil → São Paulo"/>
    <x v="52"/>
    <x v="5"/>
    <s v="São Paulo"/>
    <s v="Corporate"/>
    <x v="3"/>
    <x v="5"/>
    <x v="4"/>
    <x v="56"/>
    <n v="1154.6400000000001"/>
    <n v="2794.13"/>
    <s v="Valid"/>
    <n v="2794.13"/>
    <s v="High"/>
    <n v="3.5000000000000003E-2"/>
    <s v="Valid"/>
    <n v="3.5000000000000003E-2"/>
    <n v="11"/>
    <n v="29659.68995"/>
    <n v="12701.04"/>
    <n v="16958.649949999999"/>
    <n v="0.57177435025749479"/>
  </r>
  <r>
    <s v="ORD-2024-289089"/>
    <d v="2024-12-17T00:00:00"/>
    <x v="6"/>
    <s v="Q4-2024"/>
    <d v="2024-12-18T00:00:00"/>
    <s v="Valid"/>
    <n v="1"/>
    <d v="2024-12-18T00:00:00"/>
    <x v="3"/>
    <s v="Europe → Germany → Munich"/>
    <x v="53"/>
    <x v="6"/>
    <s v="Munich"/>
    <s v="Education"/>
    <x v="0"/>
    <x v="4"/>
    <x v="6"/>
    <x v="57"/>
    <n v="346.82"/>
    <n v="701.95"/>
    <s v="Valid"/>
    <n v="701.95"/>
    <s v="Medium"/>
    <n v="0.14699999999999999"/>
    <s v="Valid"/>
    <n v="0.14699999999999999"/>
    <n v="8"/>
    <n v="4790.1068000000005"/>
    <n v="2774.56"/>
    <n v="2015.5468000000005"/>
    <n v="0.42077283120284509"/>
  </r>
  <r>
    <s v="ORD-2025-639542"/>
    <d v="2025-06-09T00:00:00"/>
    <x v="16"/>
    <s v="Q2-2025"/>
    <d v="2025-06-18T00:00:00"/>
    <s v="Valid"/>
    <n v="9"/>
    <d v="2025-06-18T00:00:00"/>
    <x v="3"/>
    <s v="Europe → France → Marseille"/>
    <x v="54"/>
    <x v="7"/>
    <s v="Marseille"/>
    <s v="Small Business"/>
    <x v="2"/>
    <x v="10"/>
    <x v="6"/>
    <x v="58"/>
    <n v="1225.5"/>
    <n v="-5.27"/>
    <s v="Invalid Price"/>
    <n v="1242.0129545454542"/>
    <s v="Medium"/>
    <n v="7.4999999999999997E-2"/>
    <s v="Valid"/>
    <n v="7.4999999999999997E-2"/>
    <n v="56"/>
    <n v="64336.27104545453"/>
    <n v="68628"/>
    <n v="-4291.7289545454696"/>
    <n v="-6.6707766626904738E-2"/>
  </r>
  <r>
    <s v="ORD-2025-762301"/>
    <d v="2025-05-02T00:00:00"/>
    <x v="8"/>
    <s v="Q2-2025"/>
    <d v="2025-05-13T00:00:00"/>
    <s v="Valid"/>
    <n v="11"/>
    <d v="2025-05-13T00:00:00"/>
    <x v="0"/>
    <s v="Africa → Kenya → Nakuru"/>
    <x v="55"/>
    <x v="0"/>
    <s v="Nakuru"/>
    <s v="Small Business"/>
    <x v="1"/>
    <x v="8"/>
    <x v="6"/>
    <x v="59"/>
    <n v="1057.5999999999999"/>
    <n v="1437.06"/>
    <s v="Valid"/>
    <n v="1437.06"/>
    <s v="Medium"/>
    <n v="0.20499999999999999"/>
    <s v="Valid"/>
    <n v="0.20499999999999999"/>
    <n v="4"/>
    <n v="4569.8508000000002"/>
    <n v="4230.3999999999996"/>
    <n v="339.45080000000053"/>
    <n v="7.4280499485891424E-2"/>
  </r>
  <r>
    <s v="ORD-2024-906395"/>
    <d v="2024-03-10T00:00:00"/>
    <x v="0"/>
    <s v="Q1-2024"/>
    <d v="2024-04-09T00:00:00"/>
    <s v="Valid"/>
    <n v="30"/>
    <d v="2024-04-09T00:00:00"/>
    <x v="3"/>
    <s v="Europe → France → Lyon"/>
    <x v="56"/>
    <x v="7"/>
    <s v="Lyon"/>
    <s v="Corporate"/>
    <x v="4"/>
    <x v="2"/>
    <x v="0"/>
    <x v="60"/>
    <n v="1176.56"/>
    <n v="1911.89"/>
    <s v="Valid"/>
    <n v="1911.89"/>
    <s v="Medium"/>
    <n v="0.11899999999999999"/>
    <s v="Valid"/>
    <n v="0.11899999999999999"/>
    <n v="20"/>
    <n v="33687.501800000005"/>
    <n v="23531.199999999997"/>
    <n v="10156.301800000008"/>
    <n v="0.30148575160892477"/>
  </r>
  <r>
    <s v="ORD-2025-779574"/>
    <d v="2025-09-10T00:00:00"/>
    <x v="11"/>
    <s v="Q3-2025"/>
    <d v="2025-09-12T00:00:00"/>
    <s v="Valid"/>
    <n v="2"/>
    <d v="2025-09-12T00:00:00"/>
    <x v="1"/>
    <s v="Asia → Japan → Tokyo"/>
    <x v="17"/>
    <x v="2"/>
    <s v="Tokyo"/>
    <s v="Consumer"/>
    <x v="1"/>
    <x v="7"/>
    <x v="0"/>
    <x v="61"/>
    <n v="1470.15"/>
    <n v="2593.7800000000002"/>
    <s v="Valid"/>
    <n v="2593.7800000000002"/>
    <s v="High"/>
    <n v="0.11"/>
    <s v="Valid"/>
    <n v="0.11"/>
    <n v="12"/>
    <n v="27701.570400000001"/>
    <n v="17641.800000000003"/>
    <n v="10059.770399999998"/>
    <n v="0.36314801849645306"/>
  </r>
  <r>
    <s v="ORD-2025-526650"/>
    <d v="2025-04-27T00:00:00"/>
    <x v="19"/>
    <s v="Q2-2025"/>
    <d v="2025-05-25T00:00:00"/>
    <s v="Valid"/>
    <n v="28"/>
    <d v="2025-05-25T00:00:00"/>
    <x v="3"/>
    <s v="Europe → France → Paris"/>
    <x v="27"/>
    <x v="7"/>
    <s v="Paris"/>
    <s v="Small Business"/>
    <x v="2"/>
    <x v="2"/>
    <x v="3"/>
    <x v="62"/>
    <n v="603.45000000000005"/>
    <n v="1244.08"/>
    <s v="Valid"/>
    <n v="1244.08"/>
    <s v="Medium"/>
    <n v="0.2"/>
    <s v="Valid"/>
    <n v="0.2"/>
    <n v="11"/>
    <n v="10947.904"/>
    <n v="6637.9500000000007"/>
    <n v="4309.9539999999997"/>
    <n v="0.39367846119220623"/>
  </r>
  <r>
    <s v="ORD-2024-247979"/>
    <d v="2024-11-02T00:00:00"/>
    <x v="18"/>
    <s v="Q4-2024"/>
    <d v="2024-11-18T00:00:00"/>
    <s v="Valid"/>
    <n v="16"/>
    <d v="2024-11-18T00:00:00"/>
    <x v="1"/>
    <s v="Asia → India → Mumbai"/>
    <x v="57"/>
    <x v="4"/>
    <s v="Mumbai"/>
    <s v="Small Business"/>
    <x v="3"/>
    <x v="7"/>
    <x v="5"/>
    <x v="63"/>
    <n v="1233.58"/>
    <n v="1912.51"/>
    <s v="Valid"/>
    <n v="1912.51"/>
    <s v="High"/>
    <n v="0.255"/>
    <s v="Valid"/>
    <n v="0.255"/>
    <n v="51"/>
    <n v="72665.817450000002"/>
    <n v="62912.579999999994"/>
    <n v="9753.2374500000078"/>
    <n v="0.134220432553601"/>
  </r>
  <r>
    <s v="ORD-2023-480975"/>
    <d v="2023-02-15T00:00:00"/>
    <x v="2"/>
    <s v="Q1-2023"/>
    <d v="2023-02-26T00:00:00"/>
    <s v="Valid"/>
    <n v="11"/>
    <d v="2023-02-26T00:00:00"/>
    <x v="0"/>
    <s v="Africa → South Africa → Johannesburg"/>
    <x v="58"/>
    <x v="11"/>
    <s v="Johannesburg"/>
    <s v="Non-Profit"/>
    <x v="0"/>
    <x v="11"/>
    <x v="4"/>
    <x v="64"/>
    <n v="498.5"/>
    <n v="755.87"/>
    <s v="Valid"/>
    <n v="755.87"/>
    <s v="Medium"/>
    <n v="0.13"/>
    <s v="Valid"/>
    <n v="0.13"/>
    <n v="40"/>
    <n v="26304.275999999998"/>
    <n v="19940"/>
    <n v="6364.275999999998"/>
    <n v="0.24194834330357537"/>
  </r>
  <r>
    <s v="ORD-2023-239789"/>
    <d v="2023-12-03T00:00:00"/>
    <x v="4"/>
    <s v="Q4-2023"/>
    <d v="2023-12-26T00:00:00"/>
    <s v="Valid"/>
    <n v="23"/>
    <d v="2023-12-26T00:00:00"/>
    <x v="2"/>
    <s v="Americas → Brazil → Rio de Janeiro"/>
    <x v="59"/>
    <x v="5"/>
    <s v="Rio de Janeiro"/>
    <s v="Education"/>
    <x v="0"/>
    <x v="7"/>
    <x v="3"/>
    <x v="65"/>
    <n v="1303.1099999999999"/>
    <n v="1145.67"/>
    <s v="Valid"/>
    <n v="1145.67"/>
    <s v="Medium"/>
    <n v="0.184"/>
    <s v="Valid"/>
    <n v="0.184"/>
    <n v="13"/>
    <n v="12153.267360000002"/>
    <n v="16940.43"/>
    <n v="-4787.1626399999986"/>
    <n v="-0.39389922875851208"/>
  </r>
  <r>
    <s v="ORD-2023-548874"/>
    <d v="2023-03-19T00:00:00"/>
    <x v="22"/>
    <s v="Q1-2023"/>
    <d v="2023-04-09T00:00:00"/>
    <s v="Valid"/>
    <n v="21"/>
    <d v="2023-04-09T00:00:00"/>
    <x v="3"/>
    <s v="Europe → United Kingdom → Manchester"/>
    <x v="60"/>
    <x v="8"/>
    <s v="Manchester"/>
    <s v="Consumer"/>
    <x v="0"/>
    <x v="4"/>
    <x v="6"/>
    <x v="66"/>
    <n v="1082.17"/>
    <n v="1234.0999999999999"/>
    <s v="Valid"/>
    <n v="1234.0999999999999"/>
    <s v="Medium"/>
    <n v="0.189"/>
    <s v="Valid"/>
    <n v="0.189"/>
    <n v="16"/>
    <n v="16013.681599999998"/>
    <n v="17314.72"/>
    <n v="-1301.0384000000031"/>
    <n v="-8.124542703534228E-2"/>
  </r>
  <r>
    <s v="ORD-2024-347736"/>
    <d v="2024-05-22T00:00:00"/>
    <x v="7"/>
    <s v="Q2-2024"/>
    <d v="2024-06-06T00:00:00"/>
    <s v="Valid"/>
    <n v="15"/>
    <d v="2024-06-06T00:00:00"/>
    <x v="1"/>
    <s v="Asia → Japan → Nagoya"/>
    <x v="61"/>
    <x v="2"/>
    <s v="Nagoya"/>
    <s v="Corporate"/>
    <x v="3"/>
    <x v="0"/>
    <x v="5"/>
    <x v="67"/>
    <n v="673.88"/>
    <n v="1228.01"/>
    <s v="Valid"/>
    <n v="1228.01"/>
    <s v="Medium"/>
    <n v="0.105"/>
    <s v="Valid"/>
    <n v="0.105"/>
    <n v="13"/>
    <n v="14287.896349999999"/>
    <n v="8760.44"/>
    <n v="5527.4563499999986"/>
    <n v="0.38686285332689996"/>
  </r>
  <r>
    <s v="ORD-2023-749324"/>
    <d v="2023-08-19T00:00:00"/>
    <x v="25"/>
    <s v="Q3-2023"/>
    <d v="2023-09-07T00:00:00"/>
    <s v="Valid"/>
    <n v="19"/>
    <d v="2023-09-07T00:00:00"/>
    <x v="0"/>
    <s v="Africa → South Africa → Johannesburg"/>
    <x v="62"/>
    <x v="11"/>
    <s v="Johannesburg"/>
    <s v="Enterprise"/>
    <x v="0"/>
    <x v="14"/>
    <x v="5"/>
    <x v="68"/>
    <n v="494.61"/>
    <n v="605.23"/>
    <s v="Valid"/>
    <n v="605.23"/>
    <s v="Low"/>
    <n v="0.20399999999999999"/>
    <s v="Valid"/>
    <n v="0.20399999999999999"/>
    <n v="18"/>
    <n v="8671.7354400000004"/>
    <n v="8902.98"/>
    <n v="-231.24455999999918"/>
    <n v="-2.6666468505639647E-2"/>
  </r>
  <r>
    <s v="ORD-2023-809913"/>
    <d v="2023-04-21T00:00:00"/>
    <x v="12"/>
    <s v="Q2-2023"/>
    <d v="2023-05-10T00:00:00"/>
    <s v="Valid"/>
    <n v="19"/>
    <d v="2023-05-10T00:00:00"/>
    <x v="1"/>
    <s v="Asia → China → Shanghai"/>
    <x v="63"/>
    <x v="9"/>
    <s v="Shanghai"/>
    <s v="Corporate"/>
    <x v="0"/>
    <x v="8"/>
    <x v="0"/>
    <x v="69"/>
    <n v="882.33"/>
    <n v="1880.15"/>
    <s v="Valid"/>
    <n v="1880.15"/>
    <s v="Medium"/>
    <n v="0.05"/>
    <s v="Valid"/>
    <n v="0.05"/>
    <n v="5"/>
    <n v="8930.7124999999996"/>
    <n v="4411.6500000000005"/>
    <n v="4519.0624999999991"/>
    <n v="0.50601365792482955"/>
  </r>
  <r>
    <s v="ORD-2024-287210"/>
    <d v="2024-03-18T00:00:00"/>
    <x v="0"/>
    <s v="Q1-2024"/>
    <d v="2024-03-21T00:00:00"/>
    <s v="Valid"/>
    <n v="3"/>
    <d v="2024-03-21T00:00:00"/>
    <x v="3"/>
    <s v="Europe → Germany → Munich"/>
    <x v="33"/>
    <x v="6"/>
    <s v="Munich"/>
    <s v="Small Business"/>
    <x v="1"/>
    <x v="12"/>
    <x v="6"/>
    <x v="70"/>
    <n v="910.63"/>
    <n v="1269.4000000000001"/>
    <s v="Valid"/>
    <n v="1269.4000000000001"/>
    <s v="Medium"/>
    <n v="6.8000000000000005E-2"/>
    <s v="Valid"/>
    <n v="6.8000000000000005E-2"/>
    <n v="9"/>
    <n v="10647.727199999999"/>
    <n v="8195.67"/>
    <n v="2452.0571999999993"/>
    <n v="0.23028925834989455"/>
  </r>
  <r>
    <s v="ORD-2025-640677"/>
    <d v="2025-04-09T00:00:00"/>
    <x v="19"/>
    <s v="Q2-2025"/>
    <d v="2025-05-06T00:00:00"/>
    <s v="Valid"/>
    <n v="27"/>
    <d v="2025-05-06T00:00:00"/>
    <x v="2"/>
    <s v="Americas → Brazil → Brasília"/>
    <x v="51"/>
    <x v="5"/>
    <s v="Brasília"/>
    <s v="Enterprise"/>
    <x v="2"/>
    <x v="9"/>
    <x v="4"/>
    <x v="71"/>
    <n v="264.19"/>
    <n v="620.92999999999995"/>
    <s v="Valid"/>
    <n v="620.92999999999995"/>
    <s v="Medium"/>
    <n v="0.14199999999999999"/>
    <s v="Valid"/>
    <n v="0.14199999999999999"/>
    <n v="12"/>
    <n v="6393.0952799999995"/>
    <n v="3170.2799999999997"/>
    <n v="3222.8152799999998"/>
    <n v="0.50410875152794532"/>
  </r>
  <r>
    <s v="ORD-2024-939873"/>
    <d v="2024-04-12T00:00:00"/>
    <x v="20"/>
    <s v="Q2-2024"/>
    <d v="2024-05-07T00:00:00"/>
    <s v="Valid"/>
    <n v="25"/>
    <d v="2024-05-07T00:00:00"/>
    <x v="0"/>
    <s v="Africa → South Africa → Johannesburg"/>
    <x v="64"/>
    <x v="11"/>
    <s v="Johannesburg"/>
    <s v="Education"/>
    <x v="3"/>
    <x v="8"/>
    <x v="4"/>
    <x v="72"/>
    <n v="1376.51"/>
    <n v="1455.91"/>
    <s v="Valid"/>
    <n v="1455.91"/>
    <s v="Medium"/>
    <n v="0.185"/>
    <s v="Valid"/>
    <n v="0.185"/>
    <n v="17"/>
    <n v="20171.63305"/>
    <n v="23400.67"/>
    <n v="-3229.0369499999979"/>
    <n v="-0.1600781127634085"/>
  </r>
  <r>
    <s v="ORD-2024-800947"/>
    <d v="2024-12-15T00:00:00"/>
    <x v="6"/>
    <s v="Q4-2024"/>
    <d v="2024-12-20T00:00:00"/>
    <s v="Valid"/>
    <n v="5"/>
    <d v="2024-12-20T00:00:00"/>
    <x v="1"/>
    <s v="Asia → China → Shenzhen"/>
    <x v="65"/>
    <x v="9"/>
    <s v="Shenzhen"/>
    <s v="Small Business"/>
    <x v="4"/>
    <x v="1"/>
    <x v="2"/>
    <x v="73"/>
    <n v="717.55"/>
    <n v="546.42999999999995"/>
    <s v="Valid"/>
    <n v="546.42999999999995"/>
    <s v="Low"/>
    <n v="4.7E-2"/>
    <s v="Valid"/>
    <n v="4.7E-2"/>
    <n v="18"/>
    <n v="9373.460219999999"/>
    <n v="12915.9"/>
    <n v="-3542.4397800000006"/>
    <n v="-0.37792231437026369"/>
  </r>
  <r>
    <s v="ORD-2023-382272"/>
    <d v="2023-05-20T00:00:00"/>
    <x v="15"/>
    <s v="Q2-2023"/>
    <d v="2023-05-18T00:00:00"/>
    <s v="Invalid RequiredDate"/>
    <n v="-2"/>
    <d v="2023-06-15T00:00:00"/>
    <x v="0"/>
    <s v="Africa → South Africa → Durban"/>
    <x v="66"/>
    <x v="11"/>
    <s v="Durban"/>
    <s v="Corporate"/>
    <x v="3"/>
    <x v="8"/>
    <x v="0"/>
    <x v="74"/>
    <n v="917.88"/>
    <n v="1347.92"/>
    <s v="Valid"/>
    <n v="1347.92"/>
    <s v="Medium"/>
    <n v="0.34300000000000003"/>
    <s v="High Discount"/>
    <n v="0.3"/>
    <n v="5"/>
    <n v="4717.72"/>
    <n v="4589.3999999999996"/>
    <n v="128.32000000000062"/>
    <n v="2.7199579457873848E-2"/>
  </r>
  <r>
    <s v="ORD-2023-722117"/>
    <d v="2023-09-18T00:00:00"/>
    <x v="27"/>
    <s v="Q3-2023"/>
    <d v="2023-10-08T00:00:00"/>
    <s v="Valid"/>
    <n v="20"/>
    <d v="2023-10-08T00:00:00"/>
    <x v="1"/>
    <s v="Asia → India → Delhi"/>
    <x v="67"/>
    <x v="4"/>
    <s v="Delhi"/>
    <s v="Small Business"/>
    <x v="4"/>
    <x v="5"/>
    <x v="0"/>
    <x v="75"/>
    <n v="825.64"/>
    <n v="1108.43"/>
    <s v="Valid"/>
    <n v="1108.43"/>
    <s v="Medium"/>
    <n v="0.114"/>
    <s v="Valid"/>
    <n v="0.114"/>
    <n v="7"/>
    <n v="6874.4828600000001"/>
    <n v="5779.48"/>
    <n v="1095.0028600000005"/>
    <n v="0.15928512475773349"/>
  </r>
  <r>
    <s v="ORD-2024-446699"/>
    <d v="2024-08-28T00:00:00"/>
    <x v="21"/>
    <s v="Q3-2024"/>
    <d v="2024-09-25T00:00:00"/>
    <s v="Valid"/>
    <n v="28"/>
    <d v="2024-09-25T00:00:00"/>
    <x v="2"/>
    <s v="Americas → Brazil → Rio de Janeiro"/>
    <x v="68"/>
    <x v="5"/>
    <s v="Rio de Janeiro"/>
    <s v="Non-Profit"/>
    <x v="1"/>
    <x v="15"/>
    <x v="6"/>
    <x v="76"/>
    <n v="1394.65"/>
    <n v="3144.1"/>
    <s v="Valid"/>
    <n v="3144.1"/>
    <s v="High"/>
    <n v="0.13400000000000001"/>
    <s v="Valid"/>
    <n v="0.13400000000000001"/>
    <n v="13"/>
    <n v="35396.277799999996"/>
    <n v="18130.45"/>
    <n v="17265.827799999995"/>
    <n v="0.4877865378263021"/>
  </r>
  <r>
    <s v="ORD-2024-451005"/>
    <d v="2024-06-30T00:00:00"/>
    <x v="17"/>
    <s v="Q2-2024"/>
    <d v="2024-06-28T00:00:00"/>
    <s v="Invalid RequiredDate"/>
    <n v="-2"/>
    <d v="2024-07-26T00:00:00"/>
    <x v="2"/>
    <s v="Americas → Brazil → Rio de Janeiro"/>
    <x v="25"/>
    <x v="5"/>
    <s v="Rio de Janeiro"/>
    <s v="Small Business"/>
    <x v="4"/>
    <x v="4"/>
    <x v="6"/>
    <x v="77"/>
    <n v="1112.98"/>
    <n v="2095.73"/>
    <s v="Valid"/>
    <n v="2095.73"/>
    <s v="High"/>
    <n v="7.1999999999999995E-2"/>
    <s v="Valid"/>
    <n v="7.1999999999999995E-2"/>
    <n v="17"/>
    <n v="33062.236480000007"/>
    <n v="18920.66"/>
    <n v="14141.576480000007"/>
    <n v="0.42772594916724777"/>
  </r>
  <r>
    <s v="ORD-2023-290279"/>
    <d v="2023-06-14T00:00:00"/>
    <x v="23"/>
    <s v="Q2-2023"/>
    <d v="2023-06-16T00:00:00"/>
    <s v="Valid"/>
    <n v="2"/>
    <d v="2023-06-16T00:00:00"/>
    <x v="3"/>
    <s v="Europe → United Kingdom → Manchester"/>
    <x v="69"/>
    <x v="8"/>
    <s v="Manchester"/>
    <s v="Non-Profit"/>
    <x v="4"/>
    <x v="11"/>
    <x v="0"/>
    <x v="78"/>
    <n v="357.36"/>
    <n v="703.62"/>
    <s v="Valid"/>
    <n v="703.62"/>
    <s v="Medium"/>
    <n v="0.25700000000000001"/>
    <s v="Valid"/>
    <n v="0.25700000000000001"/>
    <n v="20"/>
    <n v="10455.7932"/>
    <n v="7147.2000000000007"/>
    <n v="3308.5931999999993"/>
    <n v="0.31643636563125593"/>
  </r>
  <r>
    <s v="ORD-2024-192263"/>
    <d v="2024-11-21T00:00:00"/>
    <x v="18"/>
    <s v="Q4-2024"/>
    <d v="2024-12-21T00:00:00"/>
    <s v="Valid"/>
    <n v="30"/>
    <d v="2024-12-21T00:00:00"/>
    <x v="3"/>
    <s v="Europe → France → Marseille"/>
    <x v="26"/>
    <x v="7"/>
    <s v="Marseille"/>
    <s v="Small Business"/>
    <x v="4"/>
    <x v="2"/>
    <x v="5"/>
    <x v="79"/>
    <n v="1122.68"/>
    <n v="1997.19"/>
    <s v="Valid"/>
    <n v="1997.19"/>
    <s v="High"/>
    <n v="0.186"/>
    <s v="Valid"/>
    <n v="0.186"/>
    <n v="3"/>
    <n v="4877.1379800000004"/>
    <n v="3368.04"/>
    <n v="1509.0979800000005"/>
    <n v="0.30942285951073306"/>
  </r>
  <r>
    <s v="ORD-2023-159379"/>
    <d v="2023-02-08T00:00:00"/>
    <x v="2"/>
    <s v="Q1-2023"/>
    <d v="2023-02-11T00:00:00"/>
    <s v="Valid"/>
    <n v="3"/>
    <d v="2023-02-11T00:00:00"/>
    <x v="0"/>
    <s v="Africa → South Africa → Cape Town"/>
    <x v="58"/>
    <x v="11"/>
    <s v="Cape Town"/>
    <s v="Corporate"/>
    <x v="4"/>
    <x v="12"/>
    <x v="2"/>
    <x v="80"/>
    <n v="1410.05"/>
    <n v="2763.95"/>
    <s v="Valid"/>
    <n v="2763.95"/>
    <s v="High"/>
    <n v="0.161"/>
    <s v="Valid"/>
    <n v="0.161"/>
    <n v="26"/>
    <n v="60292.805299999993"/>
    <n v="36661.299999999996"/>
    <n v="23631.505299999997"/>
    <n v="0.39194569206750779"/>
  </r>
  <r>
    <s v="ORD-2023-343322"/>
    <d v="2023-08-19T00:00:00"/>
    <x v="25"/>
    <s v="Q3-2023"/>
    <d v="2023-09-12T00:00:00"/>
    <s v="Valid"/>
    <n v="24"/>
    <d v="2023-09-12T00:00:00"/>
    <x v="2"/>
    <s v="Americas → Canada → Vancouver"/>
    <x v="70"/>
    <x v="3"/>
    <s v="Vancouver"/>
    <s v="Enterprise"/>
    <x v="0"/>
    <x v="2"/>
    <x v="1"/>
    <x v="81"/>
    <n v="1183.95"/>
    <n v="1503.53"/>
    <s v="Valid"/>
    <n v="1503.53"/>
    <s v="Medium"/>
    <n v="0.24099999999999999"/>
    <s v="Valid"/>
    <n v="0.24099999999999999"/>
    <n v="16"/>
    <n v="18258.868320000001"/>
    <n v="18943.2"/>
    <n v="-684.33167999999932"/>
    <n v="-3.7479413729623705E-2"/>
  </r>
  <r>
    <s v="ORD-2025-114382"/>
    <d v="2025-05-14T00:00:00"/>
    <x v="8"/>
    <s v="Q2-2025"/>
    <d v="2025-05-24T00:00:00"/>
    <s v="Valid"/>
    <n v="10"/>
    <d v="2025-05-24T00:00:00"/>
    <x v="3"/>
    <s v="Europe → France → Paris"/>
    <x v="71"/>
    <x v="7"/>
    <s v="Paris"/>
    <s v="Small Business"/>
    <x v="2"/>
    <x v="11"/>
    <x v="0"/>
    <x v="82"/>
    <n v="170.39"/>
    <n v="388.04"/>
    <s v="Valid"/>
    <n v="388.04"/>
    <s v="Low"/>
    <n v="8.4000000000000005E-2"/>
    <s v="Valid"/>
    <n v="8.4000000000000005E-2"/>
    <n v="15"/>
    <n v="5331.6696000000002"/>
    <n v="2555.85"/>
    <n v="2775.8196000000003"/>
    <n v="0.52062858508711796"/>
  </r>
  <r>
    <s v="ORD-2025-488349"/>
    <d v="2025-04-23T00:00:00"/>
    <x v="19"/>
    <s v="Q2-2025"/>
    <d v="2025-04-22T00:00:00"/>
    <s v="Invalid RequiredDate"/>
    <n v="-1"/>
    <d v="2025-05-19T00:00:00"/>
    <x v="2"/>
    <s v="Americas → USA → San Francisco"/>
    <x v="72"/>
    <x v="10"/>
    <s v="San Francisco"/>
    <s v="Non-Profit"/>
    <x v="3"/>
    <x v="14"/>
    <x v="5"/>
    <x v="83"/>
    <n v="23.24"/>
    <n v="44.57"/>
    <s v="Valid"/>
    <n v="44.57"/>
    <s v="Low"/>
    <n v="0.215"/>
    <s v="Valid"/>
    <n v="0.215"/>
    <n v="15"/>
    <n v="524.81174999999996"/>
    <n v="348.59999999999997"/>
    <n v="176.21174999999999"/>
    <n v="0.33576182316802167"/>
  </r>
  <r>
    <s v="ORD-2025-330203"/>
    <d v="2025-03-25T00:00:00"/>
    <x v="3"/>
    <s v="Q1-2025"/>
    <d v="2025-04-17T00:00:00"/>
    <s v="Valid"/>
    <n v="23"/>
    <d v="2025-04-17T00:00:00"/>
    <x v="3"/>
    <s v="Europe → United Kingdom → London"/>
    <x v="73"/>
    <x v="8"/>
    <s v="London"/>
    <s v="Consumer"/>
    <x v="0"/>
    <x v="10"/>
    <x v="2"/>
    <x v="84"/>
    <n v="1421.19"/>
    <n v="1808.26"/>
    <s v="Valid"/>
    <n v="1808.26"/>
    <s v="Medium"/>
    <n v="0.104"/>
    <s v="Valid"/>
    <n v="0.104"/>
    <n v="13"/>
    <n v="21062.61248"/>
    <n v="18475.47"/>
    <n v="2587.1424799999986"/>
    <n v="0.12283103449093123"/>
  </r>
  <r>
    <s v="ORD-2023-841426"/>
    <d v="2023-12-22T00:00:00"/>
    <x v="4"/>
    <s v="Q4-2023"/>
    <d v="2023-12-23T00:00:00"/>
    <s v="Valid"/>
    <n v="1"/>
    <d v="2023-12-23T00:00:00"/>
    <x v="0"/>
    <s v="Africa → South Africa → Cape Town"/>
    <x v="74"/>
    <x v="11"/>
    <s v="Cape Town"/>
    <s v="Non-Profit"/>
    <x v="2"/>
    <x v="14"/>
    <x v="0"/>
    <x v="85"/>
    <n v="1186.18"/>
    <n v="1285.0899999999999"/>
    <s v="Valid"/>
    <n v="1285.0899999999999"/>
    <s v="Medium"/>
    <n v="7.0000000000000007E-2"/>
    <s v="Valid"/>
    <n v="7.0000000000000007E-2"/>
    <n v="11"/>
    <n v="13146.470699999998"/>
    <n v="13047.980000000001"/>
    <n v="98.49069999999665"/>
    <n v="7.4917977796121861E-3"/>
  </r>
  <r>
    <s v="ORD-2024-594592"/>
    <d v="2024-04-06T00:00:00"/>
    <x v="20"/>
    <s v="Q2-2024"/>
    <d v="2024-04-25T00:00:00"/>
    <s v="Valid"/>
    <n v="19"/>
    <d v="2024-04-25T00:00:00"/>
    <x v="1"/>
    <s v="Asia → China → Shanghai"/>
    <x v="75"/>
    <x v="9"/>
    <s v="Shanghai"/>
    <s v="Corporate"/>
    <x v="0"/>
    <x v="11"/>
    <x v="0"/>
    <x v="86"/>
    <n v="1366.48"/>
    <n v="1678.14"/>
    <s v="Valid"/>
    <n v="1678.14"/>
    <s v="Medium"/>
    <n v="0.154"/>
    <s v="Valid"/>
    <n v="0.154"/>
    <n v="10"/>
    <n v="14197.064400000001"/>
    <n v="13664.8"/>
    <n v="532.26440000000184"/>
    <n v="3.7491159087790132E-2"/>
  </r>
  <r>
    <s v="ORD-2025-863978"/>
    <d v="2025-08-07T00:00:00"/>
    <x v="28"/>
    <s v="Q3-2025"/>
    <d v="2025-08-19T00:00:00"/>
    <s v="Valid"/>
    <n v="12"/>
    <d v="2025-08-19T00:00:00"/>
    <x v="0"/>
    <s v="Africa → Kenya → Nakuru"/>
    <x v="76"/>
    <x v="0"/>
    <s v="Nakuru"/>
    <s v="Corporate"/>
    <x v="5"/>
    <x v="12"/>
    <x v="0"/>
    <x v="87"/>
    <n v="601.51"/>
    <n v="679.35"/>
    <s v="Valid"/>
    <n v="679.35"/>
    <s v="Medium"/>
    <n v="0.188"/>
    <s v="Valid"/>
    <n v="0.188"/>
    <n v="3"/>
    <n v="1654.8966000000003"/>
    <n v="1804.53"/>
    <n v="-149.63339999999971"/>
    <n v="-9.0418579626062243E-2"/>
  </r>
  <r>
    <s v="ORD-2024-604471"/>
    <d v="2024-01-21T00:00:00"/>
    <x v="9"/>
    <s v="Q1-2024"/>
    <d v="2024-01-25T00:00:00"/>
    <s v="Valid"/>
    <n v="4"/>
    <d v="2024-01-25T00:00:00"/>
    <x v="1"/>
    <s v="Asia → India → Delhi"/>
    <x v="77"/>
    <x v="4"/>
    <s v="Delhi"/>
    <s v="Consumer"/>
    <x v="4"/>
    <x v="0"/>
    <x v="5"/>
    <x v="88"/>
    <n v="523.70000000000005"/>
    <n v="1109.92"/>
    <s v="Valid"/>
    <n v="1109.92"/>
    <s v="Medium"/>
    <n v="0.03"/>
    <s v="Valid"/>
    <n v="0.03"/>
    <n v="11"/>
    <n v="11842.8464"/>
    <n v="5760.7000000000007"/>
    <n v="6082.1463999999996"/>
    <n v="0.51357133197302973"/>
  </r>
  <r>
    <s v="ORD-2023-258768"/>
    <d v="2023-06-29T00:00:00"/>
    <x v="23"/>
    <s v="Q2-2023"/>
    <d v="2023-07-02T00:00:00"/>
    <s v="Valid"/>
    <n v="3"/>
    <d v="2023-07-02T00:00:00"/>
    <x v="1"/>
    <s v="Asia → Japan → Nagoya"/>
    <x v="78"/>
    <x v="2"/>
    <s v="Nagoya"/>
    <s v="Education"/>
    <x v="2"/>
    <x v="9"/>
    <x v="5"/>
    <x v="89"/>
    <n v="55.65"/>
    <n v="83.57"/>
    <s v="Valid"/>
    <n v="83.57"/>
    <s v="Low"/>
    <n v="6.6000000000000003E-2"/>
    <s v="Valid"/>
    <n v="6.6000000000000003E-2"/>
    <n v="8"/>
    <n v="624.43503999999996"/>
    <n v="445.2"/>
    <n v="179.23503999999997"/>
    <n v="0.2870355257449998"/>
  </r>
  <r>
    <s v="ORD-2025-626047"/>
    <d v="2025-04-28T00:00:00"/>
    <x v="19"/>
    <s v="Q2-2025"/>
    <d v="2025-05-15T00:00:00"/>
    <s v="Valid"/>
    <n v="17"/>
    <d v="2025-05-15T00:00:00"/>
    <x v="1"/>
    <s v="Asia → Japan → Nagoya"/>
    <x v="79"/>
    <x v="2"/>
    <s v="Nagoya"/>
    <s v="Education"/>
    <x v="4"/>
    <x v="13"/>
    <x v="2"/>
    <x v="90"/>
    <n v="691.19"/>
    <n v="1284.3"/>
    <s v="Valid"/>
    <n v="1284.3"/>
    <s v="Medium"/>
    <n v="7.3999999999999996E-2"/>
    <s v="Valid"/>
    <n v="7.3999999999999996E-2"/>
    <n v="7"/>
    <n v="8324.8326000000015"/>
    <n v="4838.33"/>
    <n v="3486.5026000000016"/>
    <n v="0.41880753253825198"/>
  </r>
  <r>
    <s v="ORD-2025-526752"/>
    <d v="2025-06-09T00:00:00"/>
    <x v="16"/>
    <s v="Q2-2025"/>
    <d v="2025-06-25T00:00:00"/>
    <s v="Valid"/>
    <n v="16"/>
    <d v="2025-06-25T00:00:00"/>
    <x v="1"/>
    <s v="Asia → India → Hyderabad"/>
    <x v="80"/>
    <x v="4"/>
    <s v="Hyderabad"/>
    <s v="Enterprise"/>
    <x v="3"/>
    <x v="12"/>
    <x v="3"/>
    <x v="91"/>
    <n v="527.33000000000004"/>
    <n v="911.72"/>
    <s v="Valid"/>
    <n v="911.72"/>
    <s v="Medium"/>
    <n v="0.14399999999999999"/>
    <s v="Valid"/>
    <n v="0.14399999999999999"/>
    <n v="25"/>
    <n v="19510.808000000001"/>
    <n v="13183.250000000002"/>
    <n v="6327.5579999999991"/>
    <n v="0.32431040272652978"/>
  </r>
  <r>
    <s v="ORD-2023-374486"/>
    <d v="2023-06-24T00:00:00"/>
    <x v="23"/>
    <s v="Q2-2023"/>
    <d v="2023-06-23T00:00:00"/>
    <s v="Invalid RequiredDate"/>
    <n v="-1"/>
    <d v="2023-07-20T00:00:00"/>
    <x v="2"/>
    <s v="Americas → Brazil → Rio de Janeiro"/>
    <x v="81"/>
    <x v="5"/>
    <s v="Rio de Janeiro"/>
    <s v="Non-Profit"/>
    <x v="0"/>
    <x v="6"/>
    <x v="1"/>
    <x v="92"/>
    <n v="804.01"/>
    <n v="1405.07"/>
    <s v="Valid"/>
    <n v="1405.07"/>
    <s v="Medium"/>
    <n v="9.6000000000000002E-2"/>
    <s v="Valid"/>
    <n v="9.6000000000000002E-2"/>
    <n v="8"/>
    <n v="10161.46624"/>
    <n v="6432.08"/>
    <n v="3729.3862399999998"/>
    <n v="0.36701260939287439"/>
  </r>
  <r>
    <s v="ORD-2024-997336"/>
    <d v="2024-10-04T00:00:00"/>
    <x v="1"/>
    <s v="Q4-2024"/>
    <d v="2024-11-02T00:00:00"/>
    <s v="Valid"/>
    <n v="29"/>
    <d v="2024-11-02T00:00:00"/>
    <x v="0"/>
    <s v="Africa → Nigeria → Abuja"/>
    <x v="1"/>
    <x v="1"/>
    <s v="Abuja"/>
    <s v="Corporate"/>
    <x v="3"/>
    <x v="9"/>
    <x v="6"/>
    <x v="93"/>
    <n v="412.09"/>
    <n v="968.94"/>
    <s v="Valid"/>
    <n v="968.94"/>
    <s v="Medium"/>
    <n v="9.9000000000000005E-2"/>
    <s v="Valid"/>
    <n v="9.9000000000000005E-2"/>
    <n v="23"/>
    <n v="20079.343620000003"/>
    <n v="9478.07"/>
    <n v="10601.273620000004"/>
    <n v="0.52796913189137418"/>
  </r>
  <r>
    <s v="ORD-2025-725646"/>
    <d v="2025-09-10T00:00:00"/>
    <x v="11"/>
    <s v="Q3-2025"/>
    <d v="2025-09-30T00:00:00"/>
    <s v="Valid"/>
    <n v="20"/>
    <d v="2025-09-30T00:00:00"/>
    <x v="0"/>
    <s v="Africa → Kenya → Mombasa"/>
    <x v="82"/>
    <x v="0"/>
    <s v="Mombasa"/>
    <s v="Corporate"/>
    <x v="4"/>
    <x v="4"/>
    <x v="3"/>
    <x v="94"/>
    <n v="1009.48"/>
    <n v="1088.81"/>
    <s v="Valid"/>
    <n v="1088.81"/>
    <s v="Medium"/>
    <n v="0.16"/>
    <s v="Valid"/>
    <n v="0.16"/>
    <n v="6"/>
    <n v="5487.6023999999998"/>
    <n v="6056.88"/>
    <n v="-569.27760000000035"/>
    <n v="-0.10373885688219693"/>
  </r>
  <r>
    <s v="ORD-2023-868734"/>
    <d v="2023-04-06T00:00:00"/>
    <x v="12"/>
    <s v="Q2-2023"/>
    <d v="2023-04-27T00:00:00"/>
    <s v="Valid"/>
    <n v="21"/>
    <d v="2023-04-27T00:00:00"/>
    <x v="3"/>
    <s v="Europe → United Kingdom → Manchester"/>
    <x v="83"/>
    <x v="8"/>
    <s v="Manchester"/>
    <s v="Enterprise"/>
    <x v="3"/>
    <x v="2"/>
    <x v="1"/>
    <x v="95"/>
    <n v="1084.79"/>
    <n v="2484.9899999999998"/>
    <s v="Valid"/>
    <n v="2484.9899999999998"/>
    <s v="High"/>
    <n v="3.4000000000000002E-2"/>
    <s v="Valid"/>
    <n v="3.4000000000000002E-2"/>
    <n v="18"/>
    <n v="43209.006119999991"/>
    <n v="19526.22"/>
    <n v="23682.78611999999"/>
    <n v="0.54809837685755114"/>
  </r>
  <r>
    <s v="ORD-2025-262491"/>
    <d v="2025-08-01T00:00:00"/>
    <x v="28"/>
    <s v="Q3-2025"/>
    <d v="2025-08-16T00:00:00"/>
    <s v="Valid"/>
    <n v="15"/>
    <d v="2025-08-16T00:00:00"/>
    <x v="1"/>
    <s v="Asia → India → unknown"/>
    <x v="84"/>
    <x v="4"/>
    <s v="unknown"/>
    <s v="Enterprise"/>
    <x v="4"/>
    <x v="7"/>
    <x v="5"/>
    <x v="96"/>
    <n v="24.44"/>
    <n v="28.69"/>
    <s v="Valid"/>
    <n v="28.69"/>
    <s v="Low"/>
    <n v="0.14599999999999999"/>
    <s v="Valid"/>
    <n v="0.14599999999999999"/>
    <n v="6"/>
    <n v="147.00756000000001"/>
    <n v="146.64000000000001"/>
    <n v="0.36755999999999744"/>
    <n v="2.5002795774584476E-3"/>
  </r>
  <r>
    <s v="ORD-2024-638884"/>
    <d v="2024-05-28T00:00:00"/>
    <x v="7"/>
    <s v="Q2-2024"/>
    <d v="2024-05-26T00:00:00"/>
    <s v="Invalid RequiredDate"/>
    <n v="-2"/>
    <d v="2024-06-23T00:00:00"/>
    <x v="0"/>
    <s v="Africa → Nigeria → Abuja"/>
    <x v="8"/>
    <x v="1"/>
    <s v="Abuja"/>
    <s v="Enterprise"/>
    <x v="1"/>
    <x v="9"/>
    <x v="6"/>
    <x v="97"/>
    <n v="1227.08"/>
    <n v="1896.62"/>
    <s v="Valid"/>
    <n v="1896.62"/>
    <s v="Medium"/>
    <n v="0"/>
    <s v="Valid"/>
    <n v="0"/>
    <n v="18"/>
    <n v="34139.159999999996"/>
    <n v="22087.439999999999"/>
    <n v="12051.719999999998"/>
    <n v="0.353017473189147"/>
  </r>
  <r>
    <s v="ORD-2025-541501"/>
    <d v="2025-07-22T00:00:00"/>
    <x v="13"/>
    <s v="Q3-2025"/>
    <d v="2025-08-18T00:00:00"/>
    <s v="Valid"/>
    <n v="27"/>
    <d v="2025-08-18T00:00:00"/>
    <x v="1"/>
    <s v="Asia → China → Shenzhen"/>
    <x v="85"/>
    <x v="9"/>
    <s v="Shenzhen"/>
    <s v="Non-Profit"/>
    <x v="2"/>
    <x v="12"/>
    <x v="2"/>
    <x v="98"/>
    <n v="547.32000000000005"/>
    <n v="419.17"/>
    <s v="Valid"/>
    <n v="419.17"/>
    <s v="Low"/>
    <n v="9.1999999999999998E-2"/>
    <s v="Valid"/>
    <n v="9.1999999999999998E-2"/>
    <n v="14"/>
    <n v="5328.4890400000004"/>
    <n v="7662.4800000000005"/>
    <n v="-2333.9909600000001"/>
    <n v="-0.43802116181137907"/>
  </r>
  <r>
    <s v="ORD-2023-422918"/>
    <d v="2023-02-28T00:00:00"/>
    <x v="2"/>
    <s v="Q1-2023"/>
    <d v="2023-03-20T00:00:00"/>
    <s v="Valid"/>
    <n v="20"/>
    <d v="2023-03-20T00:00:00"/>
    <x v="3"/>
    <s v="Europe → Germany → Berlin"/>
    <x v="86"/>
    <x v="6"/>
    <s v="Berlin"/>
    <s v="Small Business"/>
    <x v="4"/>
    <x v="10"/>
    <x v="4"/>
    <x v="99"/>
    <n v="1200.78"/>
    <n v="2001.17"/>
    <s v="Valid"/>
    <n v="2001.17"/>
    <s v="High"/>
    <n v="0.29199999999999998"/>
    <s v="Valid"/>
    <n v="0.29199999999999998"/>
    <n v="18"/>
    <n v="25502.910479999999"/>
    <n v="21614.04"/>
    <n v="3888.8704799999978"/>
    <n v="0.15248732034132906"/>
  </r>
  <r>
    <s v="ORD-2025-328504"/>
    <d v="2025-01-27T00:00:00"/>
    <x v="10"/>
    <s v="Q1-2025"/>
    <d v="2025-02-15T00:00:00"/>
    <s v="Valid"/>
    <n v="19"/>
    <d v="2025-02-15T00:00:00"/>
    <x v="1"/>
    <s v="Asia → China → Shenzhen"/>
    <x v="87"/>
    <x v="9"/>
    <s v="Shenzhen"/>
    <s v="Non-Profit"/>
    <x v="4"/>
    <x v="4"/>
    <x v="3"/>
    <x v="100"/>
    <n v="1253.22"/>
    <n v="3104.71"/>
    <s v="Valid"/>
    <n v="3104.71"/>
    <s v="High"/>
    <n v="0"/>
    <s v="Valid"/>
    <n v="0"/>
    <n v="17"/>
    <n v="52780.07"/>
    <n v="21304.74"/>
    <n v="31475.329999999998"/>
    <n v="0.59634877331538205"/>
  </r>
  <r>
    <s v="ORD-2024-851883"/>
    <d v="2024-01-13T00:00:00"/>
    <x v="9"/>
    <s v="Q1-2024"/>
    <d v="2024-01-22T00:00:00"/>
    <s v="Valid"/>
    <n v="9"/>
    <d v="2024-01-22T00:00:00"/>
    <x v="1"/>
    <s v="Asia → India → Mumbai"/>
    <x v="77"/>
    <x v="4"/>
    <s v="Mumbai"/>
    <s v="Enterprise"/>
    <x v="2"/>
    <x v="1"/>
    <x v="0"/>
    <x v="101"/>
    <n v="313.60000000000002"/>
    <n v="334.28"/>
    <s v="Valid"/>
    <n v="334.28"/>
    <s v="Low"/>
    <n v="0.14000000000000001"/>
    <s v="Valid"/>
    <n v="0.14000000000000001"/>
    <n v="22"/>
    <n v="6324.5775999999996"/>
    <n v="6899.2000000000007"/>
    <n v="-574.62240000000111"/>
    <n v="-9.0855458868905517E-2"/>
  </r>
  <r>
    <s v="ORD-2025-662997"/>
    <d v="2025-03-31T00:00:00"/>
    <x v="3"/>
    <s v="Q1-2025"/>
    <d v="2025-04-04T00:00:00"/>
    <s v="Valid"/>
    <n v="4"/>
    <d v="2025-04-04T00:00:00"/>
    <x v="0"/>
    <s v="Africa → Kenya → Nakuru"/>
    <x v="88"/>
    <x v="0"/>
    <s v="Nakuru"/>
    <s v="Corporate"/>
    <x v="4"/>
    <x v="0"/>
    <x v="4"/>
    <x v="102"/>
    <n v="862.08"/>
    <n v="1952.83"/>
    <s v="Valid"/>
    <n v="1952.83"/>
    <s v="High"/>
    <n v="0"/>
    <s v="Valid"/>
    <n v="0"/>
    <n v="7"/>
    <n v="13669.81"/>
    <n v="6034.56"/>
    <n v="7635.2499999999991"/>
    <n v="0.5585483631447693"/>
  </r>
  <r>
    <s v="ORD-2024-478165"/>
    <d v="2024-12-05T00:00:00"/>
    <x v="6"/>
    <s v="Q4-2024"/>
    <d v="2024-12-28T00:00:00"/>
    <s v="Valid"/>
    <n v="23"/>
    <d v="2024-12-28T00:00:00"/>
    <x v="2"/>
    <s v="Americas → Canada → Vancouver"/>
    <x v="89"/>
    <x v="3"/>
    <s v="Vancouver"/>
    <s v="Corporate"/>
    <x v="4"/>
    <x v="9"/>
    <x v="6"/>
    <x v="103"/>
    <n v="107.03"/>
    <n v="242.29"/>
    <s v="Valid"/>
    <n v="242.29"/>
    <s v="Low"/>
    <n v="0.18"/>
    <s v="Valid"/>
    <n v="0.18"/>
    <n v="30"/>
    <n v="5960.3340000000007"/>
    <n v="3210.9"/>
    <n v="2749.4340000000007"/>
    <n v="0.46128857879440988"/>
  </r>
  <r>
    <s v="ORD-2024-771210"/>
    <d v="2024-09-14T00:00:00"/>
    <x v="29"/>
    <s v="Q3-2024"/>
    <d v="2024-10-05T00:00:00"/>
    <s v="Valid"/>
    <n v="21"/>
    <d v="2024-10-05T00:00:00"/>
    <x v="1"/>
    <s v="Asia → China → Shanghai"/>
    <x v="90"/>
    <x v="9"/>
    <s v="Shanghai"/>
    <s v="Small Business"/>
    <x v="1"/>
    <x v="10"/>
    <x v="4"/>
    <x v="104"/>
    <n v="1405.56"/>
    <n v="2968.87"/>
    <s v="Valid"/>
    <n v="2968.87"/>
    <s v="High"/>
    <n v="0.16900000000000001"/>
    <s v="Valid"/>
    <n v="0.16900000000000001"/>
    <n v="5"/>
    <n v="12335.654849999999"/>
    <n v="7027.7999999999993"/>
    <n v="5307.8548499999997"/>
    <n v="0.4302856163327235"/>
  </r>
  <r>
    <s v="ORD-2024-155337"/>
    <d v="2024-05-21T00:00:00"/>
    <x v="7"/>
    <s v="Q2-2024"/>
    <d v="2024-05-27T00:00:00"/>
    <s v="Valid"/>
    <n v="6"/>
    <d v="2024-05-27T00:00:00"/>
    <x v="0"/>
    <s v="Africa → South Africa → Johannesburg"/>
    <x v="91"/>
    <x v="11"/>
    <s v="Johannesburg"/>
    <s v="Non-Profit"/>
    <x v="1"/>
    <x v="12"/>
    <x v="0"/>
    <x v="105"/>
    <n v="1157.51"/>
    <n v="1394.3"/>
    <s v="Valid"/>
    <n v="1394.3"/>
    <s v="Medium"/>
    <n v="0.27800000000000002"/>
    <s v="Valid"/>
    <n v="0.27800000000000002"/>
    <n v="12"/>
    <n v="12080.215199999999"/>
    <n v="13890.119999999999"/>
    <n v="-1809.9048000000003"/>
    <n v="-0.14982388724333326"/>
  </r>
  <r>
    <s v="ORD-2023-251563"/>
    <d v="2023-05-11T00:00:00"/>
    <x v="15"/>
    <s v="Q2-2023"/>
    <d v="2023-06-07T00:00:00"/>
    <s v="Valid"/>
    <n v="27"/>
    <d v="2023-06-07T00:00:00"/>
    <x v="0"/>
    <s v="Africa → Kenya → Mombasa"/>
    <x v="92"/>
    <x v="0"/>
    <s v="Mombasa"/>
    <s v="Corporate"/>
    <x v="1"/>
    <x v="1"/>
    <x v="3"/>
    <x v="106"/>
    <n v="12.85"/>
    <n v="15.41"/>
    <s v="Valid"/>
    <n v="15.41"/>
    <s v="Low"/>
    <n v="0.13700000000000001"/>
    <s v="Valid"/>
    <n v="0.13700000000000001"/>
    <n v="39"/>
    <n v="518.65436999999997"/>
    <n v="501.15"/>
    <n v="17.504369999999994"/>
    <n v="3.3749585489851353E-2"/>
  </r>
  <r>
    <s v="ORD-2024-286833"/>
    <d v="2024-08-14T00:00:00"/>
    <x v="21"/>
    <s v="Q3-2024"/>
    <d v="2024-09-04T00:00:00"/>
    <s v="Valid"/>
    <n v="21"/>
    <d v="2024-09-04T00:00:00"/>
    <x v="3"/>
    <s v="Europe → United Kingdom → Manchester"/>
    <x v="93"/>
    <x v="8"/>
    <s v="Manchester"/>
    <s v="Non-Profit"/>
    <x v="1"/>
    <x v="1"/>
    <x v="3"/>
    <x v="107"/>
    <n v="1138.8"/>
    <n v="2250.81"/>
    <s v="Valid"/>
    <n v="2250.81"/>
    <s v="High"/>
    <n v="0.123"/>
    <s v="Valid"/>
    <n v="0.123"/>
    <n v="12"/>
    <n v="23687.524440000001"/>
    <n v="13665.599999999999"/>
    <n v="10021.924440000003"/>
    <n v="0.42308872188756258"/>
  </r>
  <r>
    <s v="ORD-2024-792558"/>
    <d v="2024-10-16T00:00:00"/>
    <x v="1"/>
    <s v="Q4-2024"/>
    <d v="2024-11-08T00:00:00"/>
    <s v="Valid"/>
    <n v="23"/>
    <d v="2024-11-08T00:00:00"/>
    <x v="1"/>
    <s v="Asia → Japan → Osaka"/>
    <x v="94"/>
    <x v="2"/>
    <s v="Osaka"/>
    <s v="Small Business"/>
    <x v="0"/>
    <x v="1"/>
    <x v="2"/>
    <x v="108"/>
    <n v="82.14"/>
    <n v="166.04"/>
    <s v="Valid"/>
    <n v="166.04"/>
    <s v="Low"/>
    <n v="0"/>
    <s v="Valid"/>
    <n v="0"/>
    <n v="10"/>
    <n v="1660.3999999999999"/>
    <n v="821.4"/>
    <n v="838.99999999999989"/>
    <n v="0.50529992772825827"/>
  </r>
  <r>
    <s v="ORD-2024-166150"/>
    <d v="2024-06-02T00:00:00"/>
    <x v="17"/>
    <s v="Q2-2024"/>
    <d v="2024-06-08T00:00:00"/>
    <s v="Valid"/>
    <n v="6"/>
    <d v="2024-06-08T00:00:00"/>
    <x v="0"/>
    <s v="Africa → Kenya → Kisumu"/>
    <x v="95"/>
    <x v="0"/>
    <s v="Kisumu"/>
    <s v="Consumer"/>
    <x v="2"/>
    <x v="8"/>
    <x v="6"/>
    <x v="109"/>
    <n v="292.94"/>
    <n v="356.55"/>
    <s v="Valid"/>
    <n v="356.55"/>
    <s v="Low"/>
    <n v="0.22900000000000001"/>
    <s v="Valid"/>
    <n v="0.22900000000000001"/>
    <n v="2"/>
    <n v="549.80010000000004"/>
    <n v="585.88"/>
    <n v="-36.079899999999952"/>
    <n v="-6.5623669402751925E-2"/>
  </r>
  <r>
    <s v="ORD-2024-909942"/>
    <d v="2024-06-09T00:00:00"/>
    <x v="17"/>
    <s v="Q2-2024"/>
    <d v="2024-07-07T00:00:00"/>
    <s v="Valid"/>
    <n v="28"/>
    <d v="2024-07-07T00:00:00"/>
    <x v="1"/>
    <s v="Asia → China → Shenzhen"/>
    <x v="96"/>
    <x v="9"/>
    <s v="Shenzhen"/>
    <s v="Corporate"/>
    <x v="1"/>
    <x v="1"/>
    <x v="0"/>
    <x v="110"/>
    <n v="550.22"/>
    <n v="1025.05"/>
    <s v="Valid"/>
    <n v="1025.05"/>
    <s v="Medium"/>
    <n v="0"/>
    <s v="Valid"/>
    <n v="0"/>
    <n v="27"/>
    <n v="27676.35"/>
    <n v="14855.94"/>
    <n v="12820.409999999998"/>
    <n v="0.46322618408858102"/>
  </r>
  <r>
    <s v="ORD-2024-223618"/>
    <d v="2024-06-10T00:00:00"/>
    <x v="17"/>
    <s v="Q2-2024"/>
    <d v="2024-06-11T00:00:00"/>
    <s v="Valid"/>
    <n v="1"/>
    <d v="2024-06-11T00:00:00"/>
    <x v="3"/>
    <s v="Europe → United Kingdom → Birmingham"/>
    <x v="97"/>
    <x v="8"/>
    <s v="Birmingham"/>
    <s v="Small Business"/>
    <x v="2"/>
    <x v="12"/>
    <x v="4"/>
    <x v="111"/>
    <n v="1187.1300000000001"/>
    <n v="1795.17"/>
    <s v="Valid"/>
    <n v="1795.17"/>
    <s v="Medium"/>
    <n v="1.2E-2"/>
    <s v="Valid"/>
    <n v="1.2E-2"/>
    <n v="17"/>
    <n v="30151.675319999998"/>
    <n v="20181.210000000003"/>
    <n v="9970.4653199999957"/>
    <n v="0.33067699271046663"/>
  </r>
  <r>
    <s v="ORD-2024-919471"/>
    <d v="2024-06-29T00:00:00"/>
    <x v="17"/>
    <s v="Q2-2024"/>
    <d v="2024-07-26T00:00:00"/>
    <s v="Valid"/>
    <n v="27"/>
    <d v="2024-07-26T00:00:00"/>
    <x v="0"/>
    <s v="Africa → South Africa → Durban"/>
    <x v="98"/>
    <x v="11"/>
    <s v="Durban"/>
    <s v="Enterprise"/>
    <x v="3"/>
    <x v="5"/>
    <x v="2"/>
    <x v="112"/>
    <n v="5.36"/>
    <n v="4.37"/>
    <s v="Valid"/>
    <n v="4.37"/>
    <s v="Low"/>
    <n v="0.11799999999999999"/>
    <s v="Valid"/>
    <n v="0.11799999999999999"/>
    <n v="9"/>
    <n v="34.689059999999998"/>
    <n v="48.24"/>
    <n v="-13.550940000000004"/>
    <n v="-0.39064016148030545"/>
  </r>
  <r>
    <s v="ORD-2025-649239"/>
    <d v="2025-01-17T00:00:00"/>
    <x v="10"/>
    <s v="Q1-2025"/>
    <d v="2025-01-24T00:00:00"/>
    <s v="Valid"/>
    <n v="7"/>
    <d v="2025-01-24T00:00:00"/>
    <x v="2"/>
    <s v="Americas → USA → Austin"/>
    <x v="99"/>
    <x v="10"/>
    <s v="Austin"/>
    <s v="Enterprise"/>
    <x v="1"/>
    <x v="3"/>
    <x v="6"/>
    <x v="113"/>
    <n v="142.09"/>
    <n v="218.5"/>
    <s v="Valid"/>
    <n v="218.5"/>
    <s v="Low"/>
    <n v="0.11899999999999999"/>
    <s v="Valid"/>
    <n v="0.11899999999999999"/>
    <n v="11"/>
    <n v="2117.4834999999998"/>
    <n v="1562.99"/>
    <n v="554.49349999999981"/>
    <n v="0.26186437816398561"/>
  </r>
  <r>
    <s v="ORD-2023-975863"/>
    <d v="2023-11-20T00:00:00"/>
    <x v="30"/>
    <s v="Q4-2023"/>
    <d v="2023-12-05T00:00:00"/>
    <s v="Valid"/>
    <n v="15"/>
    <d v="2023-12-05T00:00:00"/>
    <x v="1"/>
    <s v="Asia → Japan → Tokyo"/>
    <x v="100"/>
    <x v="2"/>
    <s v="Tokyo"/>
    <s v="Enterprise"/>
    <x v="0"/>
    <x v="4"/>
    <x v="2"/>
    <x v="114"/>
    <n v="354.24"/>
    <n v="249.87"/>
    <s v="Valid"/>
    <n v="249.87"/>
    <s v="Low"/>
    <n v="0"/>
    <s v="Valid"/>
    <n v="0"/>
    <n v="6"/>
    <n v="1499.22"/>
    <n v="2125.44"/>
    <n v="-626.22"/>
    <n v="-0.41769720254532355"/>
  </r>
  <r>
    <s v="ORD-2023-869884"/>
    <d v="2023-03-02T00:00:00"/>
    <x v="22"/>
    <s v="Q1-2023"/>
    <d v="2023-03-05T00:00:00"/>
    <s v="Valid"/>
    <n v="3"/>
    <d v="2023-03-05T00:00:00"/>
    <x v="2"/>
    <s v="Americas → Brazil → Brasília"/>
    <x v="101"/>
    <x v="5"/>
    <s v="Brasília"/>
    <s v="Enterprise"/>
    <x v="4"/>
    <x v="3"/>
    <x v="5"/>
    <x v="115"/>
    <n v="1473.58"/>
    <n v="3436.52"/>
    <s v="Valid"/>
    <n v="3436.52"/>
    <s v="High"/>
    <n v="0.108"/>
    <s v="Valid"/>
    <n v="0.108"/>
    <n v="8"/>
    <n v="24523.006720000001"/>
    <n v="11788.64"/>
    <n v="12734.366720000002"/>
    <n v="0.51928243813652564"/>
  </r>
  <r>
    <s v="ORD-2025-698069"/>
    <d v="2025-06-03T00:00:00"/>
    <x v="16"/>
    <s v="Q2-2025"/>
    <d v="2025-06-10T00:00:00"/>
    <s v="Valid"/>
    <n v="7"/>
    <d v="2025-06-10T00:00:00"/>
    <x v="2"/>
    <s v="Americas → Canada → Toronto"/>
    <x v="102"/>
    <x v="3"/>
    <s v="Toronto"/>
    <s v="Consumer"/>
    <x v="3"/>
    <x v="7"/>
    <x v="1"/>
    <x v="116"/>
    <n v="75.180000000000007"/>
    <n v="53.45"/>
    <s v="Valid"/>
    <n v="53.45"/>
    <s v="Low"/>
    <n v="0.157"/>
    <s v="Valid"/>
    <n v="0.157"/>
    <n v="17"/>
    <n v="765.99195000000009"/>
    <n v="1278.0600000000002"/>
    <n v="-512.06805000000008"/>
    <n v="-0.66850317421743144"/>
  </r>
  <r>
    <s v="ORD-2024-474999"/>
    <d v="2024-12-27T00:00:00"/>
    <x v="6"/>
    <s v="Q4-2024"/>
    <d v="2025-01-02T00:00:00"/>
    <s v="Valid"/>
    <n v="6"/>
    <d v="2025-01-02T00:00:00"/>
    <x v="3"/>
    <s v="Europe → Germany → Frankfurt"/>
    <x v="53"/>
    <x v="6"/>
    <s v="Frankfurt"/>
    <s v="Education"/>
    <x v="4"/>
    <x v="9"/>
    <x v="4"/>
    <x v="117"/>
    <n v="1391.99"/>
    <n v="3469.7"/>
    <s v="Valid"/>
    <n v="3469.7"/>
    <s v="High"/>
    <n v="0.184"/>
    <s v="Valid"/>
    <n v="0.184"/>
    <n v="23"/>
    <n v="65119.329599999997"/>
    <n v="32015.77"/>
    <n v="33103.559599999993"/>
    <n v="0.50835227886006973"/>
  </r>
  <r>
    <s v="ORD-2023-427304"/>
    <d v="2023-06-09T00:00:00"/>
    <x v="23"/>
    <s v="Q2-2023"/>
    <d v="2023-06-19T00:00:00"/>
    <s v="Valid"/>
    <n v="10"/>
    <d v="2023-06-19T00:00:00"/>
    <x v="1"/>
    <s v="Asia → China → Beijing"/>
    <x v="103"/>
    <x v="9"/>
    <s v="Beijing"/>
    <s v="Enterprise"/>
    <x v="0"/>
    <x v="9"/>
    <x v="5"/>
    <x v="118"/>
    <n v="339.61"/>
    <n v="621.02"/>
    <s v="Valid"/>
    <n v="621.02"/>
    <s v="Medium"/>
    <n v="7.0999999999999994E-2"/>
    <s v="Valid"/>
    <n v="7.0999999999999994E-2"/>
    <n v="10"/>
    <n v="5769.2758000000003"/>
    <n v="3396.1000000000004"/>
    <n v="2373.1758"/>
    <n v="0.41134726129750981"/>
  </r>
  <r>
    <s v="ORD-2025-956101"/>
    <d v="2025-07-09T00:00:00"/>
    <x v="13"/>
    <s v="Q3-2025"/>
    <d v="2025-07-18T00:00:00"/>
    <s v="Valid"/>
    <n v="9"/>
    <d v="2025-07-18T00:00:00"/>
    <x v="2"/>
    <s v="Americas → Canada → Vancouver"/>
    <x v="104"/>
    <x v="3"/>
    <s v="Vancouver"/>
    <s v="Education"/>
    <x v="3"/>
    <x v="2"/>
    <x v="4"/>
    <x v="119"/>
    <n v="57.96"/>
    <n v="88.51"/>
    <s v="Valid"/>
    <n v="88.51"/>
    <s v="Low"/>
    <n v="4.2999999999999997E-2"/>
    <s v="Valid"/>
    <n v="4.2999999999999997E-2"/>
    <n v="7"/>
    <n v="592.92849000000001"/>
    <n v="405.72"/>
    <n v="187.20848999999998"/>
    <n v="0.3157353595877978"/>
  </r>
  <r>
    <s v="ORD-2025-184082"/>
    <d v="2025-06-19T00:00:00"/>
    <x v="16"/>
    <s v="Q2-2025"/>
    <d v="2025-07-12T00:00:00"/>
    <s v="Valid"/>
    <n v="23"/>
    <d v="2025-07-12T00:00:00"/>
    <x v="3"/>
    <s v="Europe → United Kingdom → unknown"/>
    <x v="105"/>
    <x v="8"/>
    <s v="unknown"/>
    <s v="Non-Profit"/>
    <x v="4"/>
    <x v="15"/>
    <x v="2"/>
    <x v="120"/>
    <n v="801.24"/>
    <n v="1959.09"/>
    <s v="Valid"/>
    <n v="1959.09"/>
    <s v="High"/>
    <n v="0.123"/>
    <s v="Valid"/>
    <n v="0.123"/>
    <n v="23"/>
    <n v="39516.804389999998"/>
    <n v="18428.52"/>
    <n v="21088.284389999997"/>
    <n v="0.53365358650651762"/>
  </r>
  <r>
    <s v="ORD-2023-576840"/>
    <d v="2023-11-19T00:00:00"/>
    <x v="30"/>
    <s v="Q4-2023"/>
    <d v="2023-12-13T00:00:00"/>
    <s v="Valid"/>
    <n v="24"/>
    <d v="2023-12-13T00:00:00"/>
    <x v="3"/>
    <s v="Europe → France → Lyon"/>
    <x v="106"/>
    <x v="7"/>
    <s v="Lyon"/>
    <s v="Non-Profit"/>
    <x v="4"/>
    <x v="10"/>
    <x v="5"/>
    <x v="121"/>
    <n v="1297.42"/>
    <n v="2742.97"/>
    <s v="Valid"/>
    <n v="2742.97"/>
    <s v="High"/>
    <n v="6.9000000000000006E-2"/>
    <s v="Valid"/>
    <n v="6.9000000000000006E-2"/>
    <n v="9"/>
    <n v="22983.34563"/>
    <n v="11676.78"/>
    <n v="11306.565629999999"/>
    <n v="0.49194602961727291"/>
  </r>
  <r>
    <s v="ORD-2023-178249"/>
    <d v="2023-12-29T00:00:00"/>
    <x v="4"/>
    <s v="Q4-2023"/>
    <d v="2024-01-20T00:00:00"/>
    <s v="Valid"/>
    <n v="22"/>
    <d v="2024-01-20T00:00:00"/>
    <x v="0"/>
    <s v="Africa → Kenya → Kisumu"/>
    <x v="107"/>
    <x v="0"/>
    <s v="Kisumu"/>
    <s v="Corporate"/>
    <x v="4"/>
    <x v="4"/>
    <x v="3"/>
    <x v="122"/>
    <n v="1395.49"/>
    <n v="1679.42"/>
    <s v="Valid"/>
    <n v="1679.42"/>
    <s v="Medium"/>
    <n v="0.20300000000000001"/>
    <s v="Valid"/>
    <n v="0.20300000000000001"/>
    <n v="12"/>
    <n v="16061.972879999999"/>
    <n v="16745.88"/>
    <n v="-683.90712000000167"/>
    <n v="-4.2579272490964493E-2"/>
  </r>
  <r>
    <s v="ORD-2024-588972"/>
    <d v="2024-11-02T00:00:00"/>
    <x v="18"/>
    <s v="Q4-2024"/>
    <d v="2024-11-29T00:00:00"/>
    <s v="Valid"/>
    <n v="27"/>
    <d v="2024-11-29T00:00:00"/>
    <x v="2"/>
    <s v="Americas → Brazil → Brasília"/>
    <x v="108"/>
    <x v="5"/>
    <s v="Brasília"/>
    <s v="Small Business"/>
    <x v="4"/>
    <x v="2"/>
    <x v="2"/>
    <x v="123"/>
    <n v="1363.51"/>
    <n v="1433.9"/>
    <s v="Valid"/>
    <n v="1433.9"/>
    <s v="Medium"/>
    <n v="5.7000000000000002E-2"/>
    <s v="Valid"/>
    <n v="5.7000000000000002E-2"/>
    <n v="8"/>
    <n v="10817.3416"/>
    <n v="10908.08"/>
    <n v="-90.738400000000183"/>
    <n v="-8.3882346842037592E-3"/>
  </r>
  <r>
    <s v="ORD-2023-603238"/>
    <d v="2023-08-21T00:00:00"/>
    <x v="25"/>
    <s v="Q3-2023"/>
    <d v="2023-09-04T00:00:00"/>
    <s v="Valid"/>
    <n v="14"/>
    <d v="2023-09-04T00:00:00"/>
    <x v="2"/>
    <s v="Americas → Canada → Montreal"/>
    <x v="70"/>
    <x v="3"/>
    <s v="Montreal"/>
    <s v="Education"/>
    <x v="3"/>
    <x v="9"/>
    <x v="0"/>
    <x v="124"/>
    <n v="178.19"/>
    <n v="284.43"/>
    <s v="Valid"/>
    <n v="284.43"/>
    <s v="Low"/>
    <n v="8.8999999999999996E-2"/>
    <s v="Valid"/>
    <n v="8.8999999999999996E-2"/>
    <n v="8"/>
    <n v="2072.9258400000003"/>
    <n v="1425.52"/>
    <n v="647.40584000000035"/>
    <n v="0.31231500302972742"/>
  </r>
  <r>
    <s v="ORD-2023-883066"/>
    <d v="2023-08-12T00:00:00"/>
    <x v="25"/>
    <s v="Q3-2023"/>
    <d v="2023-09-06T00:00:00"/>
    <s v="Valid"/>
    <n v="25"/>
    <d v="2023-09-06T00:00:00"/>
    <x v="1"/>
    <s v="Asia → China → Shanghai"/>
    <x v="109"/>
    <x v="9"/>
    <s v="Shanghai"/>
    <s v="Small Business"/>
    <x v="0"/>
    <x v="5"/>
    <x v="0"/>
    <x v="125"/>
    <n v="950.77"/>
    <n v="694.78"/>
    <s v="Valid"/>
    <n v="694.78"/>
    <s v="Medium"/>
    <n v="8.4000000000000005E-2"/>
    <s v="Valid"/>
    <n v="8.4000000000000005E-2"/>
    <n v="14"/>
    <n v="8909.8587200000002"/>
    <n v="13310.779999999999"/>
    <n v="-4400.9212799999987"/>
    <n v="-0.49393839097821279"/>
  </r>
  <r>
    <s v="ORD-2024-584090"/>
    <d v="2024-06-07T00:00:00"/>
    <x v="17"/>
    <s v="Q2-2024"/>
    <d v="2024-06-26T00:00:00"/>
    <s v="Valid"/>
    <n v="19"/>
    <d v="2024-06-26T00:00:00"/>
    <x v="3"/>
    <s v="Europe → Germany → Berlin"/>
    <x v="110"/>
    <x v="6"/>
    <s v="Berlin"/>
    <s v="Non-Profit"/>
    <x v="2"/>
    <x v="12"/>
    <x v="0"/>
    <x v="126"/>
    <n v="1064.32"/>
    <n v="1848.39"/>
    <s v="Valid"/>
    <n v="1848.39"/>
    <s v="Medium"/>
    <n v="7.2999999999999995E-2"/>
    <s v="Valid"/>
    <n v="7.2999999999999995E-2"/>
    <n v="38"/>
    <n v="65111.38614000001"/>
    <n v="40444.159999999996"/>
    <n v="24667.226140000013"/>
    <n v="0.3788465827921631"/>
  </r>
  <r>
    <s v="ORD-2025-537785"/>
    <d v="2025-08-05T00:00:00"/>
    <x v="28"/>
    <s v="Q3-2025"/>
    <d v="2025-08-14T00:00:00"/>
    <s v="Valid"/>
    <n v="9"/>
    <d v="2025-08-14T00:00:00"/>
    <x v="3"/>
    <s v="Europe → United Kingdom → London"/>
    <x v="111"/>
    <x v="8"/>
    <s v="London"/>
    <s v="Non-Profit"/>
    <x v="4"/>
    <x v="6"/>
    <x v="0"/>
    <x v="127"/>
    <n v="41.76"/>
    <n v="45.19"/>
    <s v="Valid"/>
    <n v="45.19"/>
    <s v="Low"/>
    <n v="0.17899999999999999"/>
    <s v="Valid"/>
    <n v="0.17899999999999999"/>
    <n v="23"/>
    <n v="853.32276999999988"/>
    <n v="960.4799999999999"/>
    <n v="-107.15723000000003"/>
    <n v="-0.12557643340514638"/>
  </r>
  <r>
    <s v="ORD-2024-605518"/>
    <d v="2024-05-30T00:00:00"/>
    <x v="7"/>
    <s v="Q2-2024"/>
    <d v="2024-06-13T00:00:00"/>
    <s v="Valid"/>
    <n v="14"/>
    <d v="2024-06-13T00:00:00"/>
    <x v="2"/>
    <s v="Americas → USA → San Francisco"/>
    <x v="23"/>
    <x v="10"/>
    <s v="San Francisco"/>
    <s v="Small Business"/>
    <x v="0"/>
    <x v="9"/>
    <x v="3"/>
    <x v="128"/>
    <n v="157.78"/>
    <n v="361.1"/>
    <s v="Valid"/>
    <n v="361.1"/>
    <s v="Low"/>
    <n v="0.187"/>
    <s v="Valid"/>
    <n v="0.187"/>
    <n v="9"/>
    <n v="2642.1686999999997"/>
    <n v="1420.02"/>
    <n v="1222.1486999999997"/>
    <n v="0.46255513510549112"/>
  </r>
  <r>
    <s v="ORD-2023-521818"/>
    <d v="2023-01-22T00:00:00"/>
    <x v="5"/>
    <s v="Q1-2023"/>
    <d v="2023-01-30T00:00:00"/>
    <s v="Valid"/>
    <n v="8"/>
    <d v="2023-01-30T00:00:00"/>
    <x v="2"/>
    <s v="Americas → USA → San Francisco"/>
    <x v="112"/>
    <x v="10"/>
    <s v="San Francisco"/>
    <s v="Small Business"/>
    <x v="1"/>
    <x v="8"/>
    <x v="2"/>
    <x v="129"/>
    <n v="413.52"/>
    <n v="1004.34"/>
    <s v="Valid"/>
    <n v="1004.34"/>
    <s v="Medium"/>
    <n v="0.111"/>
    <s v="Valid"/>
    <n v="0.111"/>
    <n v="18"/>
    <n v="16071.44868"/>
    <n v="7443.36"/>
    <n v="8628.0886800000007"/>
    <n v="0.53685817948304593"/>
  </r>
  <r>
    <s v="ORD-2025-650719"/>
    <d v="2025-02-12T00:00:00"/>
    <x v="26"/>
    <s v="Q1-2025"/>
    <d v="2025-02-28T00:00:00"/>
    <s v="Valid"/>
    <n v="16"/>
    <d v="2025-02-28T00:00:00"/>
    <x v="2"/>
    <s v="Americas → Brazil → São Paulo"/>
    <x v="52"/>
    <x v="5"/>
    <s v="São Paulo"/>
    <s v="Non-Profit"/>
    <x v="4"/>
    <x v="5"/>
    <x v="5"/>
    <x v="130"/>
    <n v="414.95"/>
    <n v="1027.73"/>
    <s v="Valid"/>
    <n v="1027.73"/>
    <s v="Medium"/>
    <n v="6.3E-2"/>
    <s v="Valid"/>
    <n v="6.3E-2"/>
    <n v="8"/>
    <n v="7703.8640800000003"/>
    <n v="3319.6"/>
    <n v="4384.2640800000008"/>
    <n v="0.56909935513815568"/>
  </r>
  <r>
    <s v="ORD-2025-501927"/>
    <d v="2025-03-03T00:00:00"/>
    <x v="3"/>
    <s v="Q1-2025"/>
    <d v="2025-03-24T00:00:00"/>
    <s v="Valid"/>
    <n v="21"/>
    <d v="2025-03-24T00:00:00"/>
    <x v="0"/>
    <s v="Africa → Nigeria → Abuja"/>
    <x v="3"/>
    <x v="1"/>
    <s v="Abuja"/>
    <s v="Enterprise"/>
    <x v="4"/>
    <x v="10"/>
    <x v="6"/>
    <x v="131"/>
    <n v="555.95000000000005"/>
    <n v="468.09"/>
    <s v="Valid"/>
    <n v="468.09"/>
    <s v="Low"/>
    <n v="0.14199999999999999"/>
    <s v="Valid"/>
    <n v="0.14199999999999999"/>
    <n v="11"/>
    <n v="4417.8334199999999"/>
    <n v="6115.4500000000007"/>
    <n v="-1697.6165800000008"/>
    <n v="-0.38426450674095375"/>
  </r>
  <r>
    <s v="ORD-2023-430904"/>
    <d v="2023-01-27T00:00:00"/>
    <x v="5"/>
    <s v="Q1-2023"/>
    <d v="2023-01-31T00:00:00"/>
    <s v="Valid"/>
    <n v="4"/>
    <d v="2023-01-31T00:00:00"/>
    <x v="3"/>
    <s v="Europe → United Kingdom → Manchester"/>
    <x v="113"/>
    <x v="8"/>
    <s v="Manchester"/>
    <s v="Enterprise"/>
    <x v="1"/>
    <x v="13"/>
    <x v="4"/>
    <x v="132"/>
    <n v="941.2"/>
    <n v="668.02"/>
    <s v="Valid"/>
    <n v="668.02"/>
    <s v="Medium"/>
    <n v="0.22"/>
    <s v="Valid"/>
    <n v="0.22"/>
    <n v="16"/>
    <n v="8336.8896000000004"/>
    <n v="15059.2"/>
    <n v="-6722.3104000000003"/>
    <n v="-0.80633314371825193"/>
  </r>
  <r>
    <s v="ORD-2025-354346"/>
    <d v="2025-01-09T00:00:00"/>
    <x v="10"/>
    <s v="Q1-2025"/>
    <d v="2025-01-15T00:00:00"/>
    <s v="Valid"/>
    <n v="6"/>
    <d v="2025-01-15T00:00:00"/>
    <x v="1"/>
    <s v="Asia → China → Beijing"/>
    <x v="87"/>
    <x v="9"/>
    <s v="Beijing"/>
    <s v="Education"/>
    <x v="1"/>
    <x v="0"/>
    <x v="3"/>
    <x v="133"/>
    <n v="304.77999999999997"/>
    <n v="537.27"/>
    <s v="Valid"/>
    <n v="537.27"/>
    <s v="Low"/>
    <n v="0.187"/>
    <s v="Valid"/>
    <n v="0.187"/>
    <n v="8"/>
    <n v="3494.4040799999998"/>
    <n v="2438.2399999999998"/>
    <n v="1056.16408"/>
    <n v="0.3022444044307549"/>
  </r>
  <r>
    <s v="ORD-2024-164288"/>
    <d v="2024-12-21T00:00:00"/>
    <x v="6"/>
    <s v="Q4-2024"/>
    <d v="2024-12-26T00:00:00"/>
    <s v="Valid"/>
    <n v="5"/>
    <d v="2024-12-26T00:00:00"/>
    <x v="2"/>
    <s v="Americas → USA → San Francisco"/>
    <x v="114"/>
    <x v="10"/>
    <s v="San Francisco"/>
    <s v="Consumer"/>
    <x v="2"/>
    <x v="12"/>
    <x v="1"/>
    <x v="134"/>
    <n v="699.57"/>
    <n v="572.71"/>
    <s v="Valid"/>
    <n v="572.71"/>
    <s v="Low"/>
    <n v="0.192"/>
    <s v="Valid"/>
    <n v="0.192"/>
    <n v="26"/>
    <n v="12031.491680000001"/>
    <n v="18188.82"/>
    <n v="-6157.3283199999987"/>
    <n v="-0.51176765805651114"/>
  </r>
  <r>
    <s v="ORD-2023-867285"/>
    <d v="2023-04-12T00:00:00"/>
    <x v="12"/>
    <s v="Q2-2023"/>
    <d v="2023-04-17T00:00:00"/>
    <s v="Valid"/>
    <n v="5"/>
    <d v="2023-04-17T00:00:00"/>
    <x v="3"/>
    <s v="Europe → France → Lyon"/>
    <x v="115"/>
    <x v="7"/>
    <s v="Lyon"/>
    <s v="Enterprise"/>
    <x v="4"/>
    <x v="6"/>
    <x v="5"/>
    <x v="135"/>
    <n v="1087.81"/>
    <n v="2323.87"/>
    <s v="Valid"/>
    <n v="2323.87"/>
    <s v="High"/>
    <n v="9.4E-2"/>
    <s v="Valid"/>
    <n v="9.4E-2"/>
    <n v="13"/>
    <n v="27370.540859999997"/>
    <n v="14141.529999999999"/>
    <n v="13229.010859999999"/>
    <n v="0.48333026839572651"/>
  </r>
  <r>
    <s v="ORD-2024-836421"/>
    <d v="2024-12-14T00:00:00"/>
    <x v="6"/>
    <s v="Q4-2024"/>
    <d v="2025-01-12T00:00:00"/>
    <s v="Valid"/>
    <n v="29"/>
    <d v="2025-01-12T00:00:00"/>
    <x v="1"/>
    <s v="Asia → China → Shenzhen"/>
    <x v="65"/>
    <x v="9"/>
    <s v="Shenzhen"/>
    <s v="Education"/>
    <x v="1"/>
    <x v="1"/>
    <x v="0"/>
    <x v="136"/>
    <n v="1412.15"/>
    <n v="1631.04"/>
    <s v="Valid"/>
    <n v="1631.04"/>
    <s v="Medium"/>
    <n v="8.9999999999999993E-3"/>
    <s v="Valid"/>
    <n v="8.9999999999999993E-3"/>
    <n v="6"/>
    <n v="9698.1638399999993"/>
    <n v="8472.9000000000015"/>
    <n v="1225.2638399999978"/>
    <n v="0.12633977526203535"/>
  </r>
  <r>
    <s v="ORD-2023-613287"/>
    <d v="2023-03-31T00:00:00"/>
    <x v="22"/>
    <s v="Q1-2023"/>
    <d v="2023-04-12T00:00:00"/>
    <s v="Valid"/>
    <n v="12"/>
    <d v="2023-04-12T00:00:00"/>
    <x v="0"/>
    <s v="Africa → Kenya → Mombasa"/>
    <x v="48"/>
    <x v="0"/>
    <s v="Mombasa"/>
    <s v="Small Business"/>
    <x v="1"/>
    <x v="0"/>
    <x v="3"/>
    <x v="137"/>
    <n v="304.22000000000003"/>
    <n v="393.31"/>
    <s v="Valid"/>
    <n v="393.31"/>
    <s v="Low"/>
    <n v="0.26500000000000001"/>
    <s v="Valid"/>
    <n v="0.26500000000000001"/>
    <n v="15"/>
    <n v="4336.2427499999994"/>
    <n v="4563.3"/>
    <n v="-227.05725000000075"/>
    <n v="-5.2362670424759034E-2"/>
  </r>
  <r>
    <s v="ORD-2024-783321"/>
    <d v="2024-11-20T00:00:00"/>
    <x v="18"/>
    <s v="Q4-2024"/>
    <d v="2024-12-15T00:00:00"/>
    <s v="Valid"/>
    <n v="25"/>
    <d v="2024-12-15T00:00:00"/>
    <x v="3"/>
    <s v="Europe → France → Paris"/>
    <x v="26"/>
    <x v="7"/>
    <s v="Paris"/>
    <s v="Corporate"/>
    <x v="1"/>
    <x v="3"/>
    <x v="1"/>
    <x v="138"/>
    <n v="1203.58"/>
    <n v="1856.16"/>
    <s v="Valid"/>
    <n v="1856.16"/>
    <s v="Medium"/>
    <n v="0.129"/>
    <s v="Valid"/>
    <n v="0.129"/>
    <n v="22"/>
    <n v="35567.737920000007"/>
    <n v="26478.76"/>
    <n v="9088.9779200000085"/>
    <n v="0.25553994860295032"/>
  </r>
  <r>
    <s v="ORD-2024-232632"/>
    <d v="2024-02-14T00:00:00"/>
    <x v="31"/>
    <s v="Q1-2024"/>
    <d v="2024-02-14T00:00:00"/>
    <s v="Valid"/>
    <n v="0"/>
    <d v="2024-02-14T00:00:00"/>
    <x v="1"/>
    <s v="Asia → China → Beijing"/>
    <x v="116"/>
    <x v="9"/>
    <s v="Beijing"/>
    <s v="Corporate"/>
    <x v="3"/>
    <x v="4"/>
    <x v="6"/>
    <x v="139"/>
    <n v="65.930000000000007"/>
    <n v="84.9"/>
    <s v="Valid"/>
    <n v="84.9"/>
    <s v="Low"/>
    <n v="0.25900000000000001"/>
    <s v="Valid"/>
    <n v="0.25900000000000001"/>
    <n v="23"/>
    <n v="1446.9507000000001"/>
    <n v="1516.39"/>
    <n v="-69.439300000000003"/>
    <n v="-4.7990093926489688E-2"/>
  </r>
  <r>
    <s v="ORD-2023-906481"/>
    <d v="2023-05-02T00:00:00"/>
    <x v="15"/>
    <s v="Q2-2023"/>
    <d v="2023-05-18T00:00:00"/>
    <s v="Valid"/>
    <n v="16"/>
    <d v="2023-05-18T00:00:00"/>
    <x v="1"/>
    <s v="Asia → India → Delhi"/>
    <x v="117"/>
    <x v="4"/>
    <s v="Delhi"/>
    <s v="Small Business"/>
    <x v="2"/>
    <x v="11"/>
    <x v="5"/>
    <x v="140"/>
    <n v="1463.92"/>
    <n v="2252.2399999999998"/>
    <s v="Valid"/>
    <n v="2252.2399999999998"/>
    <s v="High"/>
    <n v="0.11799999999999999"/>
    <s v="Valid"/>
    <n v="0.11799999999999999"/>
    <n v="44"/>
    <n v="87404.929919999995"/>
    <n v="64412.480000000003"/>
    <n v="22992.449919999992"/>
    <n v="0.26305667130040061"/>
  </r>
  <r>
    <s v="ORD-2024-902741"/>
    <d v="2024-12-23T00:00:00"/>
    <x v="6"/>
    <s v="Q4-2024"/>
    <d v="2025-01-11T00:00:00"/>
    <s v="Valid"/>
    <n v="19"/>
    <d v="2025-01-11T00:00:00"/>
    <x v="3"/>
    <s v="Europe → Germany → Berlin"/>
    <x v="53"/>
    <x v="6"/>
    <s v="Berlin"/>
    <s v="Education"/>
    <x v="0"/>
    <x v="11"/>
    <x v="3"/>
    <x v="141"/>
    <n v="501.81"/>
    <n v="921.62"/>
    <s v="Valid"/>
    <n v="921.62"/>
    <s v="Medium"/>
    <n v="0.01"/>
    <s v="Valid"/>
    <n v="0.01"/>
    <n v="9"/>
    <n v="8211.6342000000004"/>
    <n v="4516.29"/>
    <n v="3695.3442000000005"/>
    <n v="0.45001325071202031"/>
  </r>
  <r>
    <s v="ORD-2023-912395"/>
    <d v="2023-07-26T00:00:00"/>
    <x v="24"/>
    <s v="Q3-2023"/>
    <d v="2023-08-25T00:00:00"/>
    <s v="Valid"/>
    <n v="30"/>
    <d v="2023-08-25T00:00:00"/>
    <x v="2"/>
    <s v="Americas → USA → New York"/>
    <x v="118"/>
    <x v="10"/>
    <s v="New York"/>
    <s v="Consumer"/>
    <x v="0"/>
    <x v="12"/>
    <x v="6"/>
    <x v="142"/>
    <n v="1261.48"/>
    <n v="1643.18"/>
    <s v="Valid"/>
    <n v="1643.18"/>
    <s v="Medium"/>
    <n v="0.151"/>
    <s v="Valid"/>
    <n v="0.151"/>
    <n v="23"/>
    <n v="32086.37586"/>
    <n v="29014.04"/>
    <n v="3072.3358599999992"/>
    <n v="9.5752037357079045E-2"/>
  </r>
  <r>
    <s v="ORD-2024-389102"/>
    <d v="2024-06-15T00:00:00"/>
    <x v="17"/>
    <s v="Q2-2024"/>
    <d v="2024-07-06T00:00:00"/>
    <s v="Valid"/>
    <n v="21"/>
    <d v="2024-07-06T00:00:00"/>
    <x v="2"/>
    <s v="Americas → Canada → Toronto"/>
    <x v="119"/>
    <x v="3"/>
    <s v="Toronto"/>
    <s v="Enterprise"/>
    <x v="3"/>
    <x v="4"/>
    <x v="1"/>
    <x v="143"/>
    <n v="817.23"/>
    <n v="1467.17"/>
    <s v="Valid"/>
    <n v="1467.17"/>
    <s v="Medium"/>
    <n v="0.245"/>
    <s v="Valid"/>
    <n v="0.245"/>
    <n v="9"/>
    <n v="9969.4201499999999"/>
    <n v="7355.07"/>
    <n v="2614.3501500000002"/>
    <n v="0.26223693160328893"/>
  </r>
  <r>
    <s v="ORD-2023-309373"/>
    <d v="2023-07-05T00:00:00"/>
    <x v="24"/>
    <s v="Q3-2023"/>
    <d v="2023-07-14T00:00:00"/>
    <s v="Valid"/>
    <n v="9"/>
    <d v="2023-07-14T00:00:00"/>
    <x v="2"/>
    <s v="Americas → Brazil → Brasília"/>
    <x v="120"/>
    <x v="5"/>
    <s v="Brasília"/>
    <s v="Enterprise"/>
    <x v="4"/>
    <x v="5"/>
    <x v="2"/>
    <x v="144"/>
    <n v="578.85"/>
    <n v="998.76"/>
    <s v="Valid"/>
    <n v="998.76"/>
    <s v="Medium"/>
    <n v="8.2000000000000003E-2"/>
    <s v="Valid"/>
    <n v="8.2000000000000003E-2"/>
    <n v="28"/>
    <n v="25672.127039999999"/>
    <n v="16207.800000000001"/>
    <n v="9464.3270399999983"/>
    <n v="0.36866158480960831"/>
  </r>
  <r>
    <s v="ORD-2023-825495"/>
    <d v="2023-11-30T00:00:00"/>
    <x v="30"/>
    <s v="Q4-2023"/>
    <d v="2023-11-29T00:00:00"/>
    <s v="Invalid RequiredDate"/>
    <n v="-1"/>
    <d v="2023-12-26T00:00:00"/>
    <x v="0"/>
    <s v="Africa → South Africa → Durban"/>
    <x v="121"/>
    <x v="11"/>
    <s v="Durban"/>
    <s v="Small Business"/>
    <x v="2"/>
    <x v="6"/>
    <x v="4"/>
    <x v="145"/>
    <n v="275.56"/>
    <n v="630.72"/>
    <s v="Valid"/>
    <n v="630.72"/>
    <s v="Medium"/>
    <n v="0.107"/>
    <s v="Valid"/>
    <n v="0.107"/>
    <n v="23"/>
    <n v="12954.358080000002"/>
    <n v="6337.88"/>
    <n v="6616.4780800000017"/>
    <n v="0.5107530638831933"/>
  </r>
  <r>
    <s v="ORD-2025-244832"/>
    <d v="2025-09-11T00:00:00"/>
    <x v="11"/>
    <s v="Q3-2025"/>
    <d v="2025-09-28T00:00:00"/>
    <s v="Valid"/>
    <n v="17"/>
    <d v="2025-09-28T00:00:00"/>
    <x v="0"/>
    <s v="Africa → Kenya → Nairobi"/>
    <x v="82"/>
    <x v="0"/>
    <s v="Nairobi"/>
    <s v="Non-Profit"/>
    <x v="3"/>
    <x v="1"/>
    <x v="4"/>
    <x v="146"/>
    <n v="891.46"/>
    <n v="728.61"/>
    <s v="Valid"/>
    <n v="728.61"/>
    <s v="Medium"/>
    <n v="0.185"/>
    <s v="Valid"/>
    <n v="0.185"/>
    <n v="6"/>
    <n v="3562.9028999999996"/>
    <n v="5348.76"/>
    <n v="-1785.8571000000006"/>
    <n v="-0.50123653383874167"/>
  </r>
  <r>
    <s v="ORD-2024-211453"/>
    <d v="2024-04-04T00:00:00"/>
    <x v="20"/>
    <s v="Q2-2024"/>
    <d v="2024-04-24T00:00:00"/>
    <s v="Valid"/>
    <n v="20"/>
    <d v="2024-04-24T00:00:00"/>
    <x v="3"/>
    <s v="Europe → Germany → Frankfurt"/>
    <x v="122"/>
    <x v="6"/>
    <s v="Frankfurt"/>
    <s v="Non-Profit"/>
    <x v="4"/>
    <x v="7"/>
    <x v="6"/>
    <x v="147"/>
    <n v="683.42"/>
    <n v="951.51"/>
    <s v="Valid"/>
    <n v="951.51"/>
    <s v="Medium"/>
    <n v="0"/>
    <s v="Valid"/>
    <n v="0"/>
    <n v="14"/>
    <n v="13321.14"/>
    <n v="9567.8799999999992"/>
    <n v="3753.26"/>
    <n v="0.28175216235247136"/>
  </r>
  <r>
    <s v="ORD-2023-192324"/>
    <d v="2023-09-14T00:00:00"/>
    <x v="27"/>
    <s v="Q3-2023"/>
    <d v="2023-09-16T00:00:00"/>
    <s v="Valid"/>
    <n v="2"/>
    <d v="2023-09-16T00:00:00"/>
    <x v="3"/>
    <s v="Europe → France → Lyon"/>
    <x v="123"/>
    <x v="7"/>
    <s v="Lyon"/>
    <s v="Non-Profit"/>
    <x v="4"/>
    <x v="5"/>
    <x v="1"/>
    <x v="148"/>
    <n v="376.83"/>
    <n v="732.88"/>
    <s v="Valid"/>
    <n v="732.88"/>
    <s v="Medium"/>
    <n v="0.188"/>
    <s v="Valid"/>
    <n v="0.188"/>
    <n v="25"/>
    <n v="14877.464000000002"/>
    <n v="9420.75"/>
    <n v="5456.7140000000018"/>
    <n v="0.36677716040852132"/>
  </r>
  <r>
    <s v="ORD-2024-438404"/>
    <d v="2024-09-23T00:00:00"/>
    <x v="29"/>
    <s v="Q3-2024"/>
    <d v="2024-10-18T00:00:00"/>
    <s v="Valid"/>
    <n v="25"/>
    <d v="2024-10-18T00:00:00"/>
    <x v="2"/>
    <s v="Americas → Canada → Vancouver"/>
    <x v="124"/>
    <x v="3"/>
    <s v="Vancouver"/>
    <s v="Small Business"/>
    <x v="1"/>
    <x v="13"/>
    <x v="3"/>
    <x v="149"/>
    <n v="1297"/>
    <n v="2411.52"/>
    <s v="Valid"/>
    <n v="2411.52"/>
    <s v="High"/>
    <n v="2.1000000000000001E-2"/>
    <s v="Valid"/>
    <n v="2.1000000000000001E-2"/>
    <n v="18"/>
    <n v="42495.805439999996"/>
    <n v="23346"/>
    <n v="19149.805439999996"/>
    <n v="0.45062813239385913"/>
  </r>
  <r>
    <s v="ORD-2025-246470"/>
    <d v="2025-04-16T00:00:00"/>
    <x v="19"/>
    <s v="Q2-2025"/>
    <d v="2025-05-16T00:00:00"/>
    <s v="Valid"/>
    <n v="30"/>
    <d v="2025-05-16T00:00:00"/>
    <x v="2"/>
    <s v="Americas → Canada → Montreal"/>
    <x v="125"/>
    <x v="3"/>
    <s v="Montreal"/>
    <s v="Enterprise"/>
    <x v="3"/>
    <x v="11"/>
    <x v="1"/>
    <x v="150"/>
    <n v="763.32"/>
    <n v="568.29"/>
    <s v="Valid"/>
    <n v="568.29"/>
    <s v="Low"/>
    <n v="0.13100000000000001"/>
    <s v="Valid"/>
    <n v="0.13100000000000001"/>
    <n v="16"/>
    <n v="7901.5041599999995"/>
    <n v="12213.12"/>
    <n v="-4311.6158400000013"/>
    <n v="-0.54567026134426555"/>
  </r>
  <r>
    <s v="ORD-2023-497686"/>
    <d v="2023-07-03T00:00:00"/>
    <x v="24"/>
    <s v="Q3-2023"/>
    <d v="2023-07-23T00:00:00"/>
    <s v="Valid"/>
    <n v="20"/>
    <d v="2023-07-23T00:00:00"/>
    <x v="0"/>
    <s v="Africa → South Africa → Johannesburg"/>
    <x v="126"/>
    <x v="11"/>
    <s v="Johannesburg"/>
    <s v="Small Business"/>
    <x v="3"/>
    <x v="9"/>
    <x v="4"/>
    <x v="151"/>
    <n v="1001.96"/>
    <n v="1254.95"/>
    <s v="Valid"/>
    <n v="1254.95"/>
    <s v="Medium"/>
    <n v="4.4999999999999998E-2"/>
    <s v="Valid"/>
    <n v="4.4999999999999998E-2"/>
    <n v="18"/>
    <n v="21572.590500000002"/>
    <n v="18035.28"/>
    <n v="3537.3105000000032"/>
    <n v="0.16397244920585699"/>
  </r>
  <r>
    <s v="ORD-2023-596758"/>
    <d v="2023-12-07T00:00:00"/>
    <x v="4"/>
    <s v="Q4-2023"/>
    <d v="2023-12-05T00:00:00"/>
    <s v="Invalid RequiredDate"/>
    <n v="-2"/>
    <d v="2024-01-02T00:00:00"/>
    <x v="1"/>
    <s v="Asia → Japan → Tokyo"/>
    <x v="4"/>
    <x v="2"/>
    <s v="Tokyo"/>
    <s v="Non-Profit"/>
    <x v="2"/>
    <x v="10"/>
    <x v="1"/>
    <x v="152"/>
    <n v="1097.5899999999999"/>
    <n v="845.55"/>
    <s v="Valid"/>
    <n v="845.55"/>
    <s v="Medium"/>
    <n v="0.184"/>
    <s v="Valid"/>
    <n v="0.184"/>
    <n v="6"/>
    <n v="4139.8127999999997"/>
    <n v="6585.5399999999991"/>
    <n v="-2445.7271999999994"/>
    <n v="-0.59078207594314402"/>
  </r>
  <r>
    <s v="ORD-2024-201376"/>
    <d v="2024-02-18T00:00:00"/>
    <x v="31"/>
    <s v="Q1-2024"/>
    <d v="2024-03-04T00:00:00"/>
    <s v="Valid"/>
    <n v="15"/>
    <d v="2024-03-04T00:00:00"/>
    <x v="0"/>
    <s v="Africa → Kenya → Kisumu"/>
    <x v="127"/>
    <x v="0"/>
    <s v="Kisumu"/>
    <s v="Education"/>
    <x v="4"/>
    <x v="11"/>
    <x v="1"/>
    <x v="153"/>
    <n v="928.68"/>
    <n v="2145.17"/>
    <s v="Valid"/>
    <n v="2145.17"/>
    <s v="High"/>
    <n v="0.13600000000000001"/>
    <s v="Valid"/>
    <n v="0.13600000000000001"/>
    <n v="16"/>
    <n v="29654.83008"/>
    <n v="14858.88"/>
    <n v="14795.950080000001"/>
    <n v="0.49893896003062177"/>
  </r>
  <r>
    <s v="ORD-2023-842488"/>
    <d v="2023-10-31T00:00:00"/>
    <x v="32"/>
    <s v="Q4-2023"/>
    <d v="2023-11-02T00:00:00"/>
    <s v="Valid"/>
    <n v="2"/>
    <d v="2023-11-02T00:00:00"/>
    <x v="0"/>
    <s v="Africa → Kenya → Kisumu"/>
    <x v="128"/>
    <x v="0"/>
    <s v="Kisumu"/>
    <s v="Education"/>
    <x v="0"/>
    <x v="7"/>
    <x v="6"/>
    <x v="154"/>
    <n v="867.89"/>
    <n v="1349.94"/>
    <s v="Valid"/>
    <n v="1349.94"/>
    <s v="Medium"/>
    <n v="0.184"/>
    <s v="Valid"/>
    <n v="0.184"/>
    <n v="10"/>
    <n v="11015.510400000003"/>
    <n v="8678.9"/>
    <n v="2336.6104000000032"/>
    <n v="0.21212003031652557"/>
  </r>
  <r>
    <s v="ORD-2024-136321"/>
    <d v="2024-08-07T00:00:00"/>
    <x v="21"/>
    <s v="Q3-2024"/>
    <d v="2024-08-17T00:00:00"/>
    <s v="Valid"/>
    <n v="10"/>
    <d v="2024-08-17T00:00:00"/>
    <x v="1"/>
    <s v="Asia → Japan → Osaka"/>
    <x v="129"/>
    <x v="2"/>
    <s v="Osaka"/>
    <s v="Consumer"/>
    <x v="1"/>
    <x v="11"/>
    <x v="2"/>
    <x v="155"/>
    <n v="436.58"/>
    <n v="527.48"/>
    <s v="Valid"/>
    <n v="527.48"/>
    <s v="Low"/>
    <n v="0.111"/>
    <s v="Valid"/>
    <n v="0.111"/>
    <n v="19"/>
    <n v="8909.6646800000017"/>
    <n v="8295.02"/>
    <n v="614.64468000000124"/>
    <n v="6.8986286473802644E-2"/>
  </r>
  <r>
    <s v="ORD-2024-764468"/>
    <d v="2024-02-01T00:00:00"/>
    <x v="31"/>
    <s v="Q1-2024"/>
    <d v="2024-02-21T00:00:00"/>
    <s v="Valid"/>
    <n v="20"/>
    <d v="2024-02-21T00:00:00"/>
    <x v="3"/>
    <s v="Europe → France → Paris"/>
    <x v="130"/>
    <x v="7"/>
    <s v="Paris"/>
    <s v="Small Business"/>
    <x v="2"/>
    <x v="8"/>
    <x v="2"/>
    <x v="156"/>
    <n v="656.2"/>
    <n v="1467.17"/>
    <s v="Valid"/>
    <n v="1467.17"/>
    <s v="Medium"/>
    <n v="1.7999999999999999E-2"/>
    <s v="Valid"/>
    <n v="1.7999999999999999E-2"/>
    <n v="5"/>
    <n v="7203.8047000000006"/>
    <n v="3281"/>
    <n v="3922.8047000000006"/>
    <n v="0.54454623124360946"/>
  </r>
  <r>
    <s v="ORD-2024-553449"/>
    <d v="2024-08-27T00:00:00"/>
    <x v="21"/>
    <s v="Q3-2024"/>
    <d v="2024-09-18T00:00:00"/>
    <s v="Valid"/>
    <n v="22"/>
    <d v="2024-09-18T00:00:00"/>
    <x v="1"/>
    <s v="Asia → India → Delhi"/>
    <x v="131"/>
    <x v="4"/>
    <s v="Delhi"/>
    <s v="Consumer"/>
    <x v="4"/>
    <x v="5"/>
    <x v="0"/>
    <x v="157"/>
    <n v="896.75"/>
    <n v="1651.14"/>
    <s v="Valid"/>
    <n v="1651.14"/>
    <s v="Medium"/>
    <n v="2.5000000000000001E-2"/>
    <s v="Valid"/>
    <n v="2.5000000000000001E-2"/>
    <n v="15"/>
    <n v="24147.922500000001"/>
    <n v="13451.25"/>
    <n v="10696.672500000001"/>
    <n v="0.44296450346815552"/>
  </r>
  <r>
    <s v="ORD-2025-766923"/>
    <d v="2025-02-15T00:00:00"/>
    <x v="26"/>
    <s v="Q1-2025"/>
    <d v="2025-02-15T00:00:00"/>
    <s v="Valid"/>
    <n v="0"/>
    <d v="2025-02-15T00:00:00"/>
    <x v="3"/>
    <s v="Europe → Germany → Frankfurt"/>
    <x v="132"/>
    <x v="6"/>
    <s v="Frankfurt"/>
    <s v="Small Business"/>
    <x v="2"/>
    <x v="4"/>
    <x v="6"/>
    <x v="158"/>
    <n v="815.83"/>
    <n v="1982.18"/>
    <s v="Valid"/>
    <n v="1982.18"/>
    <s v="High"/>
    <n v="0.127"/>
    <s v="Valid"/>
    <n v="0.127"/>
    <n v="6"/>
    <n v="10382.65884"/>
    <n v="4894.9800000000005"/>
    <n v="5487.6788399999996"/>
    <n v="0.52854272923408507"/>
  </r>
  <r>
    <s v="ORD-2025-418232"/>
    <d v="2025-08-01T00:00:00"/>
    <x v="28"/>
    <s v="Q3-2025"/>
    <d v="2025-08-21T00:00:00"/>
    <s v="Valid"/>
    <n v="20"/>
    <d v="2025-08-21T00:00:00"/>
    <x v="1"/>
    <s v="Asia → China → Shanghai"/>
    <x v="133"/>
    <x v="9"/>
    <s v="Shanghai"/>
    <s v="Corporate"/>
    <x v="4"/>
    <x v="2"/>
    <x v="3"/>
    <x v="159"/>
    <n v="1220.4100000000001"/>
    <n v="2552.2199999999998"/>
    <s v="Valid"/>
    <n v="2552.2199999999998"/>
    <s v="High"/>
    <n v="0.18099999999999999"/>
    <s v="Valid"/>
    <n v="0.18099999999999999"/>
    <n v="14"/>
    <n v="29263.754519999995"/>
    <n v="17085.740000000002"/>
    <n v="12178.014519999993"/>
    <n v="0.41614668793360271"/>
  </r>
  <r>
    <s v="ORD-2023-848013"/>
    <d v="2023-02-20T00:00:00"/>
    <x v="2"/>
    <s v="Q1-2023"/>
    <d v="2023-03-04T00:00:00"/>
    <s v="Valid"/>
    <n v="12"/>
    <d v="2023-03-04T00:00:00"/>
    <x v="1"/>
    <s v="Asia → India → Delhi"/>
    <x v="134"/>
    <x v="4"/>
    <s v="Delhi"/>
    <s v="Consumer"/>
    <x v="3"/>
    <x v="12"/>
    <x v="5"/>
    <x v="160"/>
    <n v="299.75"/>
    <n v="523.01"/>
    <s v="Valid"/>
    <n v="523.01"/>
    <s v="Low"/>
    <n v="0.157"/>
    <s v="Valid"/>
    <n v="0.157"/>
    <n v="50"/>
    <n v="22044.871499999997"/>
    <n v="14987.5"/>
    <n v="7057.3714999999975"/>
    <n v="0.32013665854210122"/>
  </r>
  <r>
    <s v="ORD-2024-357368"/>
    <d v="2024-10-30T00:00:00"/>
    <x v="1"/>
    <s v="Q4-2024"/>
    <d v="2024-11-24T00:00:00"/>
    <s v="Valid"/>
    <n v="25"/>
    <d v="2024-11-24T00:00:00"/>
    <x v="1"/>
    <s v="Asia → China → Shenzhen"/>
    <x v="135"/>
    <x v="9"/>
    <s v="Shenzhen"/>
    <s v="Small Business"/>
    <x v="1"/>
    <x v="6"/>
    <x v="0"/>
    <x v="161"/>
    <n v="811.05"/>
    <n v="1217.71"/>
    <s v="Valid"/>
    <n v="1217.71"/>
    <s v="Medium"/>
    <n v="7.1999999999999995E-2"/>
    <s v="Valid"/>
    <n v="7.1999999999999995E-2"/>
    <n v="5"/>
    <n v="5650.1744000000008"/>
    <n v="4055.25"/>
    <n v="1594.9244000000008"/>
    <n v="0.28227879125288602"/>
  </r>
  <r>
    <s v="ORD-2024-219735"/>
    <d v="2024-04-03T00:00:00"/>
    <x v="20"/>
    <s v="Q2-2024"/>
    <d v="2024-04-07T00:00:00"/>
    <s v="Valid"/>
    <n v="4"/>
    <d v="2024-04-07T00:00:00"/>
    <x v="2"/>
    <s v="Americas → Brazil → Brasília"/>
    <x v="136"/>
    <x v="5"/>
    <s v="Brasília"/>
    <s v="Non-Profit"/>
    <x v="4"/>
    <x v="13"/>
    <x v="3"/>
    <x v="162"/>
    <n v="1023.27"/>
    <n v="1343.64"/>
    <s v="Valid"/>
    <n v="1343.64"/>
    <s v="Medium"/>
    <n v="0.13300000000000001"/>
    <s v="Valid"/>
    <n v="0.13300000000000001"/>
    <n v="7"/>
    <n v="8154.5511600000009"/>
    <n v="7162.8899999999994"/>
    <n v="991.66116000000147"/>
    <n v="0.12160830688810116"/>
  </r>
  <r>
    <s v="ORD-2023-240507"/>
    <d v="2023-03-25T00:00:00"/>
    <x v="22"/>
    <s v="Q1-2023"/>
    <d v="2023-03-26T00:00:00"/>
    <s v="Valid"/>
    <n v="1"/>
    <d v="2023-03-26T00:00:00"/>
    <x v="1"/>
    <s v="Asia → Japan → Osaka"/>
    <x v="137"/>
    <x v="2"/>
    <s v="Osaka"/>
    <s v="Small Business"/>
    <x v="3"/>
    <x v="2"/>
    <x v="5"/>
    <x v="163"/>
    <n v="135.12"/>
    <n v="301.7"/>
    <s v="Valid"/>
    <n v="301.7"/>
    <s v="Low"/>
    <n v="0.14000000000000001"/>
    <s v="Valid"/>
    <n v="0.14000000000000001"/>
    <n v="47"/>
    <n v="12194.714"/>
    <n v="6350.64"/>
    <n v="5844.0739999999996"/>
    <n v="0.47923009920527859"/>
  </r>
  <r>
    <s v="ORD-2024-134084"/>
    <d v="2024-06-04T00:00:00"/>
    <x v="17"/>
    <s v="Q2-2024"/>
    <d v="2024-06-16T00:00:00"/>
    <s v="Valid"/>
    <n v="12"/>
    <d v="2024-06-16T00:00:00"/>
    <x v="1"/>
    <s v="Asia → China → Shanghai"/>
    <x v="96"/>
    <x v="9"/>
    <s v="Shanghai"/>
    <s v="Corporate"/>
    <x v="0"/>
    <x v="1"/>
    <x v="1"/>
    <x v="164"/>
    <n v="918.42"/>
    <n v="1511.71"/>
    <s v="Valid"/>
    <n v="1511.71"/>
    <s v="Medium"/>
    <n v="0.02"/>
    <s v="Valid"/>
    <n v="0.02"/>
    <n v="8"/>
    <n v="11851.806399999999"/>
    <n v="7347.36"/>
    <n v="4504.4463999999998"/>
    <n v="0.38006412254590999"/>
  </r>
  <r>
    <s v="ORD-2023-884625"/>
    <d v="2023-02-19T00:00:00"/>
    <x v="2"/>
    <s v="Q1-2023"/>
    <d v="2023-03-12T00:00:00"/>
    <s v="Valid"/>
    <n v="21"/>
    <d v="2023-03-12T00:00:00"/>
    <x v="3"/>
    <s v="Europe → Germany → Berlin"/>
    <x v="86"/>
    <x v="6"/>
    <s v="Berlin"/>
    <s v="Small Business"/>
    <x v="4"/>
    <x v="4"/>
    <x v="5"/>
    <x v="165"/>
    <n v="1234.81"/>
    <n v="2055.2399999999998"/>
    <s v="Valid"/>
    <n v="2055.2399999999998"/>
    <s v="High"/>
    <n v="5.2999999999999999E-2"/>
    <s v="Valid"/>
    <n v="5.2999999999999999E-2"/>
    <n v="44"/>
    <n v="85637.740319999997"/>
    <n v="54331.64"/>
    <n v="31306.100319999998"/>
    <n v="0.36556429680441616"/>
  </r>
  <r>
    <s v="ORD-2023-157993"/>
    <d v="2023-04-18T00:00:00"/>
    <x v="12"/>
    <s v="Q2-2023"/>
    <d v="2023-05-18T00:00:00"/>
    <s v="Valid"/>
    <n v="30"/>
    <d v="2023-05-18T00:00:00"/>
    <x v="1"/>
    <s v="Asia → China → Shenzhen"/>
    <x v="63"/>
    <x v="9"/>
    <s v="Shenzhen"/>
    <s v="Non-Profit"/>
    <x v="0"/>
    <x v="10"/>
    <x v="4"/>
    <x v="166"/>
    <n v="329.03"/>
    <n v="391.15"/>
    <s v="Valid"/>
    <n v="391.15"/>
    <s v="Low"/>
    <n v="0.19700000000000001"/>
    <s v="Valid"/>
    <n v="0.19700000000000001"/>
    <n v="46"/>
    <n v="14448.298699999998"/>
    <n v="15135.38"/>
    <n v="-687.08130000000165"/>
    <n v="-4.7554477815440081E-2"/>
  </r>
  <r>
    <s v="ORD-2024-329104"/>
    <d v="2024-05-23T00:00:00"/>
    <x v="7"/>
    <s v="Q2-2024"/>
    <d v="2024-06-14T00:00:00"/>
    <s v="Valid"/>
    <n v="22"/>
    <d v="2024-06-14T00:00:00"/>
    <x v="3"/>
    <s v="Europe → France → Marseille"/>
    <x v="138"/>
    <x v="7"/>
    <s v="Marseille"/>
    <s v="Small Business"/>
    <x v="1"/>
    <x v="13"/>
    <x v="5"/>
    <x v="167"/>
    <n v="1481.74"/>
    <n v="1848.97"/>
    <s v="Valid"/>
    <n v="1848.97"/>
    <s v="Medium"/>
    <n v="0.254"/>
    <s v="Valid"/>
    <n v="0.254"/>
    <n v="9"/>
    <n v="12413.98458"/>
    <n v="13335.66"/>
    <n v="-921.67541999999958"/>
    <n v="-7.4244930309072407E-2"/>
  </r>
  <r>
    <s v="ORD-2023-304451"/>
    <d v="2023-10-07T00:00:00"/>
    <x v="32"/>
    <s v="Q4-2023"/>
    <d v="2023-10-23T00:00:00"/>
    <s v="Valid"/>
    <n v="16"/>
    <d v="2023-10-23T00:00:00"/>
    <x v="1"/>
    <s v="Asia → India → Hyderabad"/>
    <x v="139"/>
    <x v="4"/>
    <s v="Hyderabad"/>
    <s v="Consumer"/>
    <x v="0"/>
    <x v="3"/>
    <x v="5"/>
    <x v="168"/>
    <n v="906.81"/>
    <n v="1395.56"/>
    <s v="Valid"/>
    <n v="1395.56"/>
    <s v="Medium"/>
    <n v="0.185"/>
    <s v="Valid"/>
    <n v="0.185"/>
    <n v="6"/>
    <n v="6824.2884000000004"/>
    <n v="5440.86"/>
    <n v="1383.4284000000007"/>
    <n v="0.20272126834498974"/>
  </r>
  <r>
    <s v="ORD-2024-942981"/>
    <d v="2024-10-09T00:00:00"/>
    <x v="1"/>
    <s v="Q4-2024"/>
    <d v="2024-11-08T00:00:00"/>
    <s v="Valid"/>
    <n v="30"/>
    <d v="2024-11-08T00:00:00"/>
    <x v="3"/>
    <s v="Europe → United Kingdom → Manchester"/>
    <x v="140"/>
    <x v="8"/>
    <s v="Manchester"/>
    <s v="Small Business"/>
    <x v="3"/>
    <x v="1"/>
    <x v="0"/>
    <x v="169"/>
    <n v="343.85"/>
    <n v="538.04"/>
    <s v="Valid"/>
    <n v="538.04"/>
    <s v="Low"/>
    <n v="0.13900000000000001"/>
    <s v="Valid"/>
    <n v="0.13900000000000001"/>
    <n v="5"/>
    <n v="2316.2621999999997"/>
    <n v="1719.25"/>
    <n v="597.01219999999967"/>
    <n v="0.25774810813732563"/>
  </r>
  <r>
    <s v="ORD-2024-605629"/>
    <d v="2024-07-15T00:00:00"/>
    <x v="14"/>
    <s v="Q3-2024"/>
    <d v="2024-07-15T00:00:00"/>
    <s v="Valid"/>
    <n v="0"/>
    <d v="2024-07-15T00:00:00"/>
    <x v="1"/>
    <s v="Asia → Japan → Tokyo"/>
    <x v="141"/>
    <x v="2"/>
    <s v="Tokyo"/>
    <s v="Small Business"/>
    <x v="2"/>
    <x v="3"/>
    <x v="6"/>
    <x v="170"/>
    <n v="801.77"/>
    <n v="1218.92"/>
    <s v="Valid"/>
    <n v="1218.92"/>
    <s v="Medium"/>
    <n v="0.254"/>
    <s v="Valid"/>
    <n v="0.254"/>
    <n v="16"/>
    <n v="14549.029120000001"/>
    <n v="12828.32"/>
    <n v="1720.7091200000013"/>
    <n v="0.11826968698788344"/>
  </r>
  <r>
    <s v="ORD-2023-450877"/>
    <d v="2023-09-21T00:00:00"/>
    <x v="27"/>
    <s v="Q3-2023"/>
    <d v="2023-10-10T00:00:00"/>
    <s v="Valid"/>
    <n v="19"/>
    <d v="2023-10-10T00:00:00"/>
    <x v="1"/>
    <s v="Asia → Japan → Tokyo"/>
    <x v="142"/>
    <x v="2"/>
    <s v="Tokyo"/>
    <s v="Education"/>
    <x v="1"/>
    <x v="14"/>
    <x v="0"/>
    <x v="171"/>
    <n v="845.63"/>
    <n v="2062.12"/>
    <s v="Valid"/>
    <n v="2062.12"/>
    <s v="High"/>
    <n v="0.13400000000000001"/>
    <s v="Valid"/>
    <n v="0.13400000000000001"/>
    <n v="5"/>
    <n v="8928.9795999999988"/>
    <n v="4228.1499999999996"/>
    <n v="4700.8295999999991"/>
    <n v="0.52646884757133949"/>
  </r>
  <r>
    <s v="ORD-2023-286994"/>
    <d v="2023-02-24T00:00:00"/>
    <x v="2"/>
    <s v="Q1-2023"/>
    <d v="2023-03-09T00:00:00"/>
    <s v="Valid"/>
    <n v="13"/>
    <d v="2023-03-09T00:00:00"/>
    <x v="2"/>
    <s v="Americas → USA → New York"/>
    <x v="143"/>
    <x v="10"/>
    <s v="New York"/>
    <s v="Enterprise"/>
    <x v="1"/>
    <x v="12"/>
    <x v="0"/>
    <x v="172"/>
    <n v="6.85"/>
    <n v="10.18"/>
    <s v="Valid"/>
    <n v="10.18"/>
    <s v="Low"/>
    <n v="4.7E-2"/>
    <s v="Valid"/>
    <n v="4.7E-2"/>
    <n v="10"/>
    <n v="97.0154"/>
    <n v="68.5"/>
    <n v="28.5154"/>
    <n v="0.2939265312517394"/>
  </r>
  <r>
    <s v="ORD-2025-700847"/>
    <d v="2025-05-21T00:00:00"/>
    <x v="8"/>
    <s v="Q2-2025"/>
    <d v="2025-05-19T00:00:00"/>
    <s v="Invalid RequiredDate"/>
    <n v="-2"/>
    <d v="2025-06-16T00:00:00"/>
    <x v="0"/>
    <s v="Africa → South Africa → Johannesburg"/>
    <x v="144"/>
    <x v="11"/>
    <s v="Johannesburg"/>
    <s v="Non-Profit"/>
    <x v="3"/>
    <x v="7"/>
    <x v="4"/>
    <x v="173"/>
    <n v="1263.8399999999999"/>
    <n v="2281.7199999999998"/>
    <s v="Valid"/>
    <n v="2281.7199999999998"/>
    <s v="High"/>
    <n v="7.8E-2"/>
    <s v="Valid"/>
    <n v="7.8E-2"/>
    <n v="15"/>
    <n v="31556.187599999997"/>
    <n v="18957.599999999999"/>
    <n v="12598.587599999999"/>
    <n v="0.39924301882398494"/>
  </r>
  <r>
    <s v="ORD-2024-970848"/>
    <d v="2024-05-23T00:00:00"/>
    <x v="7"/>
    <s v="Q2-2024"/>
    <d v="2024-06-03T00:00:00"/>
    <s v="Valid"/>
    <n v="11"/>
    <d v="2024-06-03T00:00:00"/>
    <x v="0"/>
    <s v="Africa → South Africa → Johannesburg"/>
    <x v="91"/>
    <x v="11"/>
    <s v="Johannesburg"/>
    <s v="Small Business"/>
    <x v="3"/>
    <x v="9"/>
    <x v="1"/>
    <x v="174"/>
    <n v="180.89"/>
    <n v="249.57"/>
    <s v="Valid"/>
    <n v="249.57"/>
    <s v="Low"/>
    <n v="2.1999999999999999E-2"/>
    <s v="Valid"/>
    <n v="2.1999999999999999E-2"/>
    <n v="8"/>
    <n v="1952.6356799999999"/>
    <n v="1447.12"/>
    <n v="505.51567999999997"/>
    <n v="0.25888888806948362"/>
  </r>
  <r>
    <s v="ORD-2025-845715"/>
    <d v="2025-04-14T00:00:00"/>
    <x v="19"/>
    <s v="Q2-2025"/>
    <d v="2025-05-04T00:00:00"/>
    <s v="Valid"/>
    <n v="20"/>
    <d v="2025-05-04T00:00:00"/>
    <x v="3"/>
    <s v="Europe → United Kingdom → Birmingham"/>
    <x v="145"/>
    <x v="8"/>
    <s v="Birmingham"/>
    <s v="Enterprise"/>
    <x v="2"/>
    <x v="11"/>
    <x v="5"/>
    <x v="175"/>
    <n v="1413.87"/>
    <n v="3275"/>
    <s v="Valid"/>
    <n v="3275"/>
    <s v="High"/>
    <n v="0.255"/>
    <s v="Valid"/>
    <n v="0.255"/>
    <n v="38"/>
    <n v="92715.25"/>
    <n v="53727.06"/>
    <n v="38988.19"/>
    <n v="0.42051539525590453"/>
  </r>
  <r>
    <s v="ORD-2023-664749"/>
    <d v="2023-08-27T00:00:00"/>
    <x v="25"/>
    <s v="Q3-2023"/>
    <d v="2023-09-11T00:00:00"/>
    <s v="Valid"/>
    <n v="15"/>
    <d v="2023-09-11T00:00:00"/>
    <x v="3"/>
    <s v="Europe → United Kingdom → London"/>
    <x v="146"/>
    <x v="8"/>
    <s v="London"/>
    <s v="Consumer"/>
    <x v="2"/>
    <x v="13"/>
    <x v="1"/>
    <x v="176"/>
    <n v="943.79"/>
    <n v="1913.76"/>
    <s v="Valid"/>
    <n v="1913.76"/>
    <s v="High"/>
    <n v="9.0999999999999998E-2"/>
    <s v="Valid"/>
    <n v="9.0999999999999998E-2"/>
    <n v="9"/>
    <n v="15656.47056"/>
    <n v="8494.11"/>
    <n v="7162.3605599999992"/>
    <n v="0.45746967891338081"/>
  </r>
  <r>
    <s v="ORD-2024-960952"/>
    <d v="2024-02-03T00:00:00"/>
    <x v="31"/>
    <s v="Q1-2024"/>
    <d v="2024-02-21T00:00:00"/>
    <s v="Valid"/>
    <n v="18"/>
    <d v="2024-02-21T00:00:00"/>
    <x v="3"/>
    <s v="Europe → Germany → Frankfurt"/>
    <x v="147"/>
    <x v="6"/>
    <s v="Frankfurt"/>
    <s v="Corporate"/>
    <x v="0"/>
    <x v="10"/>
    <x v="0"/>
    <x v="177"/>
    <n v="39.229999999999997"/>
    <n v="30.09"/>
    <s v="Valid"/>
    <n v="30.09"/>
    <s v="Low"/>
    <n v="0.17699999999999999"/>
    <s v="Valid"/>
    <n v="0.17699999999999999"/>
    <n v="13"/>
    <n v="321.93290999999999"/>
    <n v="509.98999999999995"/>
    <n v="-188.05708999999996"/>
    <n v="-0.58414993981199359"/>
  </r>
  <r>
    <s v="ORD-2023-987700"/>
    <d v="2023-04-05T00:00:00"/>
    <x v="12"/>
    <s v="Q2-2023"/>
    <d v="2023-04-16T00:00:00"/>
    <s v="Valid"/>
    <n v="11"/>
    <d v="2023-04-16T00:00:00"/>
    <x v="2"/>
    <s v="Americas → Canada → Vancouver"/>
    <x v="148"/>
    <x v="3"/>
    <s v="Vancouver"/>
    <s v="Non-Profit"/>
    <x v="1"/>
    <x v="7"/>
    <x v="5"/>
    <x v="178"/>
    <n v="213.1"/>
    <n v="501.31"/>
    <s v="Valid"/>
    <n v="501.31"/>
    <s v="Low"/>
    <n v="5.6000000000000001E-2"/>
    <s v="Valid"/>
    <n v="5.6000000000000001E-2"/>
    <n v="15"/>
    <n v="7098.5495999999994"/>
    <n v="3196.5"/>
    <n v="3902.0495999999994"/>
    <n v="0.54969674368409005"/>
  </r>
  <r>
    <s v="ORD-2025-652467"/>
    <d v="2025-08-21T00:00:00"/>
    <x v="28"/>
    <s v="Q3-2025"/>
    <d v="2025-09-12T00:00:00"/>
    <s v="Valid"/>
    <n v="22"/>
    <d v="2025-09-12T00:00:00"/>
    <x v="1"/>
    <s v="Asia → China → Shenzhen"/>
    <x v="133"/>
    <x v="9"/>
    <s v="Shenzhen"/>
    <s v="Education"/>
    <x v="0"/>
    <x v="5"/>
    <x v="1"/>
    <x v="179"/>
    <n v="352.66"/>
    <n v="411.18"/>
    <s v="Valid"/>
    <n v="411.18"/>
    <s v="Low"/>
    <n v="0.17299999999999999"/>
    <s v="Valid"/>
    <n v="0.17299999999999999"/>
    <n v="13"/>
    <n v="4420.5961799999995"/>
    <n v="4584.58"/>
    <n v="-163.98382000000038"/>
    <n v="-3.7095408248758066E-2"/>
  </r>
  <r>
    <s v="ORD-2025-667201"/>
    <d v="2025-09-15T00:00:00"/>
    <x v="11"/>
    <s v="Q3-2025"/>
    <d v="2025-09-18T00:00:00"/>
    <s v="Valid"/>
    <n v="3"/>
    <d v="2025-09-18T00:00:00"/>
    <x v="2"/>
    <s v="Americas → Brazil → Rio de Janeiro"/>
    <x v="14"/>
    <x v="5"/>
    <s v="Rio de Janeiro"/>
    <s v="Non-Profit"/>
    <x v="4"/>
    <x v="4"/>
    <x v="6"/>
    <x v="180"/>
    <n v="5.5"/>
    <n v="5.92"/>
    <s v="Valid"/>
    <n v="5.92"/>
    <s v="Low"/>
    <n v="0.21199999999999999"/>
    <s v="Valid"/>
    <n v="0.21199999999999999"/>
    <n v="4"/>
    <n v="18.659839999999999"/>
    <n v="22"/>
    <n v="-3.3401600000000009"/>
    <n v="-0.17900260666758133"/>
  </r>
  <r>
    <s v="ORD-2024-237478"/>
    <d v="2024-10-03T00:00:00"/>
    <x v="1"/>
    <s v="Q4-2024"/>
    <d v="2024-10-11T00:00:00"/>
    <s v="Valid"/>
    <n v="8"/>
    <d v="2024-10-11T00:00:00"/>
    <x v="1"/>
    <s v="Asia → China → Beijing"/>
    <x v="135"/>
    <x v="9"/>
    <s v="Beijing"/>
    <s v="Enterprise"/>
    <x v="4"/>
    <x v="5"/>
    <x v="3"/>
    <x v="181"/>
    <n v="1132.6099999999999"/>
    <n v="2206.63"/>
    <s v="Valid"/>
    <n v="2206.63"/>
    <s v="High"/>
    <n v="6.3E-2"/>
    <s v="Valid"/>
    <n v="6.3E-2"/>
    <n v="20"/>
    <n v="41352.246200000009"/>
    <n v="22652.199999999997"/>
    <n v="18700.046200000012"/>
    <n v="0.45221355351671338"/>
  </r>
  <r>
    <s v="ORD-2025-898843"/>
    <d v="2025-02-02T00:00:00"/>
    <x v="26"/>
    <s v="Q1-2025"/>
    <d v="2025-03-04T00:00:00"/>
    <s v="Valid"/>
    <n v="30"/>
    <d v="2025-03-04T00:00:00"/>
    <x v="1"/>
    <s v="Asia → Japan → Osaka"/>
    <x v="149"/>
    <x v="2"/>
    <s v="Osaka"/>
    <s v="Education"/>
    <x v="3"/>
    <x v="4"/>
    <x v="6"/>
    <x v="182"/>
    <n v="766.59"/>
    <n v="1912.8"/>
    <s v="Valid"/>
    <n v="1912.8"/>
    <s v="High"/>
    <n v="0.19600000000000001"/>
    <s v="Valid"/>
    <n v="0.19600000000000001"/>
    <n v="5"/>
    <n v="7689.4560000000001"/>
    <n v="3832.9500000000003"/>
    <n v="3856.5059999999999"/>
    <n v="0.50153170783472845"/>
  </r>
  <r>
    <s v="ORD-2023-334213"/>
    <d v="2023-08-19T00:00:00"/>
    <x v="25"/>
    <s v="Q3-2023"/>
    <d v="2023-08-23T00:00:00"/>
    <s v="Valid"/>
    <n v="4"/>
    <d v="2023-08-23T00:00:00"/>
    <x v="0"/>
    <s v="Africa → Nigeria → Abuja"/>
    <x v="150"/>
    <x v="1"/>
    <s v="Abuja"/>
    <s v="Small Business"/>
    <x v="1"/>
    <x v="1"/>
    <x v="5"/>
    <x v="183"/>
    <n v="790.63"/>
    <n v="1382.31"/>
    <s v="Valid"/>
    <n v="1382.31"/>
    <s v="Medium"/>
    <n v="0.10100000000000001"/>
    <s v="Valid"/>
    <n v="0.10100000000000001"/>
    <n v="7"/>
    <n v="8698.8768300000011"/>
    <n v="5534.41"/>
    <n v="3164.4668300000012"/>
    <n v="0.36377878338116448"/>
  </r>
  <r>
    <s v="ORD-2024-640340"/>
    <d v="2024-10-22T00:00:00"/>
    <x v="1"/>
    <s v="Q4-2024"/>
    <d v="2024-10-29T00:00:00"/>
    <s v="Valid"/>
    <n v="7"/>
    <d v="2024-10-29T00:00:00"/>
    <x v="0"/>
    <s v="Africa → Nigeria → Port Harcourt"/>
    <x v="1"/>
    <x v="1"/>
    <s v="Port Harcourt"/>
    <s v="Enterprise"/>
    <x v="3"/>
    <x v="12"/>
    <x v="5"/>
    <x v="184"/>
    <n v="1023.06"/>
    <n v="1355.61"/>
    <s v="Valid"/>
    <n v="1355.61"/>
    <s v="Medium"/>
    <n v="0.153"/>
    <s v="Valid"/>
    <n v="0.153"/>
    <n v="23"/>
    <n v="26408.63841"/>
    <n v="23530.379999999997"/>
    <n v="2878.2584100000022"/>
    <n v="0.10898927711888809"/>
  </r>
  <r>
    <s v="ORD-2023-399631"/>
    <d v="2023-06-22T00:00:00"/>
    <x v="23"/>
    <s v="Q2-2023"/>
    <d v="2023-07-21T00:00:00"/>
    <s v="Valid"/>
    <n v="29"/>
    <d v="2023-07-21T00:00:00"/>
    <x v="3"/>
    <s v="Europe → France → Lyon"/>
    <x v="151"/>
    <x v="7"/>
    <s v="Lyon"/>
    <s v="Corporate"/>
    <x v="0"/>
    <x v="1"/>
    <x v="6"/>
    <x v="185"/>
    <n v="734.34"/>
    <n v="887.9"/>
    <s v="Valid"/>
    <n v="887.9"/>
    <s v="Medium"/>
    <n v="2.5000000000000001E-2"/>
    <s v="Valid"/>
    <n v="2.5000000000000001E-2"/>
    <n v="12"/>
    <n v="10388.429999999998"/>
    <n v="8812.08"/>
    <n v="1576.3499999999985"/>
    <n v="0.15174092716608753"/>
  </r>
  <r>
    <s v="ORD-2025-542939"/>
    <d v="2025-01-13T00:00:00"/>
    <x v="10"/>
    <s v="Q1-2025"/>
    <d v="2025-02-08T00:00:00"/>
    <s v="Valid"/>
    <n v="26"/>
    <d v="2025-02-08T00:00:00"/>
    <x v="3"/>
    <s v="Europe → France → Paris"/>
    <x v="49"/>
    <x v="7"/>
    <s v="Paris"/>
    <s v="Non-Profit"/>
    <x v="5"/>
    <x v="6"/>
    <x v="5"/>
    <x v="186"/>
    <n v="594.74"/>
    <n v="1020.69"/>
    <s v="Valid"/>
    <n v="1020.69"/>
    <s v="Medium"/>
    <n v="0.21099999999999999"/>
    <s v="Valid"/>
    <n v="0.21099999999999999"/>
    <n v="6"/>
    <n v="4831.9464600000001"/>
    <n v="3568.44"/>
    <n v="1263.5064600000001"/>
    <n v="0.26149016146176424"/>
  </r>
  <r>
    <s v="ORD-2023-521818"/>
    <d v="2023-01-29T00:00:00"/>
    <x v="5"/>
    <s v="Q1-2023"/>
    <d v="2023-02-28T00:00:00"/>
    <s v="Valid"/>
    <n v="30"/>
    <d v="2023-02-28T00:00:00"/>
    <x v="1"/>
    <s v="Asia → India → Bengaluru"/>
    <x v="152"/>
    <x v="4"/>
    <s v="Bengaluru"/>
    <s v="Non-Profit"/>
    <x v="0"/>
    <x v="5"/>
    <x v="6"/>
    <x v="187"/>
    <n v="1262.0999999999999"/>
    <n v="1395.53"/>
    <s v="Valid"/>
    <n v="1395.53"/>
    <s v="Medium"/>
    <n v="0.23300000000000001"/>
    <s v="Valid"/>
    <n v="0.23300000000000001"/>
    <n v="25"/>
    <n v="26759.28775"/>
    <n v="31552.499999999996"/>
    <n v="-4793.2122499999969"/>
    <n v="-0.17912331205452198"/>
  </r>
  <r>
    <s v="ORD-2023-825836"/>
    <d v="2023-07-19T00:00:00"/>
    <x v="24"/>
    <s v="Q3-2023"/>
    <d v="2023-07-31T00:00:00"/>
    <s v="Valid"/>
    <n v="12"/>
    <d v="2023-07-31T00:00:00"/>
    <x v="2"/>
    <s v="Americas → Brazil → Rio de Janeiro"/>
    <x v="120"/>
    <x v="5"/>
    <s v="Rio de Janeiro"/>
    <s v="Corporate"/>
    <x v="0"/>
    <x v="0"/>
    <x v="5"/>
    <x v="188"/>
    <n v="1334.64"/>
    <n v="2273.42"/>
    <s v="Valid"/>
    <n v="2273.42"/>
    <s v="High"/>
    <n v="0.11799999999999999"/>
    <s v="Valid"/>
    <n v="0.11799999999999999"/>
    <n v="14"/>
    <n v="28072.190160000002"/>
    <n v="18684.960000000003"/>
    <n v="9387.2301599999992"/>
    <n v="0.33439607335575267"/>
  </r>
  <r>
    <s v="ORD-2024-503082"/>
    <d v="2024-05-19T00:00:00"/>
    <x v="7"/>
    <s v="Q2-2024"/>
    <d v="2024-06-08T00:00:00"/>
    <s v="Valid"/>
    <n v="20"/>
    <d v="2024-06-08T00:00:00"/>
    <x v="2"/>
    <s v="Americas → Brazil → Brasília"/>
    <x v="153"/>
    <x v="5"/>
    <s v="Brasília"/>
    <s v="Small Business"/>
    <x v="0"/>
    <x v="6"/>
    <x v="5"/>
    <x v="189"/>
    <n v="1075.9000000000001"/>
    <n v="1242.1500000000001"/>
    <s v="Valid"/>
    <n v="1242.1500000000001"/>
    <s v="Medium"/>
    <n v="1.2E-2"/>
    <s v="Valid"/>
    <n v="1.2E-2"/>
    <n v="7"/>
    <n v="8590.7094000000016"/>
    <n v="7531.3000000000011"/>
    <n v="1059.4094000000005"/>
    <n v="0.12332036280961853"/>
  </r>
  <r>
    <s v="ORD-2024-760799"/>
    <d v="2024-02-03T00:00:00"/>
    <x v="31"/>
    <s v="Q1-2024"/>
    <d v="2024-02-19T00:00:00"/>
    <s v="Valid"/>
    <n v="16"/>
    <d v="2024-02-19T00:00:00"/>
    <x v="1"/>
    <s v="Asia → China → Shenzhen"/>
    <x v="116"/>
    <x v="9"/>
    <s v="Shenzhen"/>
    <s v="Small Business"/>
    <x v="1"/>
    <x v="10"/>
    <x v="4"/>
    <x v="190"/>
    <n v="993.75"/>
    <n v="1310.29"/>
    <s v="Valid"/>
    <n v="1310.29"/>
    <s v="Medium"/>
    <n v="0.215"/>
    <s v="Valid"/>
    <n v="0.215"/>
    <n v="19"/>
    <n v="19542.975350000001"/>
    <n v="18881.25"/>
    <n v="661.72535000000062"/>
    <n v="3.3860010471742245E-2"/>
  </r>
  <r>
    <s v="ORD-2023-197661"/>
    <d v="2023-08-08T00:00:00"/>
    <x v="25"/>
    <s v="Q3-2023"/>
    <d v="2023-08-22T00:00:00"/>
    <s v="Valid"/>
    <n v="14"/>
    <d v="2023-08-22T00:00:00"/>
    <x v="3"/>
    <s v="Europe → United Kingdom → Birmingham"/>
    <x v="146"/>
    <x v="8"/>
    <s v="Birmingham"/>
    <s v="Non-Profit"/>
    <x v="4"/>
    <x v="13"/>
    <x v="5"/>
    <x v="191"/>
    <n v="446.69"/>
    <n v="967.25"/>
    <s v="Valid"/>
    <n v="967.25"/>
    <s v="Medium"/>
    <n v="9.4E-2"/>
    <s v="Valid"/>
    <n v="9.4E-2"/>
    <n v="10"/>
    <n v="8763.2849999999999"/>
    <n v="4466.8999999999996"/>
    <n v="4296.3850000000002"/>
    <n v="0.49027105702941309"/>
  </r>
  <r>
    <s v="ORD-2024-212990"/>
    <d v="2024-08-12T00:00:00"/>
    <x v="21"/>
    <s v="Q3-2024"/>
    <d v="2024-09-03T00:00:00"/>
    <s v="Valid"/>
    <n v="22"/>
    <d v="2024-09-03T00:00:00"/>
    <x v="2"/>
    <s v="Americas → USA → Austin"/>
    <x v="154"/>
    <x v="10"/>
    <s v="Austin"/>
    <s v="Consumer"/>
    <x v="3"/>
    <x v="2"/>
    <x v="4"/>
    <x v="192"/>
    <n v="797.8"/>
    <n v="886.22"/>
    <s v="Valid"/>
    <n v="886.22"/>
    <s v="Medium"/>
    <n v="0.23599999999999999"/>
    <s v="Valid"/>
    <n v="0.23599999999999999"/>
    <n v="36"/>
    <n v="24374.594880000001"/>
    <n v="28720.799999999999"/>
    <n v="-4346.2051199999987"/>
    <n v="-0.17830881462428633"/>
  </r>
  <r>
    <s v="ORD-2023-925146"/>
    <d v="2023-10-15T00:00:00"/>
    <x v="32"/>
    <s v="Q4-2023"/>
    <d v="2023-11-13T00:00:00"/>
    <s v="Valid"/>
    <n v="29"/>
    <d v="2023-11-13T00:00:00"/>
    <x v="1"/>
    <s v="Asia → China → Shenzhen"/>
    <x v="155"/>
    <x v="9"/>
    <s v="Shenzhen"/>
    <s v="Non-Profit"/>
    <x v="3"/>
    <x v="1"/>
    <x v="1"/>
    <x v="193"/>
    <n v="986.44"/>
    <n v="790.61"/>
    <s v="Valid"/>
    <n v="790.61"/>
    <s v="Medium"/>
    <n v="7.1999999999999995E-2"/>
    <s v="Valid"/>
    <n v="7.1999999999999995E-2"/>
    <n v="6"/>
    <n v="4402.1164799999997"/>
    <n v="5918.64"/>
    <n v="-1516.5235200000006"/>
    <n v="-0.34449872621271499"/>
  </r>
  <r>
    <s v="ORD-2023-177794"/>
    <d v="2023-05-04T00:00:00"/>
    <x v="15"/>
    <s v="Q2-2023"/>
    <d v="2023-05-26T00:00:00"/>
    <s v="Valid"/>
    <n v="22"/>
    <d v="2023-05-26T00:00:00"/>
    <x v="2"/>
    <s v="Americas → USA → San Francisco"/>
    <x v="156"/>
    <x v="10"/>
    <s v="San Francisco"/>
    <s v="Enterprise"/>
    <x v="1"/>
    <x v="1"/>
    <x v="2"/>
    <x v="194"/>
    <n v="249.71"/>
    <n v="361.33"/>
    <s v="Valid"/>
    <n v="361.33"/>
    <s v="Low"/>
    <n v="9.4E-2"/>
    <s v="Valid"/>
    <n v="9.4E-2"/>
    <n v="12"/>
    <n v="3928.3797600000003"/>
    <n v="2996.52"/>
    <n v="931.85976000000028"/>
    <n v="0.23721223937881206"/>
  </r>
  <r>
    <s v="ORD-2024-444710"/>
    <d v="2024-09-22T00:00:00"/>
    <x v="29"/>
    <s v="Q3-2024"/>
    <d v="2024-10-01T00:00:00"/>
    <s v="Valid"/>
    <n v="9"/>
    <d v="2024-10-01T00:00:00"/>
    <x v="2"/>
    <s v="Americas → Brazil → São Paulo"/>
    <x v="157"/>
    <x v="5"/>
    <s v="São Paulo"/>
    <s v="Non-Profit"/>
    <x v="1"/>
    <x v="11"/>
    <x v="5"/>
    <x v="195"/>
    <n v="1378.8"/>
    <n v="1952.04"/>
    <s v="Valid"/>
    <n v="1952.04"/>
    <s v="High"/>
    <n v="0.159"/>
    <s v="Valid"/>
    <n v="0.159"/>
    <n v="19"/>
    <n v="31191.64716"/>
    <n v="26197.200000000001"/>
    <n v="4994.4471599999997"/>
    <n v="0.16012130216723058"/>
  </r>
  <r>
    <s v="ORD-2024-668926"/>
    <d v="2024-10-23T00:00:00"/>
    <x v="1"/>
    <s v="Q4-2024"/>
    <d v="2024-11-14T00:00:00"/>
    <s v="Valid"/>
    <n v="22"/>
    <d v="2024-11-14T00:00:00"/>
    <x v="1"/>
    <s v="Asia → Japan → Osaka"/>
    <x v="94"/>
    <x v="2"/>
    <s v="Osaka"/>
    <s v="Non-Profit"/>
    <x v="4"/>
    <x v="5"/>
    <x v="3"/>
    <x v="196"/>
    <n v="1406.4"/>
    <n v="1564.76"/>
    <s v="Valid"/>
    <n v="1564.76"/>
    <s v="Medium"/>
    <n v="0.185"/>
    <s v="Valid"/>
    <n v="0.185"/>
    <n v="17"/>
    <n v="21679.749799999998"/>
    <n v="23908.800000000003"/>
    <n v="-2229.0502000000051"/>
    <n v="-0.10281715520536151"/>
  </r>
  <r>
    <s v="ORD-2024-968374"/>
    <d v="2024-02-11T00:00:00"/>
    <x v="31"/>
    <s v="Q1-2024"/>
    <d v="2024-03-03T00:00:00"/>
    <s v="Valid"/>
    <n v="21"/>
    <d v="2024-03-03T00:00:00"/>
    <x v="0"/>
    <s v="Africa → Kenya → Kisumu"/>
    <x v="127"/>
    <x v="0"/>
    <s v="Kisumu"/>
    <s v="Enterprise"/>
    <x v="1"/>
    <x v="5"/>
    <x v="3"/>
    <x v="197"/>
    <n v="516.86"/>
    <n v="852.54"/>
    <s v="Valid"/>
    <n v="852.54"/>
    <s v="Medium"/>
    <n v="5.0999999999999997E-2"/>
    <s v="Valid"/>
    <n v="5.0999999999999997E-2"/>
    <n v="14"/>
    <n v="11326.846439999999"/>
    <n v="7236.04"/>
    <n v="4090.8064399999994"/>
    <n v="0.36116022775355994"/>
  </r>
  <r>
    <s v="ORD-2023-575584"/>
    <d v="2023-01-30T00:00:00"/>
    <x v="5"/>
    <s v="Q1-2023"/>
    <d v="2023-02-21T00:00:00"/>
    <s v="Valid"/>
    <n v="22"/>
    <d v="2023-02-21T00:00:00"/>
    <x v="3"/>
    <s v="Europe → Germany → Munich"/>
    <x v="158"/>
    <x v="6"/>
    <s v="Munich"/>
    <s v="Small Business"/>
    <x v="2"/>
    <x v="3"/>
    <x v="2"/>
    <x v="198"/>
    <n v="1142.8800000000001"/>
    <n v="1465.29"/>
    <s v="Valid"/>
    <n v="1465.29"/>
    <s v="Medium"/>
    <n v="0.186"/>
    <s v="Valid"/>
    <n v="0.186"/>
    <n v="7"/>
    <n v="8349.2224200000001"/>
    <n v="8000.1600000000008"/>
    <n v="349.06241999999929"/>
    <n v="4.1807775915017401E-2"/>
  </r>
  <r>
    <s v="ORD-2023-701153"/>
    <d v="2023-04-14T00:00:00"/>
    <x v="12"/>
    <s v="Q2-2023"/>
    <d v="2023-05-13T00:00:00"/>
    <s v="Valid"/>
    <n v="29"/>
    <d v="2023-05-13T00:00:00"/>
    <x v="3"/>
    <s v="Europe → Germany → Frankfurt"/>
    <x v="159"/>
    <x v="6"/>
    <s v="Frankfurt"/>
    <s v="Consumer"/>
    <x v="4"/>
    <x v="1"/>
    <x v="1"/>
    <x v="199"/>
    <n v="1320.33"/>
    <n v="2645.23"/>
    <s v="Valid"/>
    <n v="2645.23"/>
    <s v="High"/>
    <n v="0.155"/>
    <s v="Valid"/>
    <n v="0.155"/>
    <n v="25"/>
    <n v="55880.483749999999"/>
    <n v="33008.25"/>
    <n v="22872.233749999999"/>
    <n v="0.40930629470436536"/>
  </r>
  <r>
    <s v="ORD-2023-382017"/>
    <d v="2023-01-13T00:00:00"/>
    <x v="5"/>
    <s v="Q1-2023"/>
    <d v="2023-01-19T00:00:00"/>
    <s v="Valid"/>
    <n v="6"/>
    <d v="2023-01-19T00:00:00"/>
    <x v="2"/>
    <s v="Americas → USA → Chicago"/>
    <x v="112"/>
    <x v="10"/>
    <s v="Chicago"/>
    <s v="Corporate"/>
    <x v="4"/>
    <x v="10"/>
    <x v="3"/>
    <x v="200"/>
    <n v="833.57"/>
    <n v="881.57"/>
    <s v="Valid"/>
    <n v="881.57"/>
    <s v="Medium"/>
    <n v="5.7000000000000002E-2"/>
    <s v="Valid"/>
    <n v="5.7000000000000002E-2"/>
    <n v="18"/>
    <n v="14963.769179999999"/>
    <n v="15004.26"/>
    <n v="-40.490820000000895"/>
    <n v="-2.7059238560107821E-3"/>
  </r>
  <r>
    <s v="ORD-2024-999607"/>
    <d v="2024-01-12T00:00:00"/>
    <x v="9"/>
    <s v="Q1-2024"/>
    <d v="2024-01-29T00:00:00"/>
    <s v="Valid"/>
    <n v="17"/>
    <d v="2024-01-29T00:00:00"/>
    <x v="2"/>
    <s v="Americas → USA → Chicago"/>
    <x v="160"/>
    <x v="10"/>
    <s v="Chicago"/>
    <s v="Education"/>
    <x v="3"/>
    <x v="8"/>
    <x v="1"/>
    <x v="201"/>
    <n v="493.76"/>
    <n v="625.04"/>
    <s v="Valid"/>
    <n v="625.04"/>
    <s v="Medium"/>
    <n v="0.25800000000000001"/>
    <s v="Valid"/>
    <n v="0.25800000000000001"/>
    <n v="10"/>
    <n v="4637.7968000000001"/>
    <n v="4937.6000000000004"/>
    <n v="-299.80320000000029"/>
    <n v="-6.464345311549663E-2"/>
  </r>
  <r>
    <s v="ORD-2023-133848"/>
    <d v="2023-08-15T00:00:00"/>
    <x v="25"/>
    <s v="Q3-2023"/>
    <d v="2023-09-07T00:00:00"/>
    <s v="Valid"/>
    <n v="23"/>
    <d v="2023-09-07T00:00:00"/>
    <x v="2"/>
    <s v="Americas → USA → New York"/>
    <x v="161"/>
    <x v="10"/>
    <s v="New York"/>
    <s v="Enterprise"/>
    <x v="1"/>
    <x v="11"/>
    <x v="3"/>
    <x v="202"/>
    <n v="590.33000000000004"/>
    <n v="973.04"/>
    <s v="Valid"/>
    <n v="973.04"/>
    <s v="Medium"/>
    <n v="0"/>
    <s v="Valid"/>
    <n v="0"/>
    <n v="26"/>
    <n v="25299.040000000001"/>
    <n v="15348.580000000002"/>
    <n v="9950.4599999999991"/>
    <n v="0.39331373838691108"/>
  </r>
  <r>
    <s v="ORD-2023-586275"/>
    <d v="2023-01-20T00:00:00"/>
    <x v="5"/>
    <s v="Q1-2023"/>
    <d v="2023-02-03T00:00:00"/>
    <s v="Valid"/>
    <n v="14"/>
    <d v="2023-02-03T00:00:00"/>
    <x v="0"/>
    <s v="Africa → Kenya → Kisumu"/>
    <x v="162"/>
    <x v="0"/>
    <s v="Kisumu"/>
    <s v="Corporate"/>
    <x v="0"/>
    <x v="12"/>
    <x v="2"/>
    <x v="203"/>
    <n v="884.36"/>
    <n v="1545.34"/>
    <s v="Valid"/>
    <n v="1545.34"/>
    <s v="Medium"/>
    <n v="0.24299999999999999"/>
    <s v="Valid"/>
    <n v="0.24299999999999999"/>
    <n v="41"/>
    <n v="47962.717579999997"/>
    <n v="36258.76"/>
    <n v="11703.957579999995"/>
    <n v="0.24402198562827965"/>
  </r>
  <r>
    <s v="ORD-2025-964661"/>
    <d v="2025-02-04T00:00:00"/>
    <x v="26"/>
    <s v="Q1-2025"/>
    <d v="2025-02-25T00:00:00"/>
    <s v="Valid"/>
    <n v="21"/>
    <d v="2025-02-25T00:00:00"/>
    <x v="3"/>
    <s v="Europe → United Kingdom → Birmingham"/>
    <x v="163"/>
    <x v="8"/>
    <s v="Birmingham"/>
    <s v="Corporate"/>
    <x v="2"/>
    <x v="14"/>
    <x v="5"/>
    <x v="204"/>
    <n v="1016.32"/>
    <n v="2253.42"/>
    <s v="Valid"/>
    <n v="2253.42"/>
    <s v="High"/>
    <n v="5.5E-2"/>
    <s v="Valid"/>
    <n v="5.5E-2"/>
    <n v="12"/>
    <n v="25553.782800000001"/>
    <n v="12195.84"/>
    <n v="13357.942800000001"/>
    <n v="0.52273837124419797"/>
  </r>
  <r>
    <s v="ORD-2023-390998"/>
    <d v="2023-04-19T00:00:00"/>
    <x v="12"/>
    <s v="Q2-2023"/>
    <d v="2023-04-28T00:00:00"/>
    <s v="Valid"/>
    <n v="9"/>
    <d v="2023-04-28T00:00:00"/>
    <x v="3"/>
    <s v="Europe → Germany → Berlin"/>
    <x v="159"/>
    <x v="6"/>
    <s v="Berlin"/>
    <s v="Education"/>
    <x v="1"/>
    <x v="6"/>
    <x v="5"/>
    <x v="205"/>
    <n v="1178.42"/>
    <n v="2446.56"/>
    <s v="Valid"/>
    <n v="2446.56"/>
    <s v="High"/>
    <n v="2.9000000000000001E-2"/>
    <s v="Valid"/>
    <n v="2.9000000000000001E-2"/>
    <n v="11"/>
    <n v="26131.70736"/>
    <n v="12962.62"/>
    <n v="13169.08736"/>
    <n v="0.5039505141618883"/>
  </r>
  <r>
    <s v="ORD-2023-920483"/>
    <d v="2023-07-02T00:00:00"/>
    <x v="24"/>
    <s v="Q3-2023"/>
    <d v="2023-08-01T00:00:00"/>
    <s v="Valid"/>
    <n v="30"/>
    <d v="2023-08-01T00:00:00"/>
    <x v="3"/>
    <s v="Europe → United Kingdom → Birmingham"/>
    <x v="164"/>
    <x v="8"/>
    <s v="Birmingham"/>
    <s v="Small Business"/>
    <x v="0"/>
    <x v="5"/>
    <x v="0"/>
    <x v="206"/>
    <n v="137.46"/>
    <n v="188.3"/>
    <s v="Valid"/>
    <n v="188.3"/>
    <s v="Low"/>
    <n v="3.7999999999999999E-2"/>
    <s v="Valid"/>
    <n v="3.7999999999999999E-2"/>
    <n v="37"/>
    <n v="6702.3501999999999"/>
    <n v="5086.0200000000004"/>
    <n v="1616.3301999999994"/>
    <n v="0.24115872071262398"/>
  </r>
  <r>
    <s v="ORD-2025-146850"/>
    <d v="2025-01-21T00:00:00"/>
    <x v="10"/>
    <s v="Q1-2025"/>
    <d v="2025-02-14T00:00:00"/>
    <s v="Valid"/>
    <n v="24"/>
    <d v="2025-02-14T00:00:00"/>
    <x v="0"/>
    <s v="Africa → Kenya → Nairobi"/>
    <x v="165"/>
    <x v="0"/>
    <s v="Nairobi"/>
    <s v="Small Business"/>
    <x v="0"/>
    <x v="1"/>
    <x v="6"/>
    <x v="207"/>
    <n v="1030.44"/>
    <n v="2562.84"/>
    <s v="Valid"/>
    <n v="2562.84"/>
    <s v="High"/>
    <n v="0.14799999999999999"/>
    <s v="Valid"/>
    <n v="0.14799999999999999"/>
    <n v="13"/>
    <n v="28386.015839999996"/>
    <n v="13395.720000000001"/>
    <n v="14990.295839999995"/>
    <n v="0.52808734852027039"/>
  </r>
  <r>
    <s v="ORD-2024-687100"/>
    <d v="2024-09-10T00:00:00"/>
    <x v="29"/>
    <s v="Q3-2024"/>
    <d v="2024-10-07T00:00:00"/>
    <s v="Valid"/>
    <n v="27"/>
    <d v="2024-10-07T00:00:00"/>
    <x v="0"/>
    <s v="Africa → Kenya → Kisumu"/>
    <x v="166"/>
    <x v="0"/>
    <s v="Kisumu"/>
    <s v="Consumer"/>
    <x v="0"/>
    <x v="4"/>
    <x v="1"/>
    <x v="208"/>
    <n v="1248.3900000000001"/>
    <n v="1805.11"/>
    <s v="Valid"/>
    <n v="1805.11"/>
    <s v="Medium"/>
    <n v="0.20300000000000001"/>
    <s v="Valid"/>
    <n v="0.20300000000000001"/>
    <n v="11"/>
    <n v="15825.399369999997"/>
    <n v="13732.29"/>
    <n v="2093.1093699999965"/>
    <n v="0.13226265707820786"/>
  </r>
  <r>
    <s v="ORD-2025-629393"/>
    <d v="2025-07-21T00:00:00"/>
    <x v="13"/>
    <s v="Q3-2025"/>
    <d v="2025-08-07T00:00:00"/>
    <s v="Valid"/>
    <n v="17"/>
    <d v="2025-08-07T00:00:00"/>
    <x v="0"/>
    <s v="Africa → Nigeria → Lagos"/>
    <x v="167"/>
    <x v="1"/>
    <s v="Lagos"/>
    <s v="Enterprise"/>
    <x v="4"/>
    <x v="12"/>
    <x v="6"/>
    <x v="209"/>
    <n v="1204.95"/>
    <n v="2065.73"/>
    <s v="Valid"/>
    <n v="2065.73"/>
    <s v="High"/>
    <n v="0.13600000000000001"/>
    <s v="Valid"/>
    <n v="0.13600000000000001"/>
    <n v="10"/>
    <n v="17847.907199999998"/>
    <n v="12049.5"/>
    <n v="5798.4071999999978"/>
    <n v="0.32487882949100039"/>
  </r>
  <r>
    <s v="ORD-2024-686712"/>
    <d v="2024-10-02T00:00:00"/>
    <x v="1"/>
    <s v="Q4-2024"/>
    <d v="2024-10-23T00:00:00"/>
    <s v="Valid"/>
    <n v="21"/>
    <d v="2024-10-23T00:00:00"/>
    <x v="0"/>
    <s v="Africa → South Africa → Durban"/>
    <x v="168"/>
    <x v="11"/>
    <s v="Durban"/>
    <s v="Corporate"/>
    <x v="2"/>
    <x v="8"/>
    <x v="0"/>
    <x v="210"/>
    <n v="1095.6099999999999"/>
    <n v="2366.5100000000002"/>
    <s v="Valid"/>
    <n v="2366.5100000000002"/>
    <s v="High"/>
    <n v="0.152"/>
    <s v="Valid"/>
    <n v="0.152"/>
    <n v="9"/>
    <n v="18061.204320000004"/>
    <n v="9860.49"/>
    <n v="8200.7143200000046"/>
    <n v="0.4540513564158607"/>
  </r>
  <r>
    <s v="ORD-2025-586799"/>
    <d v="2025-07-14T00:00:00"/>
    <x v="13"/>
    <s v="Q3-2025"/>
    <d v="2025-08-04T00:00:00"/>
    <s v="Valid"/>
    <n v="21"/>
    <d v="2025-08-04T00:00:00"/>
    <x v="2"/>
    <s v="Americas → Canada → Montreal"/>
    <x v="104"/>
    <x v="3"/>
    <s v="Montreal"/>
    <s v="Consumer"/>
    <x v="1"/>
    <x v="10"/>
    <x v="5"/>
    <x v="211"/>
    <n v="90.3"/>
    <n v="131.76"/>
    <s v="Valid"/>
    <n v="131.76"/>
    <s v="Low"/>
    <n v="0.10199999999999999"/>
    <s v="Valid"/>
    <n v="0.10199999999999999"/>
    <n v="15"/>
    <n v="1774.8072"/>
    <n v="1354.5"/>
    <n v="420.30719999999997"/>
    <n v="0.23681851189244668"/>
  </r>
  <r>
    <s v="ORD-2024-988736"/>
    <d v="2024-09-09T00:00:00"/>
    <x v="29"/>
    <s v="Q3-2024"/>
    <d v="2024-10-01T00:00:00"/>
    <s v="Valid"/>
    <n v="22"/>
    <d v="2024-10-01T00:00:00"/>
    <x v="1"/>
    <s v="Asia → China → Shenzhen"/>
    <x v="90"/>
    <x v="9"/>
    <s v="Shenzhen"/>
    <s v="Consumer"/>
    <x v="4"/>
    <x v="4"/>
    <x v="1"/>
    <x v="212"/>
    <n v="1166.18"/>
    <n v="1335.02"/>
    <s v="Valid"/>
    <n v="1335.02"/>
    <s v="Medium"/>
    <n v="0.128"/>
    <s v="Valid"/>
    <n v="0.128"/>
    <n v="6"/>
    <n v="6984.8246399999998"/>
    <n v="6997.08"/>
    <n v="-12.25536000000011"/>
    <n v="-1.7545694604582242E-3"/>
  </r>
  <r>
    <s v="ORD-2025-564184"/>
    <d v="2025-01-29T00:00:00"/>
    <x v="10"/>
    <s v="Q1-2025"/>
    <d v="2025-02-06T00:00:00"/>
    <s v="Valid"/>
    <n v="8"/>
    <d v="2025-02-06T00:00:00"/>
    <x v="0"/>
    <s v="Africa → Kenya → Kisumu"/>
    <x v="165"/>
    <x v="0"/>
    <s v="Kisumu"/>
    <s v="Education"/>
    <x v="0"/>
    <x v="5"/>
    <x v="3"/>
    <x v="213"/>
    <n v="1445.27"/>
    <n v="2691.45"/>
    <s v="Valid"/>
    <n v="2691.45"/>
    <s v="High"/>
    <n v="0"/>
    <s v="Valid"/>
    <n v="0"/>
    <n v="9"/>
    <n v="24223.05"/>
    <n v="13007.43"/>
    <n v="11215.619999999999"/>
    <n v="0.46301436028906351"/>
  </r>
  <r>
    <s v="ORD-2023-653343"/>
    <d v="2023-11-10T00:00:00"/>
    <x v="30"/>
    <s v="Q4-2023"/>
    <d v="2023-11-28T00:00:00"/>
    <s v="Valid"/>
    <n v="18"/>
    <d v="2023-11-28T00:00:00"/>
    <x v="2"/>
    <s v="Americas → Brazil → Brasília"/>
    <x v="169"/>
    <x v="5"/>
    <s v="Brasília"/>
    <s v="Education"/>
    <x v="2"/>
    <x v="4"/>
    <x v="6"/>
    <x v="214"/>
    <n v="388.51"/>
    <n v="776.46"/>
    <s v="Valid"/>
    <n v="776.46"/>
    <s v="Medium"/>
    <n v="0.157"/>
    <s v="Valid"/>
    <n v="0.157"/>
    <n v="12"/>
    <n v="7854.6693599999999"/>
    <n v="4662.12"/>
    <n v="3192.54936"/>
    <n v="0.40645241876864946"/>
  </r>
  <r>
    <s v="ORD-2024-197852"/>
    <d v="2024-02-29T00:00:00"/>
    <x v="31"/>
    <s v="Q1-2024"/>
    <d v="2024-03-30T00:00:00"/>
    <s v="Valid"/>
    <n v="30"/>
    <d v="2024-03-30T00:00:00"/>
    <x v="1"/>
    <s v="Asia → Japan → Nagoya"/>
    <x v="170"/>
    <x v="2"/>
    <s v="Nagoya"/>
    <s v="Small Business"/>
    <x v="4"/>
    <x v="2"/>
    <x v="2"/>
    <x v="215"/>
    <n v="231.11"/>
    <n v="318.17"/>
    <s v="Valid"/>
    <n v="318.17"/>
    <s v="Low"/>
    <n v="0.20100000000000001"/>
    <s v="Valid"/>
    <n v="0.20100000000000001"/>
    <n v="60"/>
    <n v="15253.069799999999"/>
    <n v="13866.6"/>
    <n v="1386.4697999999989"/>
    <n v="9.0897754889969692E-2"/>
  </r>
  <r>
    <s v="ORD-2023-431328"/>
    <d v="2023-12-20T00:00:00"/>
    <x v="4"/>
    <s v="Q4-2023"/>
    <d v="2024-01-14T00:00:00"/>
    <s v="Valid"/>
    <n v="25"/>
    <d v="2024-01-14T00:00:00"/>
    <x v="1"/>
    <s v="Asia → India → Mumbai"/>
    <x v="171"/>
    <x v="4"/>
    <s v="Mumbai"/>
    <s v="Non-Profit"/>
    <x v="2"/>
    <x v="4"/>
    <x v="5"/>
    <x v="216"/>
    <n v="1085.6099999999999"/>
    <n v="1246.4100000000001"/>
    <s v="Valid"/>
    <n v="1246.4100000000001"/>
    <s v="Medium"/>
    <n v="0.113"/>
    <s v="Valid"/>
    <n v="0.113"/>
    <n v="7"/>
    <n v="7738.9596900000006"/>
    <n v="7599.2699999999995"/>
    <n v="139.68969000000106"/>
    <n v="1.8050189637310417E-2"/>
  </r>
  <r>
    <s v="ORD-2023-613317"/>
    <d v="2023-01-22T00:00:00"/>
    <x v="5"/>
    <s v="Q1-2023"/>
    <d v="2023-01-21T00:00:00"/>
    <s v="Invalid RequiredDate"/>
    <n v="-1"/>
    <d v="2023-02-17T00:00:00"/>
    <x v="3"/>
    <s v="Europe → Germany → Munich"/>
    <x v="158"/>
    <x v="6"/>
    <s v="Munich"/>
    <s v="Corporate"/>
    <x v="4"/>
    <x v="9"/>
    <x v="5"/>
    <x v="217"/>
    <n v="150.86000000000001"/>
    <n v="346.96"/>
    <s v="Valid"/>
    <n v="346.96"/>
    <s v="Low"/>
    <n v="0.19600000000000001"/>
    <s v="Valid"/>
    <n v="0.19600000000000001"/>
    <n v="8"/>
    <n v="2231.6467200000002"/>
    <n v="1206.8800000000001"/>
    <n v="1024.7667200000001"/>
    <n v="0.45919755614365343"/>
  </r>
  <r>
    <s v="ORD-2024-720756"/>
    <d v="2024-10-11T00:00:00"/>
    <x v="1"/>
    <s v="Q4-2024"/>
    <d v="2024-11-09T00:00:00"/>
    <s v="Valid"/>
    <n v="29"/>
    <d v="2024-11-09T00:00:00"/>
    <x v="1"/>
    <s v="Asia → China → Shanghai"/>
    <x v="135"/>
    <x v="9"/>
    <s v="Shanghai"/>
    <s v="Non-Profit"/>
    <x v="1"/>
    <x v="9"/>
    <x v="1"/>
    <x v="218"/>
    <n v="391.64"/>
    <n v="504.76"/>
    <s v="Valid"/>
    <n v="504.76"/>
    <s v="Low"/>
    <n v="4.0000000000000001E-3"/>
    <s v="Valid"/>
    <n v="4.0000000000000001E-3"/>
    <n v="13"/>
    <n v="6535.6324800000002"/>
    <n v="5091.32"/>
    <n v="1444.3124800000005"/>
    <n v="0.22099046793402319"/>
  </r>
  <r>
    <s v="ORD-2024-777623"/>
    <d v="2024-09-19T00:00:00"/>
    <x v="29"/>
    <s v="Q3-2024"/>
    <d v="2024-10-14T00:00:00"/>
    <s v="Valid"/>
    <n v="25"/>
    <d v="2024-10-14T00:00:00"/>
    <x v="2"/>
    <s v="Americas → Brazil → Rio de Janeiro"/>
    <x v="157"/>
    <x v="5"/>
    <s v="Rio de Janeiro"/>
    <s v="Small Business"/>
    <x v="0"/>
    <x v="11"/>
    <x v="1"/>
    <x v="219"/>
    <n v="386.96"/>
    <n v="937.46"/>
    <s v="Valid"/>
    <n v="937.46"/>
    <s v="Medium"/>
    <n v="0.26600000000000001"/>
    <s v="Valid"/>
    <n v="0.26600000000000001"/>
    <n v="41"/>
    <n v="28211.92124"/>
    <n v="15865.359999999999"/>
    <n v="12346.561240000001"/>
    <n v="0.43763631462626335"/>
  </r>
  <r>
    <s v="ORD-2025-762212"/>
    <d v="2025-08-25T00:00:00"/>
    <x v="28"/>
    <s v="Q3-2025"/>
    <d v="2025-09-24T00:00:00"/>
    <s v="Valid"/>
    <n v="30"/>
    <d v="2025-09-24T00:00:00"/>
    <x v="0"/>
    <s v="Africa → Kenya → Nairobi"/>
    <x v="76"/>
    <x v="0"/>
    <s v="Nairobi"/>
    <s v="Consumer"/>
    <x v="4"/>
    <x v="5"/>
    <x v="0"/>
    <x v="220"/>
    <n v="589.14"/>
    <n v="1300.58"/>
    <s v="Valid"/>
    <n v="1300.58"/>
    <s v="Medium"/>
    <n v="5.5E-2"/>
    <s v="Valid"/>
    <n v="5.5E-2"/>
    <n v="11"/>
    <n v="13519.529099999998"/>
    <n v="6480.54"/>
    <n v="7038.989099999998"/>
    <n v="0.52065342275863724"/>
  </r>
  <r>
    <s v="ORD-2023-271918"/>
    <d v="2023-09-25T00:00:00"/>
    <x v="27"/>
    <s v="Q3-2023"/>
    <d v="2023-10-02T00:00:00"/>
    <s v="Valid"/>
    <n v="7"/>
    <d v="2023-10-02T00:00:00"/>
    <x v="2"/>
    <s v="Americas → USA → New York"/>
    <x v="172"/>
    <x v="10"/>
    <s v="New York"/>
    <s v="Education"/>
    <x v="2"/>
    <x v="2"/>
    <x v="6"/>
    <x v="221"/>
    <n v="145.58000000000001"/>
    <n v="228.15"/>
    <s v="Valid"/>
    <n v="228.15"/>
    <s v="Low"/>
    <n v="0.20399999999999999"/>
    <s v="Valid"/>
    <n v="0.20399999999999999"/>
    <n v="5"/>
    <n v="908.03700000000003"/>
    <n v="727.90000000000009"/>
    <n v="180.13699999999994"/>
    <n v="0.19838068272548359"/>
  </r>
  <r>
    <s v="ORD-2023-713375"/>
    <d v="2023-08-26T00:00:00"/>
    <x v="25"/>
    <s v="Q3-2023"/>
    <d v="2023-09-10T00:00:00"/>
    <s v="Valid"/>
    <n v="15"/>
    <d v="2023-09-10T00:00:00"/>
    <x v="0"/>
    <s v="Africa → South Africa → Cape Town"/>
    <x v="62"/>
    <x v="11"/>
    <s v="Cape Town"/>
    <s v="Non-Profit"/>
    <x v="4"/>
    <x v="13"/>
    <x v="0"/>
    <x v="222"/>
    <n v="241.14"/>
    <n v="496.52"/>
    <s v="Valid"/>
    <n v="496.52"/>
    <s v="Low"/>
    <n v="9.2999999999999999E-2"/>
    <s v="Valid"/>
    <n v="9.2999999999999999E-2"/>
    <n v="10"/>
    <n v="4503.4363999999996"/>
    <n v="2411.3999999999996"/>
    <n v="2092.0364"/>
    <n v="0.46454223268257994"/>
  </r>
  <r>
    <s v="ORD-2025-678688"/>
    <d v="2025-07-16T00:00:00"/>
    <x v="13"/>
    <s v="Q3-2025"/>
    <d v="2025-07-17T00:00:00"/>
    <s v="Valid"/>
    <n v="1"/>
    <d v="2025-07-17T00:00:00"/>
    <x v="0"/>
    <s v="Africa → South Africa → Durban"/>
    <x v="29"/>
    <x v="11"/>
    <s v="Durban"/>
    <s v="Small Business"/>
    <x v="3"/>
    <x v="5"/>
    <x v="2"/>
    <x v="223"/>
    <n v="1198.9000000000001"/>
    <n v="2941.2"/>
    <s v="Valid"/>
    <n v="2941.2"/>
    <s v="High"/>
    <n v="5.0999999999999997E-2"/>
    <s v="Valid"/>
    <n v="5.0999999999999997E-2"/>
    <n v="24"/>
    <n v="66988.771199999988"/>
    <n v="28773.600000000002"/>
    <n v="38215.171199999982"/>
    <n v="0.57047129713583977"/>
  </r>
  <r>
    <s v="ORD-2023-501220"/>
    <d v="2023-04-19T00:00:00"/>
    <x v="12"/>
    <s v="Q2-2023"/>
    <d v="2023-05-07T00:00:00"/>
    <s v="Valid"/>
    <n v="18"/>
    <d v="2023-05-07T00:00:00"/>
    <x v="3"/>
    <s v="Europe → United Kingdom → Birmingham"/>
    <x v="83"/>
    <x v="8"/>
    <s v="Birmingham"/>
    <s v="Enterprise"/>
    <x v="0"/>
    <x v="13"/>
    <x v="4"/>
    <x v="224"/>
    <n v="1089.1500000000001"/>
    <n v="1088.2"/>
    <s v="Valid"/>
    <n v="1088.2"/>
    <s v="Medium"/>
    <n v="5.0999999999999997E-2"/>
    <s v="Valid"/>
    <n v="5.0999999999999997E-2"/>
    <n v="15"/>
    <n v="15490.527"/>
    <n v="16337.250000000002"/>
    <n v="-846.72300000000178"/>
    <n v="-5.4660696824582002E-2"/>
  </r>
  <r>
    <s v="ORD-2023-195665"/>
    <d v="2023-12-19T00:00:00"/>
    <x v="4"/>
    <s v="Q4-2023"/>
    <d v="2023-12-20T00:00:00"/>
    <s v="Valid"/>
    <n v="1"/>
    <d v="2023-12-20T00:00:00"/>
    <x v="2"/>
    <s v="Americas → Brazil → Rio de Janeiro"/>
    <x v="59"/>
    <x v="5"/>
    <s v="Rio de Janeiro"/>
    <s v="Consumer"/>
    <x v="3"/>
    <x v="1"/>
    <x v="3"/>
    <x v="225"/>
    <n v="1080.43"/>
    <n v="2529.15"/>
    <s v="Valid"/>
    <n v="2529.15"/>
    <s v="High"/>
    <n v="0.14699999999999999"/>
    <s v="Valid"/>
    <n v="0.14699999999999999"/>
    <n v="10"/>
    <n v="21573.6495"/>
    <n v="10804.300000000001"/>
    <n v="10769.349499999998"/>
    <n v="0.49918997247081437"/>
  </r>
  <r>
    <s v="ORD-2023-290237"/>
    <d v="2023-07-30T00:00:00"/>
    <x v="24"/>
    <s v="Q3-2023"/>
    <d v="2023-08-07T00:00:00"/>
    <s v="Valid"/>
    <n v="8"/>
    <d v="2023-08-07T00:00:00"/>
    <x v="1"/>
    <s v="Asia → Japan → Nagoya"/>
    <x v="173"/>
    <x v="2"/>
    <s v="Nagoya"/>
    <s v="Education"/>
    <x v="2"/>
    <x v="8"/>
    <x v="2"/>
    <x v="226"/>
    <n v="1352.44"/>
    <n v="2698.01"/>
    <s v="Valid"/>
    <n v="2698.01"/>
    <s v="High"/>
    <n v="0.13100000000000001"/>
    <s v="Valid"/>
    <n v="0.13100000000000001"/>
    <n v="13"/>
    <n v="30479.418970000002"/>
    <n v="17581.72"/>
    <n v="12897.698970000001"/>
    <n v="0.42316091992090887"/>
  </r>
  <r>
    <s v="ORD-2023-302041"/>
    <d v="2023-10-04T00:00:00"/>
    <x v="32"/>
    <s v="Q4-2023"/>
    <d v="2023-10-29T00:00:00"/>
    <s v="Valid"/>
    <n v="25"/>
    <d v="2023-10-29T00:00:00"/>
    <x v="2"/>
    <s v="Americas → USA → San Francisco"/>
    <x v="174"/>
    <x v="10"/>
    <s v="San Francisco"/>
    <s v="Small Business"/>
    <x v="3"/>
    <x v="7"/>
    <x v="6"/>
    <x v="227"/>
    <n v="1239.8399999999999"/>
    <n v="1482.75"/>
    <s v="Valid"/>
    <n v="1482.75"/>
    <s v="Medium"/>
    <n v="6.7000000000000004E-2"/>
    <s v="Valid"/>
    <n v="6.7000000000000004E-2"/>
    <n v="4"/>
    <n v="5533.6230000000005"/>
    <n v="4959.3599999999997"/>
    <n v="574.26300000000083"/>
    <n v="0.10377703721413634"/>
  </r>
  <r>
    <s v="ORD-2025-289139"/>
    <d v="2025-08-10T00:00:00"/>
    <x v="28"/>
    <s v="Q3-2025"/>
    <d v="2025-08-30T00:00:00"/>
    <s v="Valid"/>
    <n v="20"/>
    <d v="2025-08-30T00:00:00"/>
    <x v="2"/>
    <s v="Americas → USA → San Francisco"/>
    <x v="175"/>
    <x v="10"/>
    <s v="San Francisco"/>
    <s v="Corporate"/>
    <x v="2"/>
    <x v="11"/>
    <x v="1"/>
    <x v="228"/>
    <n v="933.29"/>
    <n v="1456.81"/>
    <s v="Valid"/>
    <n v="1456.81"/>
    <s v="Medium"/>
    <n v="0.123"/>
    <s v="Valid"/>
    <n v="0.123"/>
    <n v="13"/>
    <n v="16609.090809999998"/>
    <n v="12132.77"/>
    <n v="4476.3208099999974"/>
    <n v="0.26951028573489977"/>
  </r>
  <r>
    <s v="ORD-2023-949710"/>
    <d v="2023-03-07T00:00:00"/>
    <x v="22"/>
    <s v="Q1-2023"/>
    <d v="2023-04-01T00:00:00"/>
    <s v="Valid"/>
    <n v="25"/>
    <d v="2023-04-01T00:00:00"/>
    <x v="0"/>
    <s v="Africa → Kenya → Nairobi"/>
    <x v="48"/>
    <x v="0"/>
    <s v="Nairobi"/>
    <s v="Consumer"/>
    <x v="2"/>
    <x v="14"/>
    <x v="1"/>
    <x v="229"/>
    <n v="1024.0999999999999"/>
    <n v="918.19"/>
    <s v="Valid"/>
    <n v="918.19"/>
    <s v="Medium"/>
    <n v="0.189"/>
    <s v="Valid"/>
    <n v="0.189"/>
    <n v="10"/>
    <n v="7446.5209000000004"/>
    <n v="10241"/>
    <n v="-2794.4790999999996"/>
    <n v="-0.37527311579827827"/>
  </r>
  <r>
    <s v="ORD-2023-603650"/>
    <d v="2023-05-23T00:00:00"/>
    <x v="15"/>
    <s v="Q2-2023"/>
    <d v="2023-06-10T00:00:00"/>
    <s v="Valid"/>
    <n v="18"/>
    <d v="2023-06-10T00:00:00"/>
    <x v="1"/>
    <s v="Asia → China → Shanghai"/>
    <x v="21"/>
    <x v="9"/>
    <s v="Shanghai"/>
    <s v="Corporate"/>
    <x v="3"/>
    <x v="6"/>
    <x v="0"/>
    <x v="230"/>
    <n v="54.62"/>
    <n v="48.94"/>
    <s v="Valid"/>
    <n v="48.94"/>
    <s v="Low"/>
    <n v="0.14799999999999999"/>
    <s v="Valid"/>
    <n v="0.14799999999999999"/>
    <n v="16"/>
    <n v="667.15008"/>
    <n v="873.92"/>
    <n v="-206.76991999999996"/>
    <n v="-0.3099301434543783"/>
  </r>
  <r>
    <s v="ORD-2025-757957"/>
    <d v="2025-04-24T00:00:00"/>
    <x v="19"/>
    <s v="Q2-2025"/>
    <d v="2025-05-06T00:00:00"/>
    <s v="Valid"/>
    <n v="12"/>
    <d v="2025-05-06T00:00:00"/>
    <x v="2"/>
    <s v="Americas → Brazil → Brasília"/>
    <x v="51"/>
    <x v="5"/>
    <s v="Brasília"/>
    <s v="Consumer"/>
    <x v="1"/>
    <x v="0"/>
    <x v="3"/>
    <x v="231"/>
    <n v="394.13"/>
    <n v="932.29"/>
    <s v="Valid"/>
    <n v="932.29"/>
    <s v="Medium"/>
    <n v="0.109"/>
    <s v="Valid"/>
    <n v="0.109"/>
    <n v="7"/>
    <n v="5814.6927299999998"/>
    <n v="2758.91"/>
    <n v="3055.7827299999999"/>
    <n v="0.5255278089303268"/>
  </r>
  <r>
    <s v="ORD-2024-423853"/>
    <d v="2024-09-03T00:00:00"/>
    <x v="29"/>
    <s v="Q3-2024"/>
    <d v="2024-09-08T00:00:00"/>
    <s v="Valid"/>
    <n v="5"/>
    <d v="2024-09-08T00:00:00"/>
    <x v="0"/>
    <s v="Africa → Nigeria → Lagos"/>
    <x v="176"/>
    <x v="1"/>
    <s v="Lagos"/>
    <s v="Small Business"/>
    <x v="4"/>
    <x v="11"/>
    <x v="1"/>
    <x v="232"/>
    <n v="197.63"/>
    <n v="325.79000000000002"/>
    <s v="Valid"/>
    <n v="325.79000000000002"/>
    <s v="Low"/>
    <n v="0.11600000000000001"/>
    <s v="Valid"/>
    <n v="0.11600000000000001"/>
    <n v="10"/>
    <n v="2879.9836"/>
    <n v="1976.3"/>
    <n v="903.68360000000007"/>
    <n v="0.31378081458519419"/>
  </r>
  <r>
    <s v="ORD-2024-569164"/>
    <d v="2024-09-05T00:00:00"/>
    <x v="29"/>
    <s v="Q3-2024"/>
    <d v="2024-09-25T00:00:00"/>
    <s v="Valid"/>
    <n v="20"/>
    <d v="2024-09-25T00:00:00"/>
    <x v="1"/>
    <s v="Asia → Japan → Osaka"/>
    <x v="177"/>
    <x v="2"/>
    <s v="Osaka"/>
    <s v="Enterprise"/>
    <x v="3"/>
    <x v="14"/>
    <x v="5"/>
    <x v="233"/>
    <n v="195.54"/>
    <n v="405.97"/>
    <s v="Valid"/>
    <n v="405.97"/>
    <s v="Low"/>
    <n v="0.187"/>
    <s v="Valid"/>
    <n v="0.187"/>
    <n v="16"/>
    <n v="5280.8577599999999"/>
    <n v="3128.64"/>
    <n v="2152.21776"/>
    <n v="0.40755079152141377"/>
  </r>
  <r>
    <s v="ORD-2023-946143"/>
    <d v="2023-03-14T00:00:00"/>
    <x v="22"/>
    <s v="Q1-2023"/>
    <d v="2023-03-30T00:00:00"/>
    <s v="Valid"/>
    <n v="16"/>
    <d v="2023-03-30T00:00:00"/>
    <x v="0"/>
    <s v="Africa → South Africa → Cape Town"/>
    <x v="178"/>
    <x v="11"/>
    <s v="Cape Town"/>
    <s v="Consumer"/>
    <x v="3"/>
    <x v="11"/>
    <x v="0"/>
    <x v="234"/>
    <n v="1309.77"/>
    <n v="1589.07"/>
    <s v="Valid"/>
    <n v="1589.07"/>
    <s v="Medium"/>
    <n v="0.10199999999999999"/>
    <s v="Valid"/>
    <n v="0.10199999999999999"/>
    <n v="10"/>
    <n v="14269.848599999999"/>
    <n v="13097.7"/>
    <n v="1172.1485999999986"/>
    <n v="8.2141628328137886E-2"/>
  </r>
  <r>
    <s v="ORD-2024-281211"/>
    <d v="2024-01-11T00:00:00"/>
    <x v="9"/>
    <s v="Q1-2024"/>
    <d v="2024-02-02T00:00:00"/>
    <s v="Valid"/>
    <n v="22"/>
    <d v="2024-02-02T00:00:00"/>
    <x v="1"/>
    <s v="Asia → Japan → Nagoya"/>
    <x v="179"/>
    <x v="2"/>
    <s v="Nagoya"/>
    <s v="Small Business"/>
    <x v="1"/>
    <x v="15"/>
    <x v="1"/>
    <x v="235"/>
    <n v="1237.68"/>
    <n v="1432.8"/>
    <s v="Valid"/>
    <n v="1432.8"/>
    <s v="Medium"/>
    <n v="6.8000000000000005E-2"/>
    <s v="Valid"/>
    <n v="6.8000000000000005E-2"/>
    <n v="13"/>
    <n v="17359.804799999998"/>
    <n v="16089.84"/>
    <n v="1269.9647999999979"/>
    <n v="7.315547695559331E-2"/>
  </r>
  <r>
    <s v="ORD-2024-805860"/>
    <d v="2024-09-13T00:00:00"/>
    <x v="29"/>
    <s v="Q3-2024"/>
    <d v="2024-10-02T00:00:00"/>
    <s v="Valid"/>
    <n v="19"/>
    <d v="2024-10-02T00:00:00"/>
    <x v="0"/>
    <s v="Africa → Kenya → Mombasa"/>
    <x v="166"/>
    <x v="0"/>
    <s v="Mombasa"/>
    <s v="Small Business"/>
    <x v="0"/>
    <x v="12"/>
    <x v="3"/>
    <x v="236"/>
    <n v="1338.99"/>
    <n v="1765.76"/>
    <s v="Valid"/>
    <n v="1765.76"/>
    <s v="Medium"/>
    <n v="0.126"/>
    <s v="Valid"/>
    <n v="0.126"/>
    <n v="24"/>
    <n v="37038.581760000001"/>
    <n v="32135.760000000002"/>
    <n v="4902.8217599999989"/>
    <n v="0.1323706666677725"/>
  </r>
  <r>
    <s v="ORD-2025-132174"/>
    <d v="2025-07-17T00:00:00"/>
    <x v="13"/>
    <s v="Q3-2025"/>
    <d v="2025-07-23T00:00:00"/>
    <s v="Valid"/>
    <n v="6"/>
    <d v="2025-07-23T00:00:00"/>
    <x v="2"/>
    <s v="Americas → Canada → Vancouver"/>
    <x v="104"/>
    <x v="3"/>
    <s v="Vancouver"/>
    <s v="Consumer"/>
    <x v="1"/>
    <x v="10"/>
    <x v="0"/>
    <x v="237"/>
    <n v="1364.89"/>
    <n v="2757.54"/>
    <s v="Valid"/>
    <n v="2757.54"/>
    <s v="High"/>
    <n v="0.17199999999999999"/>
    <s v="Valid"/>
    <n v="0.17199999999999999"/>
    <n v="61"/>
    <n v="139277.83032000001"/>
    <n v="83258.290000000008"/>
    <n v="56019.54032"/>
    <n v="0.4022143379983118"/>
  </r>
  <r>
    <s v="ORD-2023-964434"/>
    <d v="2023-11-28T00:00:00"/>
    <x v="30"/>
    <s v="Q4-2023"/>
    <d v="2023-12-07T00:00:00"/>
    <s v="Valid"/>
    <n v="9"/>
    <d v="2023-12-07T00:00:00"/>
    <x v="1"/>
    <s v="Asia → India → Delhi"/>
    <x v="180"/>
    <x v="4"/>
    <s v="Delhi"/>
    <s v="Enterprise"/>
    <x v="2"/>
    <x v="4"/>
    <x v="3"/>
    <x v="238"/>
    <n v="699.33"/>
    <n v="873.75"/>
    <s v="Valid"/>
    <n v="873.75"/>
    <s v="Medium"/>
    <n v="0.23499999999999999"/>
    <s v="Valid"/>
    <n v="0.23499999999999999"/>
    <n v="10"/>
    <n v="6684.1875"/>
    <n v="6993.3"/>
    <n v="-309.11250000000018"/>
    <n v="-4.6245336475076469E-2"/>
  </r>
  <r>
    <s v="ORD-2024-897622"/>
    <d v="2024-03-30T00:00:00"/>
    <x v="0"/>
    <s v="Q1-2024"/>
    <d v="2024-04-24T00:00:00"/>
    <s v="Valid"/>
    <n v="25"/>
    <d v="2024-04-24T00:00:00"/>
    <x v="2"/>
    <s v="Americas → USA → Austin"/>
    <x v="181"/>
    <x v="10"/>
    <s v="Austin"/>
    <s v="Non-Profit"/>
    <x v="1"/>
    <x v="3"/>
    <x v="4"/>
    <x v="239"/>
    <n v="160.82"/>
    <n v="258.52"/>
    <s v="Valid"/>
    <n v="258.52"/>
    <s v="Low"/>
    <n v="0.13"/>
    <s v="Valid"/>
    <n v="0.13"/>
    <n v="17"/>
    <n v="3823.5108"/>
    <n v="2733.94"/>
    <n v="1089.5708"/>
    <n v="0.28496605789631874"/>
  </r>
  <r>
    <s v="ORD-2023-517216"/>
    <d v="2023-09-19T00:00:00"/>
    <x v="27"/>
    <s v="Q3-2023"/>
    <d v="2023-10-08T00:00:00"/>
    <s v="Valid"/>
    <n v="19"/>
    <d v="2023-10-08T00:00:00"/>
    <x v="1"/>
    <s v="Asia → India → Bengaluru"/>
    <x v="67"/>
    <x v="4"/>
    <s v="Bengaluru"/>
    <s v="Education"/>
    <x v="4"/>
    <x v="1"/>
    <x v="1"/>
    <x v="240"/>
    <n v="385.32"/>
    <n v="606.76"/>
    <s v="Valid"/>
    <n v="606.76"/>
    <s v="Low"/>
    <n v="8.5999999999999993E-2"/>
    <s v="Valid"/>
    <n v="8.5999999999999993E-2"/>
    <n v="8"/>
    <n v="4436.6291200000005"/>
    <n v="3082.56"/>
    <n v="1354.0691200000006"/>
    <n v="0.30520223425842735"/>
  </r>
  <r>
    <s v="ORD-2025-509940"/>
    <d v="2025-05-16T00:00:00"/>
    <x v="8"/>
    <s v="Q2-2025"/>
    <d v="2025-05-27T00:00:00"/>
    <s v="Valid"/>
    <n v="11"/>
    <d v="2025-05-27T00:00:00"/>
    <x v="1"/>
    <s v="Asia → China → Beijing"/>
    <x v="182"/>
    <x v="9"/>
    <s v="Beijing"/>
    <s v="Enterprise"/>
    <x v="1"/>
    <x v="9"/>
    <x v="3"/>
    <x v="241"/>
    <n v="918.12"/>
    <n v="1337.69"/>
    <s v="Valid"/>
    <n v="1337.69"/>
    <s v="Medium"/>
    <n v="9.5000000000000001E-2"/>
    <s v="Valid"/>
    <n v="9.5000000000000001E-2"/>
    <n v="8"/>
    <n v="9684.8756000000012"/>
    <n v="7344.96"/>
    <n v="2339.9156000000012"/>
    <n v="0.24160512707050164"/>
  </r>
  <r>
    <s v="ORD-2025-646342"/>
    <d v="2025-08-02T00:00:00"/>
    <x v="28"/>
    <s v="Q3-2025"/>
    <d v="2025-08-08T00:00:00"/>
    <s v="Valid"/>
    <n v="6"/>
    <d v="2025-08-08T00:00:00"/>
    <x v="1"/>
    <s v="Asia → Japan → Osaka"/>
    <x v="183"/>
    <x v="2"/>
    <s v="Osaka"/>
    <s v="Consumer"/>
    <x v="4"/>
    <x v="13"/>
    <x v="4"/>
    <x v="242"/>
    <n v="1225.94"/>
    <n v="1793.08"/>
    <s v="Valid"/>
    <n v="1793.08"/>
    <s v="Medium"/>
    <n v="0.13600000000000001"/>
    <s v="Valid"/>
    <n v="0.13600000000000001"/>
    <n v="22"/>
    <n v="34082.864639999993"/>
    <n v="26970.68"/>
    <n v="7112.1846399999922"/>
    <n v="0.20867332353434462"/>
  </r>
  <r>
    <s v="ORD-2024-866535"/>
    <d v="2024-12-04T00:00:00"/>
    <x v="6"/>
    <s v="Q4-2024"/>
    <d v="2024-12-12T00:00:00"/>
    <s v="Valid"/>
    <n v="8"/>
    <d v="2024-12-12T00:00:00"/>
    <x v="3"/>
    <s v="Europe → Germany → Frankfurt"/>
    <x v="53"/>
    <x v="6"/>
    <s v="Frankfurt"/>
    <s v="Enterprise"/>
    <x v="2"/>
    <x v="5"/>
    <x v="1"/>
    <x v="243"/>
    <n v="72.06"/>
    <n v="122.74"/>
    <s v="Valid"/>
    <n v="122.74"/>
    <s v="Low"/>
    <n v="0.23799999999999999"/>
    <s v="Valid"/>
    <n v="0.23799999999999999"/>
    <n v="8"/>
    <n v="748.22303999999997"/>
    <n v="576.48"/>
    <n v="171.74303999999995"/>
    <n v="0.22953455162246802"/>
  </r>
  <r>
    <s v="ORD-2023-747341"/>
    <d v="2023-04-19T00:00:00"/>
    <x v="12"/>
    <s v="Q2-2023"/>
    <d v="2023-04-28T00:00:00"/>
    <s v="Valid"/>
    <n v="9"/>
    <d v="2023-04-28T00:00:00"/>
    <x v="2"/>
    <s v="Americas → Brazil → Rio de Janeiro"/>
    <x v="184"/>
    <x v="5"/>
    <s v="Rio de Janeiro"/>
    <s v="Corporate"/>
    <x v="3"/>
    <x v="12"/>
    <x v="3"/>
    <x v="244"/>
    <n v="1013.54"/>
    <n v="927.93"/>
    <s v="Valid"/>
    <n v="927.93"/>
    <s v="Medium"/>
    <n v="0.17499999999999999"/>
    <s v="Valid"/>
    <n v="0.17499999999999999"/>
    <n v="16"/>
    <n v="12248.675999999999"/>
    <n v="16216.64"/>
    <n v="-3967.9639999999999"/>
    <n v="-0.32395044166406234"/>
  </r>
  <r>
    <s v="ORD-2024-853298"/>
    <d v="2024-03-06T00:00:00"/>
    <x v="0"/>
    <s v="Q1-2024"/>
    <d v="2024-03-26T00:00:00"/>
    <s v="Valid"/>
    <n v="20"/>
    <d v="2024-03-26T00:00:00"/>
    <x v="0"/>
    <s v="Africa → Nigeria → Port Harcourt"/>
    <x v="185"/>
    <x v="1"/>
    <s v="Port Harcourt"/>
    <s v="Consumer"/>
    <x v="2"/>
    <x v="2"/>
    <x v="3"/>
    <x v="245"/>
    <n v="65.64"/>
    <n v="151.88"/>
    <s v="Valid"/>
    <n v="151.88"/>
    <s v="Low"/>
    <n v="0.16700000000000001"/>
    <s v="Valid"/>
    <n v="0.16700000000000001"/>
    <n v="23"/>
    <n v="2909.8689199999999"/>
    <n v="1509.72"/>
    <n v="1400.1489199999999"/>
    <n v="0.48117250587356353"/>
  </r>
  <r>
    <s v="ORD-2024-544865"/>
    <d v="2024-02-16T00:00:00"/>
    <x v="31"/>
    <s v="Q1-2024"/>
    <d v="2024-03-04T00:00:00"/>
    <s v="Valid"/>
    <n v="17"/>
    <d v="2024-03-04T00:00:00"/>
    <x v="2"/>
    <s v="Americas → Canada → Montreal"/>
    <x v="186"/>
    <x v="3"/>
    <s v="Montreal"/>
    <s v="Non-Profit"/>
    <x v="0"/>
    <x v="14"/>
    <x v="4"/>
    <x v="246"/>
    <n v="1350.98"/>
    <n v="2210.4"/>
    <s v="Valid"/>
    <n v="2210.4"/>
    <s v="High"/>
    <n v="0.26300000000000001"/>
    <s v="Valid"/>
    <n v="0.26300000000000001"/>
    <n v="6"/>
    <n v="9774.3888000000006"/>
    <n v="8105.88"/>
    <n v="1668.5088000000005"/>
    <n v="0.17070211080615091"/>
  </r>
  <r>
    <s v="ORD-2025-946490"/>
    <d v="2025-04-22T00:00:00"/>
    <x v="19"/>
    <s v="Q2-2025"/>
    <d v="2025-05-02T00:00:00"/>
    <s v="Valid"/>
    <n v="10"/>
    <d v="2025-05-02T00:00:00"/>
    <x v="3"/>
    <s v="Europe → Germany → Berlin"/>
    <x v="187"/>
    <x v="6"/>
    <s v="Berlin"/>
    <s v="Corporate"/>
    <x v="2"/>
    <x v="0"/>
    <x v="5"/>
    <x v="247"/>
    <n v="20.149999999999999"/>
    <n v="39.74"/>
    <s v="Valid"/>
    <n v="39.74"/>
    <s v="Low"/>
    <n v="0.151"/>
    <s v="Valid"/>
    <n v="0.151"/>
    <n v="18"/>
    <n v="607.30668000000003"/>
    <n v="362.7"/>
    <n v="244.60668000000004"/>
    <n v="0.4027729120318585"/>
  </r>
  <r>
    <s v="ORD-2024-320972"/>
    <d v="2024-11-08T00:00:00"/>
    <x v="18"/>
    <s v="Q4-2024"/>
    <d v="2024-11-08T00:00:00"/>
    <s v="Valid"/>
    <n v="0"/>
    <d v="2024-11-08T00:00:00"/>
    <x v="0"/>
    <s v="Africa → Kenya → Nakuru"/>
    <x v="188"/>
    <x v="0"/>
    <s v="Nakuru"/>
    <s v="Enterprise"/>
    <x v="2"/>
    <x v="12"/>
    <x v="2"/>
    <x v="248"/>
    <n v="803.28"/>
    <n v="1009"/>
    <s v="Valid"/>
    <n v="1009"/>
    <s v="Medium"/>
    <n v="0.11"/>
    <s v="Valid"/>
    <n v="0.11"/>
    <n v="4"/>
    <n v="3592.04"/>
    <n v="3213.12"/>
    <n v="378.92000000000007"/>
    <n v="0.10548880302001093"/>
  </r>
  <r>
    <s v="ORD-2025-248586"/>
    <d v="2025-09-12T00:00:00"/>
    <x v="11"/>
    <s v="Q3-2025"/>
    <d v="2025-09-30T00:00:00"/>
    <s v="Valid"/>
    <n v="18"/>
    <d v="2025-09-30T00:00:00"/>
    <x v="1"/>
    <s v="Asia → Japan → Nagoya"/>
    <x v="17"/>
    <x v="2"/>
    <s v="Nagoya"/>
    <s v="Non-Profit"/>
    <x v="2"/>
    <x v="9"/>
    <x v="5"/>
    <x v="249"/>
    <n v="1212.99"/>
    <n v="1653.64"/>
    <s v="Valid"/>
    <n v="1653.64"/>
    <s v="Medium"/>
    <n v="0.107"/>
    <s v="Valid"/>
    <n v="0.107"/>
    <n v="8"/>
    <n v="11813.604160000001"/>
    <n v="9703.92"/>
    <n v="2109.6841600000007"/>
    <n v="0.17858090819931455"/>
  </r>
  <r>
    <s v="ORD-2024-664046"/>
    <d v="2024-09-02T00:00:00"/>
    <x v="29"/>
    <s v="Q3-2024"/>
    <d v="2024-09-08T00:00:00"/>
    <s v="Valid"/>
    <n v="6"/>
    <d v="2024-09-08T00:00:00"/>
    <x v="2"/>
    <s v="Americas → USA → Austin"/>
    <x v="189"/>
    <x v="10"/>
    <s v="Austin"/>
    <s v="Consumer"/>
    <x v="4"/>
    <x v="10"/>
    <x v="0"/>
    <x v="250"/>
    <n v="462.94"/>
    <n v="1015.7"/>
    <s v="Valid"/>
    <n v="1015.7"/>
    <s v="Medium"/>
    <n v="0.14299999999999999"/>
    <s v="Valid"/>
    <n v="0.14299999999999999"/>
    <n v="14"/>
    <n v="12186.368600000002"/>
    <n v="6481.16"/>
    <n v="5705.2086000000018"/>
    <n v="0.46816314090483041"/>
  </r>
  <r>
    <s v="ORD-2023-276806"/>
    <d v="2023-03-04T00:00:00"/>
    <x v="22"/>
    <s v="Q1-2023"/>
    <d v="2023-03-24T00:00:00"/>
    <s v="Valid"/>
    <n v="20"/>
    <d v="2023-03-24T00:00:00"/>
    <x v="2"/>
    <s v="Americas → Canada → Montreal"/>
    <x v="190"/>
    <x v="3"/>
    <s v="Montreal"/>
    <s v="Consumer"/>
    <x v="3"/>
    <x v="2"/>
    <x v="4"/>
    <x v="251"/>
    <n v="481.71"/>
    <n v="912.45"/>
    <s v="Valid"/>
    <n v="912.45"/>
    <s v="Medium"/>
    <n v="0.20300000000000001"/>
    <s v="Valid"/>
    <n v="0.20300000000000001"/>
    <n v="24"/>
    <n v="17453.3436"/>
    <n v="11561.039999999999"/>
    <n v="5892.3036000000011"/>
    <n v="0.33760313983619739"/>
  </r>
  <r>
    <s v="ORD-2024-220234"/>
    <d v="2024-03-15T00:00:00"/>
    <x v="0"/>
    <s v="Q1-2024"/>
    <d v="2024-04-09T00:00:00"/>
    <s v="Valid"/>
    <n v="25"/>
    <d v="2024-04-09T00:00:00"/>
    <x v="2"/>
    <s v="Americas → Canada → Vancouver"/>
    <x v="191"/>
    <x v="3"/>
    <s v="Vancouver"/>
    <s v="Consumer"/>
    <x v="1"/>
    <x v="9"/>
    <x v="5"/>
    <x v="252"/>
    <n v="648.64"/>
    <n v="815.19"/>
    <s v="Valid"/>
    <n v="815.19"/>
    <s v="Medium"/>
    <n v="0.22500000000000001"/>
    <s v="Valid"/>
    <n v="0.22500000000000001"/>
    <n v="28"/>
    <n v="17689.623"/>
    <n v="18161.919999999998"/>
    <n v="-472.29699999999866"/>
    <n v="-2.6699099240272032E-2"/>
  </r>
  <r>
    <s v="ORD-2024-301260"/>
    <d v="2024-07-29T00:00:00"/>
    <x v="14"/>
    <s v="Q3-2024"/>
    <d v="2024-07-31T00:00:00"/>
    <s v="Valid"/>
    <n v="2"/>
    <d v="2024-07-31T00:00:00"/>
    <x v="2"/>
    <s v="Americas → USA → New York"/>
    <x v="192"/>
    <x v="10"/>
    <s v="New York"/>
    <s v="Education"/>
    <x v="2"/>
    <x v="2"/>
    <x v="1"/>
    <x v="253"/>
    <n v="798.97"/>
    <n v="1814.06"/>
    <s v="Valid"/>
    <n v="1814.06"/>
    <s v="Medium"/>
    <n v="0.122"/>
    <s v="Valid"/>
    <n v="0.122"/>
    <n v="16"/>
    <n v="25483.91488"/>
    <n v="12783.52"/>
    <n v="12700.39488"/>
    <n v="0.49836906691159061"/>
  </r>
  <r>
    <s v="ORD-2024-350100"/>
    <d v="2024-10-27T00:00:00"/>
    <x v="1"/>
    <s v="Q4-2024"/>
    <d v="2024-11-20T00:00:00"/>
    <s v="Valid"/>
    <n v="24"/>
    <d v="2024-11-20T00:00:00"/>
    <x v="1"/>
    <s v="Asia → Japan → Nagoya"/>
    <x v="94"/>
    <x v="2"/>
    <s v="Nagoya"/>
    <s v="Non-Profit"/>
    <x v="1"/>
    <x v="10"/>
    <x v="5"/>
    <x v="254"/>
    <n v="317.25"/>
    <n v="758.92"/>
    <s v="Valid"/>
    <n v="758.92"/>
    <s v="Medium"/>
    <n v="5.2999999999999999E-2"/>
    <s v="Valid"/>
    <n v="5.2999999999999999E-2"/>
    <n v="9"/>
    <n v="6468.2751599999992"/>
    <n v="2855.25"/>
    <n v="3613.0251599999992"/>
    <n v="0.5585762928489888"/>
  </r>
  <r>
    <s v="ORD-2024-855600"/>
    <d v="2024-04-29T00:00:00"/>
    <x v="20"/>
    <s v="Q2-2024"/>
    <d v="2024-05-19T00:00:00"/>
    <s v="Valid"/>
    <n v="20"/>
    <d v="2024-05-19T00:00:00"/>
    <x v="3"/>
    <s v="Europe → Germany → Frankfurt"/>
    <x v="122"/>
    <x v="6"/>
    <s v="Frankfurt"/>
    <s v="Enterprise"/>
    <x v="2"/>
    <x v="0"/>
    <x v="4"/>
    <x v="255"/>
    <n v="668.97"/>
    <n v="1667.44"/>
    <s v="Valid"/>
    <n v="1667.44"/>
    <s v="Medium"/>
    <n v="3.4000000000000002E-2"/>
    <s v="Valid"/>
    <n v="3.4000000000000002E-2"/>
    <n v="15"/>
    <n v="24161.205600000001"/>
    <n v="10034.550000000001"/>
    <n v="14126.6556"/>
    <n v="0.58468339013679016"/>
  </r>
  <r>
    <s v="ORD-2023-474313"/>
    <d v="2023-10-05T00:00:00"/>
    <x v="32"/>
    <s v="Q4-2023"/>
    <d v="2023-10-06T00:00:00"/>
    <s v="Valid"/>
    <n v="1"/>
    <d v="2023-10-06T00:00:00"/>
    <x v="1"/>
    <s v="Asia → India → Bengaluru"/>
    <x v="139"/>
    <x v="4"/>
    <s v="Bengaluru"/>
    <s v="Non-Profit"/>
    <x v="1"/>
    <x v="2"/>
    <x v="0"/>
    <x v="256"/>
    <n v="1470.26"/>
    <n v="2562.5500000000002"/>
    <s v="Valid"/>
    <n v="2562.5500000000002"/>
    <s v="High"/>
    <n v="0.17299999999999999"/>
    <s v="Valid"/>
    <n v="0.17299999999999999"/>
    <n v="9"/>
    <n v="19073.059649999999"/>
    <n v="13232.34"/>
    <n v="5840.7196499999991"/>
    <n v="0.30622877279157462"/>
  </r>
  <r>
    <s v="ORD-2023-256951"/>
    <d v="2023-04-19T00:00:00"/>
    <x v="12"/>
    <s v="Q2-2023"/>
    <d v="2023-05-07T00:00:00"/>
    <s v="Valid"/>
    <n v="18"/>
    <d v="2023-05-07T00:00:00"/>
    <x v="3"/>
    <s v="Europe → United Kingdom → London"/>
    <x v="83"/>
    <x v="8"/>
    <s v="London"/>
    <s v="Non-Profit"/>
    <x v="4"/>
    <x v="10"/>
    <x v="2"/>
    <x v="257"/>
    <n v="516.96"/>
    <n v="745.38"/>
    <s v="Valid"/>
    <n v="745.38"/>
    <s v="Medium"/>
    <n v="0.19700000000000001"/>
    <s v="Valid"/>
    <n v="0.19700000000000001"/>
    <n v="4"/>
    <n v="2394.1605599999998"/>
    <n v="2067.84"/>
    <n v="326.32055999999966"/>
    <n v="0.13629852794835101"/>
  </r>
  <r>
    <s v="ORD-2025-184754"/>
    <d v="2025-06-27T00:00:00"/>
    <x v="16"/>
    <s v="Q2-2025"/>
    <d v="2025-07-05T00:00:00"/>
    <s v="Valid"/>
    <n v="8"/>
    <d v="2025-07-05T00:00:00"/>
    <x v="3"/>
    <s v="Europe → Germany → Munich"/>
    <x v="193"/>
    <x v="6"/>
    <s v="Munich"/>
    <s v="Small Business"/>
    <x v="4"/>
    <x v="3"/>
    <x v="5"/>
    <x v="258"/>
    <n v="314.93"/>
    <n v="687.95"/>
    <s v="Valid"/>
    <n v="687.95"/>
    <s v="Medium"/>
    <n v="0.20499999999999999"/>
    <s v="Valid"/>
    <n v="0.20499999999999999"/>
    <n v="8"/>
    <n v="4375.3620000000001"/>
    <n v="2519.44"/>
    <n v="1855.922"/>
    <n v="0.424175645352316"/>
  </r>
  <r>
    <s v="ORD-2023-888140"/>
    <d v="2023-10-11T00:00:00"/>
    <x v="32"/>
    <s v="Q4-2023"/>
    <d v="2023-10-13T00:00:00"/>
    <s v="Valid"/>
    <n v="2"/>
    <d v="2023-10-13T00:00:00"/>
    <x v="2"/>
    <s v="Americas → Brazil → Brasília"/>
    <x v="194"/>
    <x v="5"/>
    <s v="Brasília"/>
    <s v="Consumer"/>
    <x v="3"/>
    <x v="15"/>
    <x v="6"/>
    <x v="259"/>
    <n v="715.94"/>
    <n v="550.07000000000005"/>
    <s v="Valid"/>
    <n v="550.07000000000005"/>
    <s v="Low"/>
    <n v="0.14000000000000001"/>
    <s v="Valid"/>
    <n v="0.14000000000000001"/>
    <n v="16"/>
    <n v="7568.9632000000001"/>
    <n v="11455.04"/>
    <n v="-3886.0768000000007"/>
    <n v="-0.51342260456491595"/>
  </r>
  <r>
    <s v="ORD-2023-638181"/>
    <d v="2023-05-20T00:00:00"/>
    <x v="15"/>
    <s v="Q2-2023"/>
    <d v="2023-06-07T00:00:00"/>
    <s v="Valid"/>
    <n v="18"/>
    <d v="2023-06-07T00:00:00"/>
    <x v="0"/>
    <s v="Africa → Nigeria → Port Harcourt"/>
    <x v="195"/>
    <x v="1"/>
    <s v="Port Harcourt"/>
    <s v="Enterprise"/>
    <x v="3"/>
    <x v="6"/>
    <x v="0"/>
    <x v="260"/>
    <n v="1120.06"/>
    <n v="2068.21"/>
    <s v="Valid"/>
    <n v="2068.21"/>
    <s v="High"/>
    <n v="7.8E-2"/>
    <s v="Valid"/>
    <n v="7.8E-2"/>
    <n v="12"/>
    <n v="22882.675440000003"/>
    <n v="13440.72"/>
    <n v="9441.9554400000034"/>
    <n v="0.41262462795303284"/>
  </r>
  <r>
    <s v="ORD-2023-521280"/>
    <d v="2023-05-27T00:00:00"/>
    <x v="15"/>
    <s v="Q2-2023"/>
    <d v="2023-06-19T00:00:00"/>
    <s v="Valid"/>
    <n v="23"/>
    <d v="2023-06-19T00:00:00"/>
    <x v="3"/>
    <s v="Europe → Germany → Berlin"/>
    <x v="196"/>
    <x v="6"/>
    <s v="Berlin"/>
    <s v="Education"/>
    <x v="0"/>
    <x v="7"/>
    <x v="6"/>
    <x v="261"/>
    <n v="1471.58"/>
    <n v="2576.65"/>
    <s v="Valid"/>
    <n v="2576.65"/>
    <s v="High"/>
    <n v="4.0000000000000001E-3"/>
    <s v="Valid"/>
    <n v="4.0000000000000001E-3"/>
    <n v="7"/>
    <n v="17964.4038"/>
    <n v="10301.06"/>
    <n v="7663.3438000000006"/>
    <n v="0.4265849223451546"/>
  </r>
  <r>
    <s v="ORD-2023-630430"/>
    <d v="2023-08-04T00:00:00"/>
    <x v="25"/>
    <s v="Q3-2023"/>
    <d v="2023-08-24T00:00:00"/>
    <s v="Valid"/>
    <n v="20"/>
    <d v="2023-08-24T00:00:00"/>
    <x v="2"/>
    <s v="Americas → Brazil → Brasília"/>
    <x v="197"/>
    <x v="5"/>
    <s v="Brasília"/>
    <s v="Non-Profit"/>
    <x v="4"/>
    <x v="15"/>
    <x v="2"/>
    <x v="262"/>
    <n v="582.88"/>
    <n v="1044.1400000000001"/>
    <s v="Valid"/>
    <n v="1044.1400000000001"/>
    <s v="Medium"/>
    <n v="0.216"/>
    <s v="Valid"/>
    <n v="0.216"/>
    <n v="10"/>
    <n v="8186.057600000001"/>
    <n v="5828.8"/>
    <n v="2357.2576000000008"/>
    <n v="0.28796005539956138"/>
  </r>
  <r>
    <s v="ORD-2025-908258"/>
    <d v="2025-06-21T00:00:00"/>
    <x v="16"/>
    <s v="Q2-2025"/>
    <d v="2025-06-27T00:00:00"/>
    <s v="Valid"/>
    <n v="6"/>
    <d v="2025-06-27T00:00:00"/>
    <x v="0"/>
    <s v="Africa → South Africa → Durban"/>
    <x v="198"/>
    <x v="11"/>
    <s v="Durban"/>
    <s v="Enterprise"/>
    <x v="3"/>
    <x v="13"/>
    <x v="3"/>
    <x v="263"/>
    <n v="93.91"/>
    <n v="99.04"/>
    <s v="Valid"/>
    <n v="99.04"/>
    <s v="Low"/>
    <n v="5.7000000000000002E-2"/>
    <s v="Valid"/>
    <n v="5.7000000000000002E-2"/>
    <n v="6"/>
    <n v="560.36831999999993"/>
    <n v="563.46"/>
    <n v="-3.0916800000001103"/>
    <n v="-5.5172283829323376E-3"/>
  </r>
  <r>
    <s v="ORD-2025-440093"/>
    <d v="2025-04-16T00:00:00"/>
    <x v="19"/>
    <s v="Q2-2025"/>
    <d v="2025-04-26T00:00:00"/>
    <s v="Valid"/>
    <n v="10"/>
    <d v="2025-04-26T00:00:00"/>
    <x v="0"/>
    <s v="Africa → Nigeria → Port Harcourt"/>
    <x v="199"/>
    <x v="1"/>
    <s v="Port Harcourt"/>
    <s v="Enterprise"/>
    <x v="2"/>
    <x v="9"/>
    <x v="4"/>
    <x v="264"/>
    <n v="1457.44"/>
    <n v="1996.81"/>
    <s v="Valid"/>
    <n v="1996.81"/>
    <s v="High"/>
    <n v="0.126"/>
    <s v="Valid"/>
    <n v="0.126"/>
    <n v="23"/>
    <n v="40139.874619999995"/>
    <n v="33521.120000000003"/>
    <n v="6618.7546199999924"/>
    <n v="0.16489225944672353"/>
  </r>
  <r>
    <s v="ORD-2025-898022"/>
    <d v="2025-09-02T00:00:00"/>
    <x v="11"/>
    <s v="Q3-2025"/>
    <d v="2025-09-11T00:00:00"/>
    <s v="Valid"/>
    <n v="9"/>
    <d v="2025-09-11T00:00:00"/>
    <x v="2"/>
    <s v="Americas → Canada → Toronto"/>
    <x v="200"/>
    <x v="3"/>
    <s v="Toronto"/>
    <s v="Corporate"/>
    <x v="3"/>
    <x v="12"/>
    <x v="1"/>
    <x v="265"/>
    <n v="1207.6300000000001"/>
    <n v="921.68"/>
    <s v="Valid"/>
    <n v="921.68"/>
    <s v="Medium"/>
    <n v="0.19600000000000001"/>
    <s v="Valid"/>
    <n v="0.19600000000000001"/>
    <n v="17"/>
    <n v="12597.52224"/>
    <n v="20529.710000000003"/>
    <n v="-7932.1877600000025"/>
    <n v="-0.62966253274897988"/>
  </r>
  <r>
    <s v="ORD-2024-500511"/>
    <d v="2024-10-08T00:00:00"/>
    <x v="1"/>
    <s v="Q4-2024"/>
    <d v="2024-10-08T00:00:00"/>
    <s v="Valid"/>
    <n v="0"/>
    <d v="2024-10-08T00:00:00"/>
    <x v="3"/>
    <s v="Europe → United Kingdom → London"/>
    <x v="140"/>
    <x v="8"/>
    <s v="London"/>
    <s v="Corporate"/>
    <x v="1"/>
    <x v="6"/>
    <x v="5"/>
    <x v="266"/>
    <n v="1108.1099999999999"/>
    <n v="2503.79"/>
    <s v="Valid"/>
    <n v="2503.79"/>
    <s v="High"/>
    <n v="0.184"/>
    <s v="Valid"/>
    <n v="0.184"/>
    <n v="19"/>
    <n v="38818.760160000005"/>
    <n v="21054.089999999997"/>
    <n v="17764.670160000009"/>
    <n v="0.45763105485025896"/>
  </r>
  <r>
    <s v="ORD-2023-632893"/>
    <d v="2023-05-07T00:00:00"/>
    <x v="15"/>
    <s v="Q2-2023"/>
    <d v="2023-05-05T00:00:00"/>
    <s v="Invalid RequiredDate"/>
    <n v="-2"/>
    <d v="2023-06-02T00:00:00"/>
    <x v="0"/>
    <s v="Africa → Nigeria → Port Harcourt"/>
    <x v="195"/>
    <x v="1"/>
    <s v="Port Harcourt"/>
    <s v="Non-Profit"/>
    <x v="2"/>
    <x v="8"/>
    <x v="0"/>
    <x v="267"/>
    <n v="1269.6500000000001"/>
    <n v="2462.77"/>
    <s v="Valid"/>
    <n v="2462.77"/>
    <s v="High"/>
    <n v="0.107"/>
    <s v="Valid"/>
    <n v="0.107"/>
    <n v="8"/>
    <n v="17594.028880000002"/>
    <n v="10157.200000000001"/>
    <n v="7436.8288800000009"/>
    <n v="0.42269050089225502"/>
  </r>
  <r>
    <s v="ORD-2023-967239"/>
    <d v="2023-12-24T00:00:00"/>
    <x v="4"/>
    <s v="Q4-2023"/>
    <d v="2024-01-01T00:00:00"/>
    <s v="Valid"/>
    <n v="8"/>
    <d v="2024-01-01T00:00:00"/>
    <x v="2"/>
    <s v="Americas → Brazil → São Paulo"/>
    <x v="59"/>
    <x v="5"/>
    <s v="São Paulo"/>
    <s v="Education"/>
    <x v="4"/>
    <x v="0"/>
    <x v="3"/>
    <x v="268"/>
    <n v="526.49"/>
    <n v="496.2"/>
    <s v="Valid"/>
    <n v="496.2"/>
    <s v="Low"/>
    <n v="0"/>
    <s v="Valid"/>
    <n v="0"/>
    <n v="14"/>
    <n v="6946.8"/>
    <n v="7370.8600000000006"/>
    <n v="-424.0600000000004"/>
    <n v="-6.1043933897621985E-2"/>
  </r>
  <r>
    <s v="ORD-2024-885858"/>
    <d v="2024-01-10T00:00:00"/>
    <x v="9"/>
    <s v="Q1-2024"/>
    <d v="2024-01-23T00:00:00"/>
    <s v="Valid"/>
    <n v="13"/>
    <d v="2024-01-23T00:00:00"/>
    <x v="3"/>
    <s v="Europe → France → Marseille"/>
    <x v="13"/>
    <x v="7"/>
    <s v="Marseille"/>
    <s v="Corporate"/>
    <x v="4"/>
    <x v="8"/>
    <x v="1"/>
    <x v="269"/>
    <n v="720"/>
    <n v="907.59"/>
    <s v="Valid"/>
    <n v="907.59"/>
    <s v="Medium"/>
    <n v="0.154"/>
    <s v="Valid"/>
    <n v="0.154"/>
    <n v="10"/>
    <n v="7678.2113999999992"/>
    <n v="7200"/>
    <n v="478.21139999999923"/>
    <n v="6.2281614179052078E-2"/>
  </r>
  <r>
    <s v="ORD-2023-253245"/>
    <d v="2023-08-03T00:00:00"/>
    <x v="25"/>
    <s v="Q3-2023"/>
    <d v="2023-08-14T00:00:00"/>
    <s v="Valid"/>
    <n v="11"/>
    <d v="2023-08-14T00:00:00"/>
    <x v="2"/>
    <s v="Americas → Brazil → Brasília"/>
    <x v="197"/>
    <x v="5"/>
    <s v="Brasília"/>
    <s v="Corporate"/>
    <x v="4"/>
    <x v="1"/>
    <x v="6"/>
    <x v="270"/>
    <n v="232.73"/>
    <n v="334.19"/>
    <s v="Valid"/>
    <n v="334.19"/>
    <s v="Low"/>
    <n v="0.13400000000000001"/>
    <s v="Valid"/>
    <n v="0.13400000000000001"/>
    <n v="25"/>
    <n v="7235.2134999999998"/>
    <n v="5818.25"/>
    <n v="1416.9634999999998"/>
    <n v="0.1958426658729559"/>
  </r>
  <r>
    <s v="ORD-2025-484073"/>
    <d v="2025-02-19T00:00:00"/>
    <x v="26"/>
    <s v="Q1-2025"/>
    <d v="2025-03-09T00:00:00"/>
    <s v="Valid"/>
    <n v="18"/>
    <d v="2025-03-09T00:00:00"/>
    <x v="1"/>
    <s v="Asia → India → Delhi"/>
    <x v="201"/>
    <x v="4"/>
    <s v="Delhi"/>
    <s v="Small Business"/>
    <x v="4"/>
    <x v="7"/>
    <x v="5"/>
    <x v="271"/>
    <n v="325.87"/>
    <n v="538.79"/>
    <s v="Valid"/>
    <n v="538.79"/>
    <s v="Low"/>
    <n v="0.17399999999999999"/>
    <s v="Valid"/>
    <n v="0.17399999999999999"/>
    <n v="16"/>
    <n v="7120.6486400000003"/>
    <n v="5213.92"/>
    <n v="1906.7286400000003"/>
    <n v="0.26777457172778013"/>
  </r>
  <r>
    <s v="ORD-2024-745822"/>
    <d v="2024-03-31T00:00:00"/>
    <x v="0"/>
    <s v="Q1-2024"/>
    <d v="2024-04-17T00:00:00"/>
    <s v="Valid"/>
    <n v="17"/>
    <d v="2024-04-17T00:00:00"/>
    <x v="3"/>
    <s v="Europe → Germany → Frankfurt"/>
    <x v="33"/>
    <x v="6"/>
    <s v="Frankfurt"/>
    <s v="Education"/>
    <x v="4"/>
    <x v="10"/>
    <x v="5"/>
    <x v="272"/>
    <n v="1025.51"/>
    <n v="1436.54"/>
    <s v="Valid"/>
    <n v="1436.54"/>
    <s v="Medium"/>
    <n v="0.13900000000000001"/>
    <s v="Valid"/>
    <n v="0.13900000000000001"/>
    <n v="28"/>
    <n v="34632.106319999999"/>
    <n v="28714.28"/>
    <n v="5917.8263200000001"/>
    <n v="0.17087688127656453"/>
  </r>
  <r>
    <s v="ORD-2023-369160"/>
    <d v="2023-07-24T00:00:00"/>
    <x v="24"/>
    <s v="Q3-2023"/>
    <d v="2023-08-13T00:00:00"/>
    <s v="Valid"/>
    <n v="20"/>
    <d v="2023-08-13T00:00:00"/>
    <x v="2"/>
    <s v="Americas → Canada → Montreal"/>
    <x v="202"/>
    <x v="3"/>
    <s v="Montreal"/>
    <s v="Education"/>
    <x v="4"/>
    <x v="0"/>
    <x v="5"/>
    <x v="273"/>
    <n v="1082.3800000000001"/>
    <n v="1766.55"/>
    <s v="Valid"/>
    <n v="1766.55"/>
    <s v="Medium"/>
    <n v="0.16400000000000001"/>
    <s v="Valid"/>
    <n v="0.16400000000000001"/>
    <n v="20"/>
    <n v="29536.716"/>
    <n v="21647.600000000002"/>
    <n v="7889.1159999999982"/>
    <n v="0.26709523157550752"/>
  </r>
  <r>
    <s v="ORD-2024-834983"/>
    <d v="2024-03-16T00:00:00"/>
    <x v="0"/>
    <s v="Q1-2024"/>
    <d v="2024-04-13T00:00:00"/>
    <s v="Valid"/>
    <n v="28"/>
    <d v="2024-04-13T00:00:00"/>
    <x v="3"/>
    <s v="Europe → France → Paris"/>
    <x v="56"/>
    <x v="7"/>
    <s v="Paris"/>
    <s v="Small Business"/>
    <x v="1"/>
    <x v="11"/>
    <x v="1"/>
    <x v="274"/>
    <n v="287.61"/>
    <n v="628.54"/>
    <s v="Valid"/>
    <n v="628.54"/>
    <s v="Medium"/>
    <n v="0.13500000000000001"/>
    <s v="Valid"/>
    <n v="0.13500000000000001"/>
    <n v="21"/>
    <n v="11417.429099999999"/>
    <n v="6039.81"/>
    <n v="5377.619099999999"/>
    <n v="0.47100087531964613"/>
  </r>
  <r>
    <s v="ORD-2024-499009"/>
    <d v="2024-01-25T00:00:00"/>
    <x v="9"/>
    <s v="Q1-2024"/>
    <d v="2024-01-27T00:00:00"/>
    <s v="Valid"/>
    <n v="2"/>
    <d v="2024-01-27T00:00:00"/>
    <x v="2"/>
    <s v="Americas → Brazil → São Paulo"/>
    <x v="203"/>
    <x v="5"/>
    <s v="São Paulo"/>
    <s v="Non-Profit"/>
    <x v="2"/>
    <x v="13"/>
    <x v="4"/>
    <x v="275"/>
    <n v="1410.97"/>
    <n v="1650.75"/>
    <s v="Valid"/>
    <n v="1650.75"/>
    <s v="Medium"/>
    <n v="0.13500000000000001"/>
    <s v="Valid"/>
    <n v="0.13500000000000001"/>
    <n v="6"/>
    <n v="8567.3924999999999"/>
    <n v="8465.82"/>
    <n v="101.57250000000022"/>
    <n v="1.1855707556295596E-2"/>
  </r>
  <r>
    <s v="ORD-2024-948800"/>
    <d v="2024-03-27T00:00:00"/>
    <x v="0"/>
    <s v="Q1-2024"/>
    <d v="2024-04-11T00:00:00"/>
    <s v="Valid"/>
    <n v="15"/>
    <d v="2024-04-11T00:00:00"/>
    <x v="2"/>
    <s v="Americas → USA → San Francisco"/>
    <x v="181"/>
    <x v="10"/>
    <s v="San Francisco"/>
    <s v="Small Business"/>
    <x v="4"/>
    <x v="7"/>
    <x v="2"/>
    <x v="276"/>
    <n v="1338.35"/>
    <n v="2247.14"/>
    <s v="Valid"/>
    <n v="2247.14"/>
    <s v="High"/>
    <n v="0.115"/>
    <s v="Valid"/>
    <n v="0.115"/>
    <n v="40"/>
    <n v="79548.755999999994"/>
    <n v="53534"/>
    <n v="26014.755999999994"/>
    <n v="0.32702907384246205"/>
  </r>
  <r>
    <s v="ORD-2025-678328"/>
    <d v="2025-06-24T00:00:00"/>
    <x v="16"/>
    <s v="Q2-2025"/>
    <d v="2025-07-14T00:00:00"/>
    <s v="Valid"/>
    <n v="20"/>
    <d v="2025-07-14T00:00:00"/>
    <x v="3"/>
    <s v="Europe → Germany → Berlin"/>
    <x v="193"/>
    <x v="6"/>
    <s v="Berlin"/>
    <s v="Corporate"/>
    <x v="4"/>
    <x v="7"/>
    <x v="6"/>
    <x v="277"/>
    <n v="385.08"/>
    <n v="893.19"/>
    <s v="Valid"/>
    <n v="893.19"/>
    <s v="Medium"/>
    <n v="0.151"/>
    <s v="Valid"/>
    <n v="0.151"/>
    <n v="8"/>
    <n v="6066.54648"/>
    <n v="3080.64"/>
    <n v="2985.9064800000001"/>
    <n v="0.49219213762621666"/>
  </r>
  <r>
    <s v="ORD-2024-580808"/>
    <d v="2024-06-16T00:00:00"/>
    <x v="17"/>
    <s v="Q2-2024"/>
    <d v="2024-07-03T00:00:00"/>
    <s v="Valid"/>
    <n v="17"/>
    <d v="2024-07-03T00:00:00"/>
    <x v="0"/>
    <s v="Africa → South Africa → Johannesburg"/>
    <x v="98"/>
    <x v="11"/>
    <s v="Johannesburg"/>
    <s v="Enterprise"/>
    <x v="2"/>
    <x v="9"/>
    <x v="3"/>
    <x v="278"/>
    <n v="1173.83"/>
    <n v="2328.9"/>
    <s v="Valid"/>
    <n v="2328.9"/>
    <s v="High"/>
    <n v="0.12"/>
    <s v="Valid"/>
    <n v="0.12"/>
    <n v="17"/>
    <n v="34840.344000000005"/>
    <n v="19955.11"/>
    <n v="14885.234000000004"/>
    <n v="0.42724130393201637"/>
  </r>
  <r>
    <s v="ORD-2023-211715"/>
    <d v="2023-10-30T00:00:00"/>
    <x v="32"/>
    <s v="Q4-2023"/>
    <d v="2023-11-14T00:00:00"/>
    <s v="Valid"/>
    <n v="15"/>
    <d v="2023-11-14T00:00:00"/>
    <x v="1"/>
    <s v="Asia → India → Bengaluru"/>
    <x v="139"/>
    <x v="4"/>
    <s v="Bengaluru"/>
    <s v="Corporate"/>
    <x v="1"/>
    <x v="9"/>
    <x v="4"/>
    <x v="279"/>
    <n v="953.46"/>
    <n v="2066.75"/>
    <s v="Valid"/>
    <n v="2066.75"/>
    <s v="High"/>
    <n v="0.13800000000000001"/>
    <s v="Valid"/>
    <n v="0.13800000000000001"/>
    <n v="5"/>
    <n v="8907.6924999999992"/>
    <n v="4767.3"/>
    <n v="4140.392499999999"/>
    <n v="0.46481089238318446"/>
  </r>
  <r>
    <s v="ORD-2023-715175"/>
    <d v="2023-06-15T00:00:00"/>
    <x v="23"/>
    <s v="Q2-2023"/>
    <d v="2023-06-23T00:00:00"/>
    <s v="Valid"/>
    <n v="8"/>
    <d v="2023-06-23T00:00:00"/>
    <x v="2"/>
    <s v="Americas → USA → San Francisco"/>
    <x v="36"/>
    <x v="10"/>
    <s v="San Francisco"/>
    <s v="Consumer"/>
    <x v="3"/>
    <x v="7"/>
    <x v="5"/>
    <x v="280"/>
    <n v="1097.0899999999999"/>
    <n v="2182.31"/>
    <s v="Valid"/>
    <n v="2182.31"/>
    <s v="High"/>
    <n v="0.112"/>
    <s v="Valid"/>
    <n v="0.112"/>
    <n v="9"/>
    <n v="17441.021520000002"/>
    <n v="9873.81"/>
    <n v="7567.2115200000026"/>
    <n v="0.43387432962699546"/>
  </r>
  <r>
    <s v="ORD-2025-685236"/>
    <d v="2025-03-14T00:00:00"/>
    <x v="3"/>
    <s v="Q1-2025"/>
    <d v="2025-03-29T00:00:00"/>
    <s v="Valid"/>
    <n v="15"/>
    <d v="2025-03-29T00:00:00"/>
    <x v="1"/>
    <s v="Asia → Japan → Tokyo"/>
    <x v="204"/>
    <x v="2"/>
    <s v="Tokyo"/>
    <s v="Non-Profit"/>
    <x v="4"/>
    <x v="10"/>
    <x v="2"/>
    <x v="281"/>
    <n v="1106.96"/>
    <n v="2726.62"/>
    <s v="Valid"/>
    <n v="2726.62"/>
    <s v="High"/>
    <n v="0.317"/>
    <s v="High Discount"/>
    <n v="0.3"/>
    <n v="7"/>
    <n v="13360.438"/>
    <n v="7748.72"/>
    <n v="5611.7179999999998"/>
    <n v="0.42002500217432992"/>
  </r>
  <r>
    <s v="ORD-2023-274037"/>
    <d v="2023-08-15T00:00:00"/>
    <x v="25"/>
    <s v="Q3-2023"/>
    <d v="2023-08-25T00:00:00"/>
    <s v="Valid"/>
    <n v="10"/>
    <d v="2023-08-25T00:00:00"/>
    <x v="0"/>
    <s v="Africa → Kenya → Nairobi"/>
    <x v="205"/>
    <x v="0"/>
    <s v="Nairobi"/>
    <s v="Small Business"/>
    <x v="0"/>
    <x v="13"/>
    <x v="3"/>
    <x v="282"/>
    <n v="91.85"/>
    <n v="111.29"/>
    <s v="Valid"/>
    <n v="111.29"/>
    <s v="Low"/>
    <n v="0"/>
    <s v="Valid"/>
    <n v="0"/>
    <n v="6"/>
    <n v="667.74"/>
    <n v="551.09999999999991"/>
    <n v="116.6400000000001"/>
    <n v="0.17467876718483258"/>
  </r>
  <r>
    <s v="ORD-2025-983096"/>
    <d v="2025-05-17T00:00:00"/>
    <x v="8"/>
    <s v="Q2-2025"/>
    <d v="2025-05-28T00:00:00"/>
    <s v="Valid"/>
    <n v="11"/>
    <d v="2025-05-28T00:00:00"/>
    <x v="1"/>
    <s v="Asia → India → Bengaluru"/>
    <x v="206"/>
    <x v="4"/>
    <s v="Bengaluru"/>
    <s v="Corporate"/>
    <x v="3"/>
    <x v="5"/>
    <x v="4"/>
    <x v="283"/>
    <n v="623.4"/>
    <n v="1100.0899999999999"/>
    <s v="Valid"/>
    <n v="1100.0899999999999"/>
    <s v="Medium"/>
    <n v="0.114"/>
    <s v="Valid"/>
    <n v="0.114"/>
    <n v="12"/>
    <n v="11696.156879999999"/>
    <n v="7480.7999999999993"/>
    <n v="4215.3568799999994"/>
    <n v="0.36040529579490388"/>
  </r>
  <r>
    <s v="ORD-2024-366010"/>
    <d v="2024-01-13T00:00:00"/>
    <x v="9"/>
    <s v="Q1-2024"/>
    <d v="2024-02-05T00:00:00"/>
    <s v="Valid"/>
    <n v="23"/>
    <d v="2024-02-05T00:00:00"/>
    <x v="3"/>
    <s v="Europe → Germany → Frankfurt"/>
    <x v="10"/>
    <x v="6"/>
    <s v="Frankfurt"/>
    <s v="Education"/>
    <x v="4"/>
    <x v="5"/>
    <x v="4"/>
    <x v="284"/>
    <n v="1017.93"/>
    <n v="1529.14"/>
    <s v="Valid"/>
    <n v="1529.14"/>
    <s v="Medium"/>
    <n v="0.155"/>
    <s v="Valid"/>
    <n v="0.155"/>
    <n v="12"/>
    <n v="15505.479600000001"/>
    <n v="12215.16"/>
    <n v="3290.3196000000007"/>
    <n v="0.21220366508366503"/>
  </r>
  <r>
    <s v="ORD-2023-610470"/>
    <d v="2023-06-24T00:00:00"/>
    <x v="23"/>
    <s v="Q2-2023"/>
    <d v="2023-07-21T00:00:00"/>
    <s v="Valid"/>
    <n v="27"/>
    <d v="2023-07-21T00:00:00"/>
    <x v="1"/>
    <s v="Asia → Japan → Nagoya"/>
    <x v="78"/>
    <x v="2"/>
    <s v="Nagoya"/>
    <s v="Consumer"/>
    <x v="2"/>
    <x v="1"/>
    <x v="3"/>
    <x v="285"/>
    <n v="554.76"/>
    <n v="728.69"/>
    <s v="Valid"/>
    <n v="728.69"/>
    <s v="Medium"/>
    <n v="0.22"/>
    <s v="Valid"/>
    <n v="0.22"/>
    <n v="7"/>
    <n v="3978.6474000000003"/>
    <n v="3883.3199999999997"/>
    <n v="95.32740000000058"/>
    <n v="2.395975074343119E-2"/>
  </r>
  <r>
    <s v="ORD-2025-541048"/>
    <d v="2025-04-04T00:00:00"/>
    <x v="19"/>
    <s v="Q2-2025"/>
    <d v="2025-04-13T00:00:00"/>
    <s v="Valid"/>
    <n v="9"/>
    <d v="2025-04-13T00:00:00"/>
    <x v="3"/>
    <s v="Europe → Germany → Munich"/>
    <x v="187"/>
    <x v="6"/>
    <s v="Munich"/>
    <s v="Consumer"/>
    <x v="2"/>
    <x v="9"/>
    <x v="3"/>
    <x v="286"/>
    <n v="7.02"/>
    <n v="6.28"/>
    <s v="Valid"/>
    <n v="6.28"/>
    <s v="Low"/>
    <n v="0.13400000000000001"/>
    <s v="Valid"/>
    <n v="0.13400000000000001"/>
    <n v="14"/>
    <n v="76.138720000000006"/>
    <n v="98.28"/>
    <n v="-22.141279999999995"/>
    <n v="-0.29080184169106066"/>
  </r>
  <r>
    <s v="ORD-2024-862371"/>
    <d v="2024-09-07T00:00:00"/>
    <x v="29"/>
    <s v="Q3-2024"/>
    <d v="2024-09-07T00:00:00"/>
    <s v="Valid"/>
    <n v="0"/>
    <d v="2024-09-07T00:00:00"/>
    <x v="1"/>
    <s v="Asia → India → Mumbai"/>
    <x v="207"/>
    <x v="4"/>
    <s v="Mumbai"/>
    <s v="Education"/>
    <x v="3"/>
    <x v="5"/>
    <x v="2"/>
    <x v="287"/>
    <n v="1066.6500000000001"/>
    <n v="2569.77"/>
    <s v="Valid"/>
    <n v="2569.77"/>
    <s v="High"/>
    <n v="0.13400000000000001"/>
    <s v="Valid"/>
    <n v="0.13400000000000001"/>
    <n v="9"/>
    <n v="20028.787380000002"/>
    <n v="9599.85"/>
    <n v="10428.937380000001"/>
    <n v="0.52069739331368348"/>
  </r>
  <r>
    <s v="ORD-2024-277241"/>
    <d v="2024-01-28T00:00:00"/>
    <x v="9"/>
    <s v="Q1-2024"/>
    <d v="2024-01-30T00:00:00"/>
    <s v="Valid"/>
    <n v="2"/>
    <d v="2024-01-30T00:00:00"/>
    <x v="0"/>
    <s v="Africa → South Africa → Cape Town"/>
    <x v="38"/>
    <x v="11"/>
    <s v="Cape Town"/>
    <s v="Consumer"/>
    <x v="4"/>
    <x v="9"/>
    <x v="6"/>
    <x v="288"/>
    <n v="798.45"/>
    <n v="1592.02"/>
    <s v="Valid"/>
    <n v="1592.02"/>
    <s v="Medium"/>
    <n v="6.6000000000000003E-2"/>
    <s v="Valid"/>
    <n v="6.6000000000000003E-2"/>
    <n v="18"/>
    <n v="26765.040239999998"/>
    <n v="14372.1"/>
    <n v="12392.940239999998"/>
    <n v="0.46302714768494585"/>
  </r>
  <r>
    <s v="ORD-2023-369150"/>
    <d v="2023-07-18T00:00:00"/>
    <x v="24"/>
    <s v="Q3-2023"/>
    <d v="2023-08-10T00:00:00"/>
    <s v="Valid"/>
    <n v="23"/>
    <d v="2023-08-10T00:00:00"/>
    <x v="0"/>
    <s v="Africa → South Africa → Johannesburg"/>
    <x v="126"/>
    <x v="11"/>
    <s v="Johannesburg"/>
    <s v="Small Business"/>
    <x v="0"/>
    <x v="4"/>
    <x v="0"/>
    <x v="289"/>
    <n v="1271.56"/>
    <n v="995.47"/>
    <s v="Valid"/>
    <n v="995.47"/>
    <s v="Medium"/>
    <n v="0.192"/>
    <s v="Valid"/>
    <n v="0.192"/>
    <n v="13"/>
    <n v="10456.416880000001"/>
    <n v="16530.28"/>
    <n v="-6073.8631199999982"/>
    <n v="-0.58087423155607754"/>
  </r>
  <r>
    <s v="ORD-2025-922513"/>
    <d v="2025-08-28T00:00:00"/>
    <x v="28"/>
    <s v="Q3-2025"/>
    <d v="2025-08-26T00:00:00"/>
    <s v="Invalid RequiredDate"/>
    <n v="-2"/>
    <d v="2025-09-23T00:00:00"/>
    <x v="0"/>
    <s v="Africa → Nigeria → Port Harcourt"/>
    <x v="208"/>
    <x v="1"/>
    <s v="Port Harcourt"/>
    <s v="Small Business"/>
    <x v="0"/>
    <x v="8"/>
    <x v="6"/>
    <x v="290"/>
    <n v="521.05999999999995"/>
    <n v="1240.31"/>
    <s v="Valid"/>
    <n v="1240.31"/>
    <s v="Medium"/>
    <n v="0.14599999999999999"/>
    <s v="Valid"/>
    <n v="0.14599999999999999"/>
    <n v="18"/>
    <n v="19066.045319999997"/>
    <n v="9379.0799999999981"/>
    <n v="9686.9653199999993"/>
    <n v="0.50807417885650974"/>
  </r>
  <r>
    <s v="ORD-2025-752845"/>
    <d v="2025-03-30T00:00:00"/>
    <x v="3"/>
    <s v="Q1-2025"/>
    <d v="2025-04-07T00:00:00"/>
    <s v="Valid"/>
    <n v="8"/>
    <d v="2025-04-07T00:00:00"/>
    <x v="2"/>
    <s v="Americas → Brazil → São Paulo"/>
    <x v="12"/>
    <x v="5"/>
    <s v="São Paulo"/>
    <s v="Non-Profit"/>
    <x v="4"/>
    <x v="4"/>
    <x v="1"/>
    <x v="291"/>
    <n v="71.62"/>
    <n v="118.37"/>
    <s v="Valid"/>
    <n v="118.37"/>
    <s v="Low"/>
    <n v="0.156"/>
    <s v="Valid"/>
    <n v="0.156"/>
    <n v="11"/>
    <n v="1098.9470800000001"/>
    <n v="787.82"/>
    <n v="311.12708000000009"/>
    <n v="0.28311379652603474"/>
  </r>
  <r>
    <s v="ORD-2023-667815"/>
    <d v="2023-10-21T00:00:00"/>
    <x v="32"/>
    <s v="Q4-2023"/>
    <d v="2023-11-09T00:00:00"/>
    <s v="Valid"/>
    <n v="19"/>
    <d v="2023-11-09T00:00:00"/>
    <x v="3"/>
    <s v="Europe → United Kingdom → London"/>
    <x v="209"/>
    <x v="8"/>
    <s v="London"/>
    <s v="Non-Profit"/>
    <x v="4"/>
    <x v="8"/>
    <x v="6"/>
    <x v="292"/>
    <n v="1142.48"/>
    <n v="2105.5300000000002"/>
    <s v="Valid"/>
    <n v="2105.5300000000002"/>
    <s v="High"/>
    <n v="0.20699999999999999"/>
    <s v="Valid"/>
    <n v="0.20699999999999999"/>
    <n v="14"/>
    <n v="23375.594060000003"/>
    <n v="15994.720000000001"/>
    <n v="7380.8740600000019"/>
    <n v="0.31575129346680658"/>
  </r>
  <r>
    <s v="ORD-2023-375011"/>
    <d v="2023-08-23T00:00:00"/>
    <x v="25"/>
    <s v="Q3-2023"/>
    <d v="2023-09-22T00:00:00"/>
    <s v="Valid"/>
    <n v="30"/>
    <d v="2023-09-22T00:00:00"/>
    <x v="3"/>
    <s v="Europe → United Kingdom → London"/>
    <x v="146"/>
    <x v="8"/>
    <s v="London"/>
    <s v="Consumer"/>
    <x v="3"/>
    <x v="7"/>
    <x v="6"/>
    <x v="293"/>
    <n v="209.81"/>
    <n v="523"/>
    <s v="Valid"/>
    <n v="523"/>
    <s v="Low"/>
    <n v="5.8999999999999997E-2"/>
    <s v="Valid"/>
    <n v="5.8999999999999997E-2"/>
    <n v="15"/>
    <n v="7382.1450000000004"/>
    <n v="3147.15"/>
    <n v="4234.9950000000008"/>
    <n v="0.57368082041195356"/>
  </r>
  <r>
    <s v="ORD-2025-487025"/>
    <d v="2025-04-11T00:00:00"/>
    <x v="19"/>
    <s v="Q2-2025"/>
    <d v="2025-05-04T00:00:00"/>
    <s v="Valid"/>
    <n v="23"/>
    <d v="2025-05-04T00:00:00"/>
    <x v="1"/>
    <s v="Asia → Japan → Osaka"/>
    <x v="79"/>
    <x v="2"/>
    <s v="Osaka"/>
    <s v="Small Business"/>
    <x v="1"/>
    <x v="12"/>
    <x v="0"/>
    <x v="294"/>
    <n v="786.2"/>
    <n v="1075.3"/>
    <s v="Valid"/>
    <n v="1075.3"/>
    <s v="Medium"/>
    <n v="0.08"/>
    <s v="Valid"/>
    <n v="0.08"/>
    <n v="9"/>
    <n v="8903.4839999999986"/>
    <n v="7075.8"/>
    <n v="1827.6839999999984"/>
    <n v="0.20527739478163815"/>
  </r>
  <r>
    <s v="ORD-2025-398335"/>
    <d v="2025-06-01T00:00:00"/>
    <x v="16"/>
    <s v="Q2-2025"/>
    <d v="2025-06-27T00:00:00"/>
    <s v="Valid"/>
    <n v="26"/>
    <d v="2025-06-27T00:00:00"/>
    <x v="3"/>
    <s v="Europe → Germany → Munich"/>
    <x v="193"/>
    <x v="6"/>
    <s v="Munich"/>
    <s v="Consumer"/>
    <x v="3"/>
    <x v="6"/>
    <x v="4"/>
    <x v="295"/>
    <n v="1362.31"/>
    <n v="3294.57"/>
    <s v="Valid"/>
    <n v="3294.57"/>
    <s v="High"/>
    <n v="0.113"/>
    <s v="Valid"/>
    <n v="0.113"/>
    <n v="7"/>
    <n v="20455.985130000001"/>
    <n v="9536.17"/>
    <n v="10919.815130000001"/>
    <n v="0.5338200561157721"/>
  </r>
  <r>
    <s v="ORD-2024-792137"/>
    <d v="2024-03-02T00:00:00"/>
    <x v="0"/>
    <s v="Q1-2024"/>
    <d v="2024-03-16T00:00:00"/>
    <s v="Valid"/>
    <n v="14"/>
    <d v="2024-03-16T00:00:00"/>
    <x v="2"/>
    <s v="Americas → Canada → Vancouver"/>
    <x v="191"/>
    <x v="3"/>
    <s v="Vancouver"/>
    <s v="Non-Profit"/>
    <x v="4"/>
    <x v="7"/>
    <x v="1"/>
    <x v="296"/>
    <n v="248.24"/>
    <n v="464.05"/>
    <s v="Valid"/>
    <n v="464.05"/>
    <s v="Low"/>
    <n v="0.16900000000000001"/>
    <s v="Valid"/>
    <n v="0.16900000000000001"/>
    <n v="11"/>
    <n v="4241.88105"/>
    <n v="2730.6400000000003"/>
    <n v="1511.2410499999996"/>
    <n v="0.3562667203975462"/>
  </r>
  <r>
    <s v="ORD-2023-602648"/>
    <d v="2023-06-20T00:00:00"/>
    <x v="23"/>
    <s v="Q2-2023"/>
    <d v="2023-07-08T00:00:00"/>
    <s v="Valid"/>
    <n v="18"/>
    <d v="2023-07-08T00:00:00"/>
    <x v="2"/>
    <s v="Americas → USA → Austin"/>
    <x v="36"/>
    <x v="10"/>
    <s v="Austin"/>
    <s v="Non-Profit"/>
    <x v="4"/>
    <x v="9"/>
    <x v="5"/>
    <x v="297"/>
    <n v="337"/>
    <n v="511.03"/>
    <s v="Valid"/>
    <n v="511.03"/>
    <s v="Low"/>
    <n v="0.108"/>
    <s v="Valid"/>
    <n v="0.108"/>
    <n v="7"/>
    <n v="3190.8713200000002"/>
    <n v="2359"/>
    <n v="831.8713200000002"/>
    <n v="0.26070349963219458"/>
  </r>
  <r>
    <s v="ORD-2024-207096"/>
    <d v="2024-03-26T00:00:00"/>
    <x v="0"/>
    <s v="Q1-2024"/>
    <d v="2024-04-05T00:00:00"/>
    <s v="Valid"/>
    <n v="10"/>
    <d v="2024-04-05T00:00:00"/>
    <x v="2"/>
    <s v="Americas → USA → Austin"/>
    <x v="181"/>
    <x v="10"/>
    <s v="Austin"/>
    <s v="Consumer"/>
    <x v="4"/>
    <x v="1"/>
    <x v="5"/>
    <x v="298"/>
    <n v="5.66"/>
    <n v="4.22"/>
    <s v="Valid"/>
    <n v="4.22"/>
    <s v="Low"/>
    <n v="0.11899999999999999"/>
    <s v="Valid"/>
    <n v="0.11899999999999999"/>
    <n v="18"/>
    <n v="66.920760000000001"/>
    <n v="101.88"/>
    <n v="-34.959239999999994"/>
    <n v="-0.52239753403876454"/>
  </r>
  <r>
    <s v="ORD-2025-939953"/>
    <d v="2025-01-22T00:00:00"/>
    <x v="10"/>
    <s v="Q1-2025"/>
    <d v="2025-01-22T00:00:00"/>
    <s v="Valid"/>
    <n v="0"/>
    <d v="2025-01-22T00:00:00"/>
    <x v="3"/>
    <s v="Europe → France → Lyon"/>
    <x v="49"/>
    <x v="7"/>
    <s v="Lyon"/>
    <s v="Small Business"/>
    <x v="1"/>
    <x v="5"/>
    <x v="6"/>
    <x v="299"/>
    <n v="591.72"/>
    <n v="577.24"/>
    <s v="Valid"/>
    <n v="577.24"/>
    <s v="Low"/>
    <n v="0"/>
    <s v="Valid"/>
    <n v="0"/>
    <n v="22"/>
    <n v="12699.28"/>
    <n v="13017.84"/>
    <n v="-318.55999999999949"/>
    <n v="-2.5084886702238195E-2"/>
  </r>
  <r>
    <s v="ORD-2025-191328"/>
    <d v="2025-05-10T00:00:00"/>
    <x v="8"/>
    <s v="Q2-2025"/>
    <d v="2025-05-27T00:00:00"/>
    <s v="Valid"/>
    <n v="17"/>
    <d v="2025-05-27T00:00:00"/>
    <x v="2"/>
    <s v="Americas → Canada → Vancouver"/>
    <x v="210"/>
    <x v="3"/>
    <s v="Vancouver"/>
    <s v="Education"/>
    <x v="4"/>
    <x v="0"/>
    <x v="0"/>
    <x v="300"/>
    <n v="862.89"/>
    <n v="1426.03"/>
    <s v="Valid"/>
    <n v="1426.03"/>
    <s v="Medium"/>
    <n v="5.6000000000000001E-2"/>
    <s v="Valid"/>
    <n v="5.6000000000000001E-2"/>
    <n v="19"/>
    <n v="25577.274079999999"/>
    <n v="16394.91"/>
    <n v="9182.3640799999994"/>
    <n v="0.35900479665188778"/>
  </r>
  <r>
    <s v="ORD-2023-166668"/>
    <d v="2023-10-05T00:00:00"/>
    <x v="32"/>
    <s v="Q4-2023"/>
    <d v="2023-10-31T00:00:00"/>
    <s v="Valid"/>
    <n v="26"/>
    <d v="2023-10-31T00:00:00"/>
    <x v="1"/>
    <s v="Asia → China → Shanghai"/>
    <x v="155"/>
    <x v="9"/>
    <s v="Shanghai"/>
    <s v="Consumer"/>
    <x v="5"/>
    <x v="1"/>
    <x v="1"/>
    <x v="301"/>
    <n v="649.91"/>
    <n v="1360.12"/>
    <s v="Valid"/>
    <n v="1360.12"/>
    <s v="Medium"/>
    <n v="0.19400000000000001"/>
    <s v="Valid"/>
    <n v="0.19400000000000001"/>
    <n v="9"/>
    <n v="9866.3104799999983"/>
    <n v="5849.19"/>
    <n v="4017.1204799999987"/>
    <n v="0.40715528749506769"/>
  </r>
  <r>
    <s v="ORD-2023-594700"/>
    <d v="2023-07-18T00:00:00"/>
    <x v="24"/>
    <s v="Q3-2023"/>
    <d v="2023-07-22T00:00:00"/>
    <s v="Valid"/>
    <n v="4"/>
    <d v="2023-07-22T00:00:00"/>
    <x v="2"/>
    <s v="Americas → Brazil → São Paulo"/>
    <x v="120"/>
    <x v="5"/>
    <s v="São Paulo"/>
    <s v="Consumer"/>
    <x v="4"/>
    <x v="9"/>
    <x v="2"/>
    <x v="302"/>
    <n v="1269.55"/>
    <n v="2071.1"/>
    <s v="Valid"/>
    <n v="2071.1"/>
    <s v="High"/>
    <n v="0.129"/>
    <s v="Valid"/>
    <n v="0.129"/>
    <n v="22"/>
    <n v="39686.4182"/>
    <n v="27930.1"/>
    <n v="11756.318200000002"/>
    <n v="0.29623026549672354"/>
  </r>
  <r>
    <s v="ORD-2025-278048"/>
    <d v="2025-06-22T00:00:00"/>
    <x v="16"/>
    <s v="Q2-2025"/>
    <d v="2025-07-08T00:00:00"/>
    <s v="Valid"/>
    <n v="16"/>
    <d v="2025-07-08T00:00:00"/>
    <x v="3"/>
    <s v="Europe → United Kingdom → London"/>
    <x v="105"/>
    <x v="8"/>
    <s v="London"/>
    <s v="Education"/>
    <x v="4"/>
    <x v="8"/>
    <x v="3"/>
    <x v="303"/>
    <n v="892.73"/>
    <n v="979.84"/>
    <s v="Valid"/>
    <n v="979.84"/>
    <s v="Medium"/>
    <n v="0.17399999999999999"/>
    <s v="Valid"/>
    <n v="0.17399999999999999"/>
    <n v="10"/>
    <n v="8093.4784"/>
    <n v="8927.2999999999993"/>
    <n v="-833.82159999999931"/>
    <n v="-0.10302388649112838"/>
  </r>
  <r>
    <s v="ORD-2024-878493"/>
    <d v="2024-06-19T00:00:00"/>
    <x v="17"/>
    <s v="Q2-2024"/>
    <d v="2024-06-20T00:00:00"/>
    <s v="Valid"/>
    <n v="1"/>
    <d v="2024-06-20T00:00:00"/>
    <x v="0"/>
    <s v="Africa → Kenya → Kisumu"/>
    <x v="95"/>
    <x v="0"/>
    <s v="Kisumu"/>
    <s v="Small Business"/>
    <x v="4"/>
    <x v="1"/>
    <x v="4"/>
    <x v="304"/>
    <n v="231.63"/>
    <n v="537.39"/>
    <s v="Valid"/>
    <n v="537.39"/>
    <s v="Low"/>
    <n v="0.08"/>
    <s v="Valid"/>
    <n v="0.08"/>
    <n v="12"/>
    <n v="5932.7856000000002"/>
    <n v="2779.56"/>
    <n v="3153.2256000000002"/>
    <n v="0.53149158129024587"/>
  </r>
  <r>
    <s v="ORD-2025-138578"/>
    <d v="2025-04-09T00:00:00"/>
    <x v="19"/>
    <s v="Q2-2025"/>
    <d v="2025-04-12T00:00:00"/>
    <s v="Valid"/>
    <n v="3"/>
    <d v="2025-04-12T00:00:00"/>
    <x v="3"/>
    <s v="Europe → France → Lyon"/>
    <x v="27"/>
    <x v="7"/>
    <s v="Lyon"/>
    <s v="Small Business"/>
    <x v="3"/>
    <x v="10"/>
    <x v="5"/>
    <x v="305"/>
    <n v="86.68"/>
    <n v="213.32"/>
    <s v="Valid"/>
    <n v="213.32"/>
    <s v="Low"/>
    <n v="3.7999999999999999E-2"/>
    <s v="Valid"/>
    <n v="3.7999999999999999E-2"/>
    <n v="8"/>
    <n v="1641.7107199999998"/>
    <n v="693.44"/>
    <n v="948.27071999999976"/>
    <n v="0.57761133459614611"/>
  </r>
  <r>
    <s v="ORD-2025-944081"/>
    <d v="2025-03-25T00:00:00"/>
    <x v="3"/>
    <s v="Q1-2025"/>
    <d v="2025-03-26T00:00:00"/>
    <s v="Valid"/>
    <n v="1"/>
    <d v="2025-03-26T00:00:00"/>
    <x v="0"/>
    <s v="Africa → Nigeria → Lagos"/>
    <x v="3"/>
    <x v="1"/>
    <s v="Lagos"/>
    <s v="Education"/>
    <x v="3"/>
    <x v="3"/>
    <x v="6"/>
    <x v="306"/>
    <n v="1450.43"/>
    <n v="1994.67"/>
    <s v="Valid"/>
    <n v="1994.67"/>
    <s v="High"/>
    <n v="0.1"/>
    <s v="Valid"/>
    <n v="0.1"/>
    <n v="24"/>
    <n v="43084.872000000003"/>
    <n v="34810.32"/>
    <n v="8274.5520000000033"/>
    <n v="0.19205237513529116"/>
  </r>
  <r>
    <s v="ORD-2025-364852"/>
    <d v="2025-05-18T00:00:00"/>
    <x v="8"/>
    <s v="Q2-2025"/>
    <d v="2025-06-09T00:00:00"/>
    <s v="Valid"/>
    <n v="22"/>
    <d v="2025-06-09T00:00:00"/>
    <x v="2"/>
    <s v="Americas → USA → New York"/>
    <x v="211"/>
    <x v="10"/>
    <s v="New York"/>
    <s v="Consumer"/>
    <x v="0"/>
    <x v="10"/>
    <x v="2"/>
    <x v="307"/>
    <n v="382.96"/>
    <n v="552.84"/>
    <s v="Valid"/>
    <n v="552.84"/>
    <s v="Low"/>
    <n v="0.17599999999999999"/>
    <s v="Valid"/>
    <n v="0.17599999999999999"/>
    <n v="8"/>
    <n v="3644.3212800000006"/>
    <n v="3063.68"/>
    <n v="580.64128000000073"/>
    <n v="0.15932768693763483"/>
  </r>
  <r>
    <s v="ORD-2025-415018"/>
    <d v="2025-01-22T00:00:00"/>
    <x v="10"/>
    <s v="Q1-2025"/>
    <d v="2025-02-04T00:00:00"/>
    <s v="Valid"/>
    <n v="13"/>
    <d v="2025-02-04T00:00:00"/>
    <x v="1"/>
    <s v="Asia → Japan → Tokyo"/>
    <x v="11"/>
    <x v="2"/>
    <s v="Tokyo"/>
    <s v="Small Business"/>
    <x v="3"/>
    <x v="4"/>
    <x v="1"/>
    <x v="308"/>
    <n v="122.29"/>
    <n v="224.95"/>
    <s v="Valid"/>
    <n v="224.95"/>
    <s v="Low"/>
    <n v="0.153"/>
    <s v="Valid"/>
    <n v="0.153"/>
    <n v="28"/>
    <n v="5334.9141999999993"/>
    <n v="3424.1200000000003"/>
    <n v="1910.7941999999989"/>
    <n v="0.3581677471026618"/>
  </r>
  <r>
    <s v="ORD-2023-884192"/>
    <d v="2023-01-10T00:00:00"/>
    <x v="5"/>
    <s v="Q1-2023"/>
    <d v="2023-01-29T00:00:00"/>
    <s v="Valid"/>
    <n v="19"/>
    <d v="2023-01-29T00:00:00"/>
    <x v="3"/>
    <s v="Europe → France → Lyon"/>
    <x v="212"/>
    <x v="7"/>
    <s v="Lyon"/>
    <s v="Non-Profit"/>
    <x v="4"/>
    <x v="14"/>
    <x v="4"/>
    <x v="309"/>
    <n v="401.66"/>
    <n v="772.09"/>
    <s v="Valid"/>
    <n v="772.09"/>
    <s v="Medium"/>
    <n v="8.8999999999999996E-2"/>
    <s v="Valid"/>
    <n v="8.8999999999999996E-2"/>
    <n v="14"/>
    <n v="9847.2358600000007"/>
    <n v="5623.2400000000007"/>
    <n v="4223.99586"/>
    <n v="0.42895244107619046"/>
  </r>
  <r>
    <s v="ORD-2024-165942"/>
    <d v="2024-12-29T00:00:00"/>
    <x v="6"/>
    <s v="Q4-2024"/>
    <d v="2025-01-12T00:00:00"/>
    <s v="Valid"/>
    <n v="14"/>
    <d v="2025-01-12T00:00:00"/>
    <x v="3"/>
    <s v="Europe → United Kingdom → Manchester"/>
    <x v="213"/>
    <x v="8"/>
    <s v="Manchester"/>
    <s v="Corporate"/>
    <x v="4"/>
    <x v="5"/>
    <x v="5"/>
    <x v="310"/>
    <n v="1399.72"/>
    <n v="3149.21"/>
    <s v="Valid"/>
    <n v="3149.21"/>
    <s v="High"/>
    <n v="0.185"/>
    <s v="Valid"/>
    <n v="0.185"/>
    <n v="12"/>
    <n v="30799.273800000003"/>
    <n v="16796.64"/>
    <n v="14002.633800000003"/>
    <n v="0.45464168703873797"/>
  </r>
  <r>
    <s v="ORD-2024-403664"/>
    <d v="2024-05-23T00:00:00"/>
    <x v="7"/>
    <s v="Q2-2024"/>
    <d v="2024-06-06T00:00:00"/>
    <s v="Valid"/>
    <n v="14"/>
    <d v="2024-06-06T00:00:00"/>
    <x v="2"/>
    <s v="Americas → Brazil → Rio de Janeiro"/>
    <x v="153"/>
    <x v="5"/>
    <s v="Rio de Janeiro"/>
    <s v="Non-Profit"/>
    <x v="1"/>
    <x v="2"/>
    <x v="2"/>
    <x v="311"/>
    <n v="51.13"/>
    <n v="57.53"/>
    <s v="Valid"/>
    <n v="57.53"/>
    <s v="Low"/>
    <n v="4.4999999999999998E-2"/>
    <s v="Valid"/>
    <n v="4.4999999999999998E-2"/>
    <n v="16"/>
    <n v="879.05840000000001"/>
    <n v="818.08"/>
    <n v="60.978399999999965"/>
    <n v="6.9367859973808302E-2"/>
  </r>
  <r>
    <s v="ORD-2023-890605"/>
    <d v="2023-06-24T00:00:00"/>
    <x v="23"/>
    <s v="Q2-2023"/>
    <d v="2023-06-22T00:00:00"/>
    <s v="Invalid RequiredDate"/>
    <n v="-2"/>
    <d v="2023-07-20T00:00:00"/>
    <x v="2"/>
    <s v="Americas → Canada → Toronto"/>
    <x v="214"/>
    <x v="3"/>
    <s v="Toronto"/>
    <s v="Non-Profit"/>
    <x v="0"/>
    <x v="12"/>
    <x v="6"/>
    <x v="312"/>
    <n v="471.42"/>
    <n v="824.81"/>
    <s v="Valid"/>
    <n v="824.81"/>
    <s v="Medium"/>
    <n v="8.7999999999999995E-2"/>
    <s v="Valid"/>
    <n v="8.7999999999999995E-2"/>
    <n v="15"/>
    <n v="11283.400799999999"/>
    <n v="7071.3"/>
    <n v="4212.1007999999993"/>
    <n v="0.37330064531608231"/>
  </r>
  <r>
    <s v="ORD-2024-925626"/>
    <d v="2024-11-04T00:00:00"/>
    <x v="18"/>
    <s v="Q4-2024"/>
    <d v="2024-11-05T00:00:00"/>
    <s v="Valid"/>
    <n v="1"/>
    <d v="2024-11-05T00:00:00"/>
    <x v="3"/>
    <s v="Europe → United Kingdom → London"/>
    <x v="215"/>
    <x v="8"/>
    <s v="London"/>
    <s v="Corporate"/>
    <x v="0"/>
    <x v="12"/>
    <x v="1"/>
    <x v="313"/>
    <n v="840.68"/>
    <n v="1493.53"/>
    <s v="Valid"/>
    <n v="1493.53"/>
    <s v="Medium"/>
    <n v="0"/>
    <s v="Valid"/>
    <n v="0"/>
    <n v="27"/>
    <n v="40325.31"/>
    <n v="22698.359999999997"/>
    <n v="17626.95"/>
    <n v="0.43711877230454027"/>
  </r>
  <r>
    <s v="ORD-2024-427031"/>
    <d v="2024-06-08T00:00:00"/>
    <x v="17"/>
    <s v="Q2-2024"/>
    <d v="2024-06-24T00:00:00"/>
    <s v="Valid"/>
    <n v="16"/>
    <d v="2024-06-24T00:00:00"/>
    <x v="0"/>
    <s v="Africa → South Africa → Durban"/>
    <x v="98"/>
    <x v="11"/>
    <s v="Durban"/>
    <s v="Education"/>
    <x v="3"/>
    <x v="10"/>
    <x v="5"/>
    <x v="314"/>
    <n v="597.85"/>
    <n v="741.92"/>
    <s v="Valid"/>
    <n v="741.92"/>
    <s v="Medium"/>
    <n v="3.1E-2"/>
    <s v="Valid"/>
    <n v="3.1E-2"/>
    <n v="7"/>
    <n v="5032.4433599999993"/>
    <n v="4184.95"/>
    <n v="847.49335999999948"/>
    <n v="0.16840594108544515"/>
  </r>
  <r>
    <s v="ORD-2025-231184"/>
    <d v="2025-06-01T00:00:00"/>
    <x v="16"/>
    <s v="Q2-2025"/>
    <d v="2025-06-06T00:00:00"/>
    <s v="Valid"/>
    <n v="5"/>
    <d v="2025-06-06T00:00:00"/>
    <x v="3"/>
    <s v="Europe → France → Paris"/>
    <x v="54"/>
    <x v="7"/>
    <s v="Paris"/>
    <s v="Consumer"/>
    <x v="3"/>
    <x v="3"/>
    <x v="0"/>
    <x v="315"/>
    <n v="379.45"/>
    <n v="742.23"/>
    <s v="Valid"/>
    <n v="742.23"/>
    <s v="Medium"/>
    <n v="0.09"/>
    <s v="Valid"/>
    <n v="0.09"/>
    <n v="13"/>
    <n v="8780.5809000000008"/>
    <n v="4932.8499999999995"/>
    <n v="3847.7309000000014"/>
    <n v="0.43820915083192286"/>
  </r>
  <r>
    <s v="ORD-2023-363031"/>
    <d v="2023-05-06T00:00:00"/>
    <x v="15"/>
    <s v="Q2-2023"/>
    <d v="2023-05-14T00:00:00"/>
    <s v="Valid"/>
    <n v="8"/>
    <d v="2023-05-14T00:00:00"/>
    <x v="1"/>
    <s v="Asia → Japan → Osaka"/>
    <x v="216"/>
    <x v="2"/>
    <s v="Osaka"/>
    <s v="Enterprise"/>
    <x v="2"/>
    <x v="5"/>
    <x v="3"/>
    <x v="316"/>
    <n v="291.18"/>
    <n v="479.54"/>
    <s v="Valid"/>
    <n v="479.54"/>
    <s v="Low"/>
    <n v="0.14099999999999999"/>
    <s v="Valid"/>
    <n v="0.14099999999999999"/>
    <n v="22"/>
    <n v="9062.34692"/>
    <n v="6405.96"/>
    <n v="2656.3869199999999"/>
    <n v="0.29312350801066001"/>
  </r>
  <r>
    <s v="ORD-2023-619570"/>
    <d v="2023-11-14T00:00:00"/>
    <x v="30"/>
    <s v="Q4-2023"/>
    <d v="2023-11-30T00:00:00"/>
    <s v="Valid"/>
    <n v="16"/>
    <d v="2023-11-30T00:00:00"/>
    <x v="2"/>
    <s v="Americas → Brazil → São Paulo"/>
    <x v="169"/>
    <x v="5"/>
    <s v="São Paulo"/>
    <s v="Enterprise"/>
    <x v="4"/>
    <x v="11"/>
    <x v="2"/>
    <x v="317"/>
    <n v="1017.92"/>
    <n v="1175.25"/>
    <s v="Valid"/>
    <n v="1175.25"/>
    <s v="Medium"/>
    <n v="7.4999999999999997E-2"/>
    <s v="Valid"/>
    <n v="7.4999999999999997E-2"/>
    <n v="15"/>
    <n v="16306.59375"/>
    <n v="15268.8"/>
    <n v="1037.7937500000007"/>
    <n v="6.3642583234159542E-2"/>
  </r>
  <r>
    <s v="ORD-2025-861401"/>
    <d v="2025-04-01T00:00:00"/>
    <x v="19"/>
    <s v="Q2-2025"/>
    <d v="2025-04-27T00:00:00"/>
    <s v="Valid"/>
    <n v="26"/>
    <d v="2025-04-27T00:00:00"/>
    <x v="2"/>
    <s v="Americas → USA → San Francisco"/>
    <x v="72"/>
    <x v="10"/>
    <s v="San Francisco"/>
    <s v="Corporate"/>
    <x v="4"/>
    <x v="2"/>
    <x v="5"/>
    <x v="318"/>
    <n v="156.55000000000001"/>
    <n v="227.45"/>
    <s v="Valid"/>
    <n v="227.45"/>
    <s v="Low"/>
    <n v="1.4E-2"/>
    <s v="Valid"/>
    <n v="1.4E-2"/>
    <n v="13"/>
    <n v="2915.4540999999999"/>
    <n v="2035.15"/>
    <n v="880.30409999999983"/>
    <n v="0.3019440779396938"/>
  </r>
  <r>
    <s v="ORD-2023-835010"/>
    <d v="2023-03-23T00:00:00"/>
    <x v="22"/>
    <s v="Q1-2023"/>
    <d v="2023-04-15T00:00:00"/>
    <s v="Valid"/>
    <n v="23"/>
    <d v="2023-04-15T00:00:00"/>
    <x v="0"/>
    <s v="Africa → Kenya → Mombasa"/>
    <x v="48"/>
    <x v="0"/>
    <s v="Mombasa"/>
    <s v="Small Business"/>
    <x v="0"/>
    <x v="0"/>
    <x v="6"/>
    <x v="319"/>
    <n v="875.36"/>
    <n v="1178.6199999999999"/>
    <s v="Valid"/>
    <n v="1178.6199999999999"/>
    <s v="Medium"/>
    <n v="0.151"/>
    <s v="Valid"/>
    <n v="0.151"/>
    <n v="53"/>
    <n v="53034.364139999991"/>
    <n v="46394.080000000002"/>
    <n v="6640.2841399999888"/>
    <n v="0.12520719815685888"/>
  </r>
  <r>
    <s v="ORD-2024-819979"/>
    <d v="2024-05-28T00:00:00"/>
    <x v="7"/>
    <s v="Q2-2024"/>
    <d v="2024-06-18T00:00:00"/>
    <s v="Valid"/>
    <n v="21"/>
    <d v="2024-06-18T00:00:00"/>
    <x v="3"/>
    <s v="Europe → Germany → Frankfurt"/>
    <x v="217"/>
    <x v="6"/>
    <s v="Frankfurt"/>
    <s v="Small Business"/>
    <x v="1"/>
    <x v="6"/>
    <x v="3"/>
    <x v="320"/>
    <n v="986.85"/>
    <n v="2422.1"/>
    <s v="Valid"/>
    <n v="2422.1"/>
    <s v="High"/>
    <n v="7.5999999999999998E-2"/>
    <s v="Valid"/>
    <n v="7.5999999999999998E-2"/>
    <n v="10"/>
    <n v="22380.204000000002"/>
    <n v="9868.5"/>
    <n v="12511.704000000002"/>
    <n v="0.55905227673527913"/>
  </r>
  <r>
    <s v="ORD-2024-719055"/>
    <d v="2024-01-02T00:00:00"/>
    <x v="9"/>
    <s v="Q1-2024"/>
    <d v="2024-01-01T00:00:00"/>
    <s v="Invalid RequiredDate"/>
    <n v="-1"/>
    <d v="2024-01-28T00:00:00"/>
    <x v="2"/>
    <s v="Americas → USA → Chicago"/>
    <x v="160"/>
    <x v="10"/>
    <s v="Chicago"/>
    <s v="Education"/>
    <x v="2"/>
    <x v="5"/>
    <x v="2"/>
    <x v="321"/>
    <n v="404.77"/>
    <n v="433.88"/>
    <s v="Valid"/>
    <n v="433.88"/>
    <s v="Low"/>
    <n v="0.215"/>
    <s v="Valid"/>
    <n v="0.215"/>
    <n v="22"/>
    <n v="7493.1076000000012"/>
    <n v="8904.9399999999987"/>
    <n v="-1411.8323999999975"/>
    <n v="-0.18841747314558746"/>
  </r>
  <r>
    <s v="ORD-2023-888245"/>
    <d v="2023-02-28T00:00:00"/>
    <x v="2"/>
    <s v="Q1-2023"/>
    <d v="2023-02-27T00:00:00"/>
    <s v="Invalid RequiredDate"/>
    <n v="-1"/>
    <d v="2023-03-26T00:00:00"/>
    <x v="3"/>
    <s v="Europe → France → Marseille"/>
    <x v="218"/>
    <x v="7"/>
    <s v="Marseille"/>
    <s v="Corporate"/>
    <x v="0"/>
    <x v="11"/>
    <x v="2"/>
    <x v="322"/>
    <n v="1299.81"/>
    <n v="3149.13"/>
    <s v="Valid"/>
    <n v="3149.13"/>
    <s v="High"/>
    <n v="0.10299999999999999"/>
    <s v="Valid"/>
    <n v="0.10299999999999999"/>
    <n v="14"/>
    <n v="39546.774539999999"/>
    <n v="18197.34"/>
    <n v="21349.434539999998"/>
    <n v="0.53985273864511729"/>
  </r>
  <r>
    <s v="ORD-2024-206121"/>
    <d v="2024-02-18T00:00:00"/>
    <x v="31"/>
    <s v="Q1-2024"/>
    <d v="2024-03-11T00:00:00"/>
    <s v="Valid"/>
    <n v="22"/>
    <d v="2024-03-11T00:00:00"/>
    <x v="2"/>
    <s v="Americas → Brazil → São Paulo"/>
    <x v="219"/>
    <x v="5"/>
    <s v="São Paulo"/>
    <s v="Consumer"/>
    <x v="1"/>
    <x v="8"/>
    <x v="0"/>
    <x v="323"/>
    <n v="80.48"/>
    <n v="65.650000000000006"/>
    <s v="Valid"/>
    <n v="65.650000000000006"/>
    <s v="Low"/>
    <n v="0.17599999999999999"/>
    <s v="Valid"/>
    <n v="0.17599999999999999"/>
    <n v="13"/>
    <n v="703.2428000000001"/>
    <n v="1046.24"/>
    <n v="-342.99719999999991"/>
    <n v="-0.48773652570634191"/>
  </r>
  <r>
    <s v="ORD-2024-500890"/>
    <d v="2024-09-09T00:00:00"/>
    <x v="29"/>
    <s v="Q3-2024"/>
    <d v="2024-10-08T00:00:00"/>
    <s v="Valid"/>
    <n v="29"/>
    <d v="2024-10-08T00:00:00"/>
    <x v="2"/>
    <s v="Americas → Brazil → São Paulo"/>
    <x v="157"/>
    <x v="5"/>
    <s v="São Paulo"/>
    <s v="Education"/>
    <x v="4"/>
    <x v="1"/>
    <x v="0"/>
    <x v="324"/>
    <n v="1010.33"/>
    <n v="2492.14"/>
    <s v="Valid"/>
    <n v="2492.14"/>
    <s v="High"/>
    <n v="5.0999999999999997E-2"/>
    <s v="Valid"/>
    <n v="5.0999999999999997E-2"/>
    <n v="11"/>
    <n v="26015.449459999996"/>
    <n v="11113.630000000001"/>
    <n v="14901.819459999995"/>
    <n v="0.57280653493656752"/>
  </r>
  <r>
    <s v="ORD-2023-144816"/>
    <d v="2023-05-07T00:00:00"/>
    <x v="15"/>
    <s v="Q2-2023"/>
    <d v="2023-05-29T00:00:00"/>
    <s v="Valid"/>
    <n v="22"/>
    <d v="2023-05-29T00:00:00"/>
    <x v="0"/>
    <s v="Africa → South Africa → Durban"/>
    <x v="66"/>
    <x v="11"/>
    <s v="Durban"/>
    <s v="Education"/>
    <x v="3"/>
    <x v="11"/>
    <x v="6"/>
    <x v="325"/>
    <n v="653.86"/>
    <n v="931.84"/>
    <s v="Valid"/>
    <n v="931.84"/>
    <s v="Medium"/>
    <n v="0.121"/>
    <s v="Valid"/>
    <n v="0.121"/>
    <n v="12"/>
    <n v="9829.0483199999999"/>
    <n v="7846.32"/>
    <n v="1982.7283200000002"/>
    <n v="0.20172129136506273"/>
  </r>
  <r>
    <s v="ORD-2024-153053"/>
    <d v="2024-01-12T00:00:00"/>
    <x v="9"/>
    <s v="Q1-2024"/>
    <d v="2024-01-29T00:00:00"/>
    <s v="Valid"/>
    <n v="17"/>
    <d v="2024-01-29T00:00:00"/>
    <x v="1"/>
    <s v="Asia → India → Hyderabad"/>
    <x v="77"/>
    <x v="4"/>
    <s v="Hyderabad"/>
    <s v="Small Business"/>
    <x v="4"/>
    <x v="5"/>
    <x v="0"/>
    <x v="326"/>
    <n v="310.02"/>
    <n v="619.51"/>
    <s v="Valid"/>
    <n v="619.51"/>
    <s v="Medium"/>
    <n v="4.2000000000000003E-2"/>
    <s v="Valid"/>
    <n v="4.2000000000000003E-2"/>
    <n v="4"/>
    <n v="2373.9623200000001"/>
    <n v="1240.08"/>
    <n v="1133.8823200000002"/>
    <n v="0.47763282106347843"/>
  </r>
  <r>
    <s v="ORD-2023-536542"/>
    <d v="2023-06-10T00:00:00"/>
    <x v="23"/>
    <s v="Q2-2023"/>
    <d v="2023-06-18T00:00:00"/>
    <s v="Valid"/>
    <n v="8"/>
    <d v="2023-06-18T00:00:00"/>
    <x v="0"/>
    <s v="Africa → Kenya → Nakuru"/>
    <x v="220"/>
    <x v="0"/>
    <s v="Nakuru"/>
    <s v="Enterprise"/>
    <x v="4"/>
    <x v="10"/>
    <x v="3"/>
    <x v="327"/>
    <n v="894.23"/>
    <n v="1421.55"/>
    <s v="Valid"/>
    <n v="1421.55"/>
    <s v="Medium"/>
    <n v="0.109"/>
    <s v="Valid"/>
    <n v="0.109"/>
    <n v="3"/>
    <n v="3799.8031499999997"/>
    <n v="2682.69"/>
    <n v="1117.1131499999997"/>
    <n v="0.29399237431549574"/>
  </r>
  <r>
    <s v="ORD-2025-779530"/>
    <d v="2025-05-19T00:00:00"/>
    <x v="8"/>
    <s v="Q2-2025"/>
    <d v="2025-05-17T00:00:00"/>
    <s v="Invalid RequiredDate"/>
    <n v="-2"/>
    <d v="2025-06-14T00:00:00"/>
    <x v="2"/>
    <s v="Americas → Brazil → São Paulo"/>
    <x v="9"/>
    <x v="5"/>
    <s v="São Paulo"/>
    <s v="Small Business"/>
    <x v="3"/>
    <x v="4"/>
    <x v="5"/>
    <x v="328"/>
    <n v="383.77"/>
    <n v="952.56"/>
    <s v="Valid"/>
    <n v="952.56"/>
    <s v="Medium"/>
    <n v="0.34599999999999997"/>
    <s v="High Discount"/>
    <n v="0.3"/>
    <n v="10"/>
    <n v="6667.9199999999983"/>
    <n v="3837.7"/>
    <n v="2830.2199999999984"/>
    <n v="0.42445320279787385"/>
  </r>
  <r>
    <s v="ORD-2023-163610"/>
    <d v="2023-10-22T00:00:00"/>
    <x v="32"/>
    <s v="Q4-2023"/>
    <d v="2023-11-16T00:00:00"/>
    <s v="Valid"/>
    <n v="25"/>
    <d v="2023-11-16T00:00:00"/>
    <x v="2"/>
    <s v="Americas → Canada → Toronto"/>
    <x v="221"/>
    <x v="3"/>
    <s v="Toronto"/>
    <s v="Small Business"/>
    <x v="2"/>
    <x v="2"/>
    <x v="4"/>
    <x v="329"/>
    <n v="1373.31"/>
    <n v="3154.14"/>
    <s v="Valid"/>
    <n v="3154.14"/>
    <s v="High"/>
    <n v="0.2"/>
    <s v="Valid"/>
    <n v="0.2"/>
    <n v="11"/>
    <n v="27756.432000000001"/>
    <n v="15106.41"/>
    <n v="12650.022000000001"/>
    <n v="0.45575101295440279"/>
  </r>
  <r>
    <s v="ORD-2025-653781"/>
    <d v="2025-01-11T00:00:00"/>
    <x v="10"/>
    <s v="Q1-2025"/>
    <d v="2025-01-23T00:00:00"/>
    <s v="Valid"/>
    <n v="12"/>
    <d v="2025-01-23T00:00:00"/>
    <x v="2"/>
    <s v="Americas → USA → Austin"/>
    <x v="99"/>
    <x v="10"/>
    <s v="Austin"/>
    <s v="Consumer"/>
    <x v="3"/>
    <x v="10"/>
    <x v="3"/>
    <x v="330"/>
    <n v="100.69"/>
    <n v="226.14"/>
    <s v="Valid"/>
    <n v="226.14"/>
    <s v="Low"/>
    <n v="6.5000000000000002E-2"/>
    <s v="Valid"/>
    <n v="6.5000000000000002E-2"/>
    <n v="12"/>
    <n v="2537.2908000000002"/>
    <n v="1208.28"/>
    <n v="1329.0108000000002"/>
    <n v="0.52379128162999689"/>
  </r>
  <r>
    <s v="ORD-2025-737787"/>
    <d v="2025-09-14T00:00:00"/>
    <x v="11"/>
    <s v="Q3-2025"/>
    <d v="2025-09-26T00:00:00"/>
    <s v="Valid"/>
    <n v="12"/>
    <d v="2025-09-26T00:00:00"/>
    <x v="3"/>
    <s v="Europe → United Kingdom → London"/>
    <x v="222"/>
    <x v="8"/>
    <s v="London"/>
    <s v="Small Business"/>
    <x v="4"/>
    <x v="13"/>
    <x v="2"/>
    <x v="331"/>
    <n v="425.15"/>
    <n v="885.92"/>
    <s v="Valid"/>
    <n v="885.92"/>
    <s v="Medium"/>
    <n v="0.23899999999999999"/>
    <s v="Valid"/>
    <n v="0.23899999999999999"/>
    <n v="13"/>
    <n v="8764.4065599999994"/>
    <n v="5526.95"/>
    <n v="3237.4565599999996"/>
    <n v="0.3693868532725848"/>
  </r>
  <r>
    <s v="ORD-2023-944052"/>
    <d v="2023-08-30T00:00:00"/>
    <x v="25"/>
    <s v="Q3-2023"/>
    <d v="2023-09-03T00:00:00"/>
    <s v="Valid"/>
    <n v="4"/>
    <d v="2023-09-03T00:00:00"/>
    <x v="1"/>
    <s v="Asia → India → Delhi"/>
    <x v="223"/>
    <x v="4"/>
    <s v="Delhi"/>
    <s v="Small Business"/>
    <x v="2"/>
    <x v="4"/>
    <x v="6"/>
    <x v="332"/>
    <n v="1082.25"/>
    <n v="2433.34"/>
    <s v="Valid"/>
    <n v="2433.34"/>
    <s v="High"/>
    <n v="0.27"/>
    <s v="Valid"/>
    <n v="0.27"/>
    <n v="4"/>
    <n v="7105.3528000000006"/>
    <n v="4329"/>
    <n v="2776.3528000000006"/>
    <n v="0.3907410199251472"/>
  </r>
  <r>
    <s v="ORD-2023-181257"/>
    <d v="2023-11-15T00:00:00"/>
    <x v="30"/>
    <s v="Q4-2023"/>
    <d v="2023-12-06T00:00:00"/>
    <s v="Valid"/>
    <n v="21"/>
    <d v="2023-12-06T00:00:00"/>
    <x v="3"/>
    <s v="Europe → United Kingdom → Manchester"/>
    <x v="224"/>
    <x v="8"/>
    <s v="Manchester"/>
    <s v="Education"/>
    <x v="4"/>
    <x v="10"/>
    <x v="6"/>
    <x v="333"/>
    <n v="1184.99"/>
    <n v="1154.3399999999999"/>
    <s v="Valid"/>
    <n v="1154.3399999999999"/>
    <s v="Medium"/>
    <n v="2.8000000000000001E-2"/>
    <s v="Valid"/>
    <n v="2.8000000000000001E-2"/>
    <n v="5"/>
    <n v="5610.0923999999995"/>
    <n v="5924.95"/>
    <n v="-314.85760000000028"/>
    <n v="-5.6123424990290764E-2"/>
  </r>
  <r>
    <s v="ORD-2025-323492"/>
    <d v="2025-04-27T00:00:00"/>
    <x v="19"/>
    <s v="Q2-2025"/>
    <d v="2025-05-27T00:00:00"/>
    <s v="Valid"/>
    <n v="30"/>
    <d v="2025-05-27T00:00:00"/>
    <x v="1"/>
    <s v="Asia → India → unknown"/>
    <x v="225"/>
    <x v="4"/>
    <s v="unknown"/>
    <s v="Enterprise"/>
    <x v="2"/>
    <x v="10"/>
    <x v="3"/>
    <x v="334"/>
    <n v="481.32"/>
    <n v="1135.99"/>
    <s v="Valid"/>
    <n v="1135.99"/>
    <s v="Medium"/>
    <n v="0.14499999999999999"/>
    <s v="Valid"/>
    <n v="0.14499999999999999"/>
    <n v="5"/>
    <n v="4856.35725"/>
    <n v="2406.6"/>
    <n v="2449.7572500000001"/>
    <n v="0.50444337677175621"/>
  </r>
  <r>
    <s v="ORD-2024-332076"/>
    <d v="2024-04-09T00:00:00"/>
    <x v="20"/>
    <s v="Q2-2024"/>
    <d v="2024-04-18T00:00:00"/>
    <s v="Valid"/>
    <n v="9"/>
    <d v="2024-04-18T00:00:00"/>
    <x v="3"/>
    <s v="Europe → France → Lyon"/>
    <x v="226"/>
    <x v="7"/>
    <s v="Lyon"/>
    <s v="Consumer"/>
    <x v="1"/>
    <x v="6"/>
    <x v="1"/>
    <x v="335"/>
    <n v="1288.8499999999999"/>
    <n v="2751.84"/>
    <s v="Valid"/>
    <n v="2751.84"/>
    <s v="High"/>
    <n v="0.158"/>
    <s v="Valid"/>
    <n v="0.158"/>
    <n v="7"/>
    <n v="16219.34496"/>
    <n v="9021.9499999999989"/>
    <n v="7197.3949600000014"/>
    <n v="0.44375373837538756"/>
  </r>
  <r>
    <s v="ORD-2024-571797"/>
    <d v="2024-07-11T00:00:00"/>
    <x v="14"/>
    <s v="Q3-2024"/>
    <d v="2024-07-31T00:00:00"/>
    <s v="Valid"/>
    <n v="20"/>
    <d v="2024-07-31T00:00:00"/>
    <x v="1"/>
    <s v="Asia → China → Shenzhen"/>
    <x v="227"/>
    <x v="9"/>
    <s v="Shenzhen"/>
    <s v="Consumer"/>
    <x v="1"/>
    <x v="3"/>
    <x v="3"/>
    <x v="336"/>
    <n v="647.26"/>
    <n v="1374.72"/>
    <s v="Valid"/>
    <n v="1374.72"/>
    <s v="Medium"/>
    <n v="6.6000000000000003E-2"/>
    <s v="Valid"/>
    <n v="6.6000000000000003E-2"/>
    <n v="22"/>
    <n v="28247.74656"/>
    <n v="14239.72"/>
    <n v="14008.02656"/>
    <n v="0.49589890401508901"/>
  </r>
  <r>
    <s v="ORD-2024-129345"/>
    <d v="2024-02-18T00:00:00"/>
    <x v="31"/>
    <s v="Q1-2024"/>
    <d v="2024-03-03T00:00:00"/>
    <s v="Valid"/>
    <n v="14"/>
    <d v="2024-03-03T00:00:00"/>
    <x v="2"/>
    <s v="Americas → Brazil → unknown"/>
    <x v="219"/>
    <x v="5"/>
    <s v="unknown"/>
    <s v="Enterprise"/>
    <x v="3"/>
    <x v="8"/>
    <x v="1"/>
    <x v="337"/>
    <n v="624.23"/>
    <n v="1318.37"/>
    <s v="Valid"/>
    <n v="1318.37"/>
    <s v="Medium"/>
    <n v="0.21"/>
    <s v="Valid"/>
    <n v="0.21"/>
    <n v="37"/>
    <n v="38535.955099999999"/>
    <n v="23096.510000000002"/>
    <n v="15439.445099999997"/>
    <n v="0.40065038118128793"/>
  </r>
  <r>
    <s v="ORD-2023-660608"/>
    <d v="2023-07-25T00:00:00"/>
    <x v="24"/>
    <s v="Q3-2023"/>
    <d v="2023-08-10T00:00:00"/>
    <s v="Valid"/>
    <n v="16"/>
    <d v="2023-08-10T00:00:00"/>
    <x v="0"/>
    <s v="Africa → Nigeria → Port Harcourt"/>
    <x v="228"/>
    <x v="1"/>
    <s v="Port Harcourt"/>
    <s v="Corporate"/>
    <x v="3"/>
    <x v="2"/>
    <x v="6"/>
    <x v="338"/>
    <n v="506.83"/>
    <n v="441.74"/>
    <s v="Valid"/>
    <n v="441.74"/>
    <s v="Low"/>
    <n v="0.24"/>
    <s v="Valid"/>
    <n v="0.24"/>
    <n v="9"/>
    <n v="3021.5016000000001"/>
    <n v="4561.47"/>
    <n v="-1539.9684000000002"/>
    <n v="-0.50966989393618067"/>
  </r>
  <r>
    <s v="ORD-2023-825084"/>
    <d v="2023-07-14T00:00:00"/>
    <x v="24"/>
    <s v="Q3-2023"/>
    <d v="2023-07-21T00:00:00"/>
    <s v="Valid"/>
    <n v="7"/>
    <d v="2023-07-21T00:00:00"/>
    <x v="0"/>
    <s v="Africa → South Africa → Durban"/>
    <x v="126"/>
    <x v="11"/>
    <s v="Durban"/>
    <s v="Enterprise"/>
    <x v="2"/>
    <x v="15"/>
    <x v="5"/>
    <x v="339"/>
    <n v="620.74"/>
    <n v="1330.07"/>
    <s v="Valid"/>
    <n v="1330.07"/>
    <s v="Medium"/>
    <n v="0.29899999999999999"/>
    <s v="Valid"/>
    <n v="0.29899999999999999"/>
    <n v="28"/>
    <n v="26106.613960000002"/>
    <n v="17380.72"/>
    <n v="8725.8939600000012"/>
    <n v="0.33424073965967516"/>
  </r>
  <r>
    <s v="ORD-2023-261081"/>
    <d v="2023-07-24T00:00:00"/>
    <x v="24"/>
    <s v="Q3-2023"/>
    <d v="2023-08-19T00:00:00"/>
    <s v="Valid"/>
    <n v="26"/>
    <d v="2023-08-19T00:00:00"/>
    <x v="0"/>
    <s v="Africa → Kenya → Nairobi"/>
    <x v="229"/>
    <x v="0"/>
    <s v="Nairobi"/>
    <s v="Enterprise"/>
    <x v="3"/>
    <x v="12"/>
    <x v="6"/>
    <x v="340"/>
    <n v="661.45"/>
    <n v="1634.86"/>
    <s v="Valid"/>
    <n v="1634.86"/>
    <s v="Medium"/>
    <n v="0.56499999999999995"/>
    <s v="High Discount"/>
    <n v="0.3"/>
    <n v="24"/>
    <n v="27465.647999999997"/>
    <n v="15874.800000000001"/>
    <n v="11590.847999999996"/>
    <n v="0.42201254454291404"/>
  </r>
  <r>
    <s v="ORD-2023-766015"/>
    <d v="2023-04-13T00:00:00"/>
    <x v="12"/>
    <s v="Q2-2023"/>
    <d v="2023-04-11T00:00:00"/>
    <s v="Invalid RequiredDate"/>
    <n v="-2"/>
    <d v="2023-05-09T00:00:00"/>
    <x v="2"/>
    <s v="Americas → USA → San Francisco"/>
    <x v="230"/>
    <x v="10"/>
    <s v="San Francisco"/>
    <s v="Education"/>
    <x v="2"/>
    <x v="3"/>
    <x v="2"/>
    <x v="341"/>
    <n v="32.1"/>
    <n v="70.599999999999994"/>
    <s v="Valid"/>
    <n v="70.599999999999994"/>
    <s v="Low"/>
    <n v="0.28199999999999997"/>
    <s v="Valid"/>
    <n v="0.28199999999999997"/>
    <n v="22"/>
    <n v="1115.1975999999997"/>
    <n v="706.2"/>
    <n v="408.99759999999969"/>
    <n v="0.36674899587301818"/>
  </r>
  <r>
    <s v="ORD-2024-333192"/>
    <d v="2024-10-29T00:00:00"/>
    <x v="1"/>
    <s v="Q4-2024"/>
    <d v="2024-11-04T00:00:00"/>
    <s v="Valid"/>
    <n v="6"/>
    <d v="2024-11-04T00:00:00"/>
    <x v="0"/>
    <s v="Africa → Kenya → Nairobi"/>
    <x v="39"/>
    <x v="0"/>
    <s v="Nairobi"/>
    <s v="Corporate"/>
    <x v="3"/>
    <x v="12"/>
    <x v="1"/>
    <x v="342"/>
    <n v="805.81"/>
    <n v="1823.04"/>
    <s v="Valid"/>
    <n v="1823.04"/>
    <s v="Medium"/>
    <n v="0"/>
    <s v="Valid"/>
    <n v="0"/>
    <n v="11"/>
    <n v="20053.439999999999"/>
    <n v="8863.91"/>
    <n v="11189.529999999999"/>
    <n v="0.55798556257679477"/>
  </r>
  <r>
    <s v="ORD-2024-647473"/>
    <d v="2024-02-17T00:00:00"/>
    <x v="31"/>
    <s v="Q1-2024"/>
    <d v="2024-03-04T00:00:00"/>
    <s v="Valid"/>
    <n v="16"/>
    <d v="2024-03-04T00:00:00"/>
    <x v="1"/>
    <s v="Asia → India → Delhi"/>
    <x v="231"/>
    <x v="4"/>
    <s v="Delhi"/>
    <s v="Small Business"/>
    <x v="2"/>
    <x v="9"/>
    <x v="3"/>
    <x v="343"/>
    <n v="1231.8"/>
    <n v="2015.99"/>
    <s v="Valid"/>
    <n v="2015.99"/>
    <s v="High"/>
    <n v="0.26100000000000001"/>
    <s v="Valid"/>
    <n v="0.26100000000000001"/>
    <n v="6"/>
    <n v="8938.8996600000009"/>
    <n v="7390.7999999999993"/>
    <n v="1548.0996600000017"/>
    <n v="0.17318682599464391"/>
  </r>
  <r>
    <s v="ORD-2024-892908"/>
    <d v="2024-07-13T00:00:00"/>
    <x v="14"/>
    <s v="Q3-2024"/>
    <d v="2024-07-12T00:00:00"/>
    <s v="Invalid RequiredDate"/>
    <n v="-1"/>
    <d v="2024-08-08T00:00:00"/>
    <x v="1"/>
    <s v="Asia → Japan → Nagoya"/>
    <x v="141"/>
    <x v="2"/>
    <s v="Nagoya"/>
    <s v="Small Business"/>
    <x v="2"/>
    <x v="9"/>
    <x v="2"/>
    <x v="344"/>
    <n v="105.13"/>
    <n v="244.13"/>
    <s v="Valid"/>
    <n v="244.13"/>
    <s v="Low"/>
    <n v="7.0999999999999994E-2"/>
    <s v="Valid"/>
    <n v="7.0999999999999994E-2"/>
    <n v="14"/>
    <n v="3175.1547799999998"/>
    <n v="1471.82"/>
    <n v="1703.3347799999999"/>
    <n v="0.53645724319618837"/>
  </r>
  <r>
    <s v="ORD-2023-573146"/>
    <d v="2023-12-01T00:00:00"/>
    <x v="4"/>
    <s v="Q4-2023"/>
    <d v="2023-12-18T00:00:00"/>
    <s v="Valid"/>
    <n v="17"/>
    <d v="2023-12-18T00:00:00"/>
    <x v="1"/>
    <s v="Asia → Japan → Nagoya"/>
    <x v="4"/>
    <x v="2"/>
    <s v="Nagoya"/>
    <s v="Small Business"/>
    <x v="4"/>
    <x v="13"/>
    <x v="4"/>
    <x v="345"/>
    <n v="1495.79"/>
    <n v="2783.12"/>
    <s v="Valid"/>
    <n v="2783.12"/>
    <s v="High"/>
    <n v="0.02"/>
    <s v="Valid"/>
    <n v="0.02"/>
    <n v="5"/>
    <n v="13637.287999999999"/>
    <n v="7478.95"/>
    <n v="6158.3379999999988"/>
    <n v="0.45158084217331185"/>
  </r>
  <r>
    <s v="ORD-2024-901115"/>
    <d v="2024-07-25T00:00:00"/>
    <x v="14"/>
    <s v="Q3-2024"/>
    <d v="2024-08-02T00:00:00"/>
    <s v="Valid"/>
    <n v="8"/>
    <d v="2024-08-02T00:00:00"/>
    <x v="2"/>
    <s v="Americas → Canada → Montreal"/>
    <x v="232"/>
    <x v="3"/>
    <s v="Montreal"/>
    <s v="Consumer"/>
    <x v="4"/>
    <x v="1"/>
    <x v="6"/>
    <x v="346"/>
    <n v="986.81"/>
    <n v="2050.31"/>
    <s v="Valid"/>
    <n v="2050.31"/>
    <s v="High"/>
    <n v="0.10299999999999999"/>
    <s v="Valid"/>
    <n v="0.10299999999999999"/>
    <n v="43"/>
    <n v="79082.507010000001"/>
    <n v="42432.829999999994"/>
    <n v="36649.677010000007"/>
    <n v="0.46343595310358138"/>
  </r>
  <r>
    <s v="ORD-2023-898009"/>
    <d v="2023-05-04T00:00:00"/>
    <x v="15"/>
    <s v="Q2-2023"/>
    <d v="2023-05-16T00:00:00"/>
    <s v="Valid"/>
    <n v="12"/>
    <d v="2023-05-16T00:00:00"/>
    <x v="0"/>
    <s v="Africa → Nigeria → Abuja"/>
    <x v="195"/>
    <x v="1"/>
    <s v="Abuja"/>
    <s v="Small Business"/>
    <x v="2"/>
    <x v="1"/>
    <x v="3"/>
    <x v="347"/>
    <n v="77.739999999999995"/>
    <n v="147.12"/>
    <s v="Valid"/>
    <n v="147.12"/>
    <s v="Low"/>
    <n v="0"/>
    <s v="Valid"/>
    <n v="0"/>
    <n v="15"/>
    <n v="2206.8000000000002"/>
    <n v="1166.0999999999999"/>
    <n v="1040.7000000000003"/>
    <n v="0.47158781946710177"/>
  </r>
  <r>
    <s v="ORD-2023-208944"/>
    <d v="2023-12-21T00:00:00"/>
    <x v="4"/>
    <s v="Q4-2023"/>
    <d v="2024-01-06T00:00:00"/>
    <s v="Valid"/>
    <n v="16"/>
    <d v="2024-01-06T00:00:00"/>
    <x v="0"/>
    <s v="Africa → Nigeria → unknown"/>
    <x v="233"/>
    <x v="1"/>
    <s v="unknown"/>
    <s v="Corporate"/>
    <x v="2"/>
    <x v="11"/>
    <x v="0"/>
    <x v="348"/>
    <n v="932.61"/>
    <n v="1982.98"/>
    <s v="Valid"/>
    <n v="1982.98"/>
    <s v="High"/>
    <n v="0.14399999999999999"/>
    <s v="Valid"/>
    <n v="0.14399999999999999"/>
    <n v="16"/>
    <n v="27158.894079999998"/>
    <n v="14921.76"/>
    <n v="12237.134079999998"/>
    <n v="0.45057556629345635"/>
  </r>
  <r>
    <s v="ORD-2025-480172"/>
    <d v="2025-06-17T00:00:00"/>
    <x v="16"/>
    <s v="Q2-2025"/>
    <d v="2025-07-05T00:00:00"/>
    <s v="Valid"/>
    <n v="18"/>
    <d v="2025-07-05T00:00:00"/>
    <x v="1"/>
    <s v="Asia → India → Delhi"/>
    <x v="80"/>
    <x v="4"/>
    <s v="Delhi"/>
    <s v="Consumer"/>
    <x v="2"/>
    <x v="4"/>
    <x v="4"/>
    <x v="349"/>
    <n v="982.93"/>
    <n v="2299.3000000000002"/>
    <s v="Valid"/>
    <n v="2299.3000000000002"/>
    <s v="High"/>
    <n v="0.113"/>
    <s v="Valid"/>
    <n v="0.113"/>
    <n v="6"/>
    <n v="12236.874600000001"/>
    <n v="5897.58"/>
    <n v="6339.2946000000011"/>
    <n v="0.51804850562087157"/>
  </r>
  <r>
    <s v="ORD-2023-735274"/>
    <d v="2023-02-23T00:00:00"/>
    <x v="2"/>
    <s v="Q1-2023"/>
    <d v="2023-03-08T00:00:00"/>
    <s v="Valid"/>
    <n v="13"/>
    <d v="2023-03-08T00:00:00"/>
    <x v="3"/>
    <s v="Europe → United Kingdom → Manchester"/>
    <x v="234"/>
    <x v="8"/>
    <s v="Manchester"/>
    <s v="Small Business"/>
    <x v="4"/>
    <x v="0"/>
    <x v="1"/>
    <x v="350"/>
    <n v="307.37"/>
    <n v="462.61"/>
    <s v="Valid"/>
    <n v="462.61"/>
    <s v="Low"/>
    <n v="0.188"/>
    <s v="Valid"/>
    <n v="0.188"/>
    <n v="11"/>
    <n v="4132.0325200000007"/>
    <n v="3381.07"/>
    <n v="750.9625200000005"/>
    <n v="0.18174167709599739"/>
  </r>
  <r>
    <s v="ORD-2023-212701"/>
    <d v="2023-12-02T00:00:00"/>
    <x v="4"/>
    <s v="Q4-2023"/>
    <d v="2023-12-16T00:00:00"/>
    <s v="Valid"/>
    <n v="14"/>
    <d v="2023-12-16T00:00:00"/>
    <x v="3"/>
    <s v="Europe → Germany → Frankfurt"/>
    <x v="235"/>
    <x v="6"/>
    <s v="Frankfurt"/>
    <s v="Education"/>
    <x v="4"/>
    <x v="13"/>
    <x v="5"/>
    <x v="351"/>
    <n v="879.08"/>
    <n v="1093.3900000000001"/>
    <s v="Valid"/>
    <n v="1093.3900000000001"/>
    <s v="Medium"/>
    <n v="0.113"/>
    <s v="Valid"/>
    <n v="0.113"/>
    <n v="17"/>
    <n v="16487.22781"/>
    <n v="14944.36"/>
    <n v="1542.8678099999997"/>
    <n v="9.3579577341935186E-2"/>
  </r>
  <r>
    <s v="ORD-2023-479747"/>
    <d v="2023-07-14T00:00:00"/>
    <x v="24"/>
    <s v="Q3-2023"/>
    <d v="2023-07-14T00:00:00"/>
    <s v="Valid"/>
    <n v="0"/>
    <d v="2023-07-14T00:00:00"/>
    <x v="0"/>
    <s v="Africa → Nigeria → Lagos"/>
    <x v="228"/>
    <x v="1"/>
    <s v="Lagos"/>
    <s v="Education"/>
    <x v="0"/>
    <x v="2"/>
    <x v="6"/>
    <x v="352"/>
    <n v="956.38"/>
    <n v="1454.22"/>
    <s v="Valid"/>
    <n v="1454.22"/>
    <s v="Medium"/>
    <n v="3.9E-2"/>
    <s v="Valid"/>
    <n v="3.9E-2"/>
    <n v="19"/>
    <n v="26552.60298"/>
    <n v="18171.22"/>
    <n v="8381.3829799999985"/>
    <n v="0.31565202802576603"/>
  </r>
  <r>
    <s v="ORD-2024-915495"/>
    <d v="2024-08-08T00:00:00"/>
    <x v="21"/>
    <s v="Q3-2024"/>
    <d v="2024-08-20T00:00:00"/>
    <s v="Valid"/>
    <n v="12"/>
    <d v="2024-08-20T00:00:00"/>
    <x v="1"/>
    <s v="Asia → Japan → Osaka"/>
    <x v="129"/>
    <x v="2"/>
    <s v="Osaka"/>
    <s v="Small Business"/>
    <x v="0"/>
    <x v="10"/>
    <x v="2"/>
    <x v="353"/>
    <n v="1233.3599999999999"/>
    <n v="2120.4"/>
    <s v="Valid"/>
    <n v="2120.4"/>
    <s v="High"/>
    <n v="0.17899999999999999"/>
    <s v="Valid"/>
    <n v="0.17899999999999999"/>
    <n v="20"/>
    <n v="34816.968000000001"/>
    <n v="24667.199999999997"/>
    <n v="10149.768000000004"/>
    <n v="0.29151785991244278"/>
  </r>
  <r>
    <s v="ORD-2024-225829"/>
    <d v="2024-11-07T00:00:00"/>
    <x v="18"/>
    <s v="Q4-2024"/>
    <d v="2024-11-26T00:00:00"/>
    <s v="Valid"/>
    <n v="19"/>
    <d v="2024-11-26T00:00:00"/>
    <x v="2"/>
    <s v="Americas → Brazil → Rio de Janeiro"/>
    <x v="108"/>
    <x v="5"/>
    <s v="Rio de Janeiro"/>
    <s v="Non-Profit"/>
    <x v="3"/>
    <x v="1"/>
    <x v="1"/>
    <x v="354"/>
    <n v="55.35"/>
    <n v="128.68"/>
    <s v="Valid"/>
    <n v="128.68"/>
    <s v="Low"/>
    <n v="0.128"/>
    <s v="Valid"/>
    <n v="0.128"/>
    <n v="10"/>
    <n v="1122.0896000000002"/>
    <n v="553.5"/>
    <n v="568.58960000000025"/>
    <n v="0.50672388372550647"/>
  </r>
  <r>
    <s v="ORD-2024-921935"/>
    <d v="2024-01-01T00:00:00"/>
    <x v="9"/>
    <s v="Q1-2024"/>
    <d v="2024-01-27T00:00:00"/>
    <s v="Valid"/>
    <n v="26"/>
    <d v="2024-01-27T00:00:00"/>
    <x v="3"/>
    <s v="Europe → United Kingdom → Manchester"/>
    <x v="236"/>
    <x v="8"/>
    <s v="Manchester"/>
    <s v="Education"/>
    <x v="3"/>
    <x v="14"/>
    <x v="6"/>
    <x v="355"/>
    <n v="657.45"/>
    <n v="1325.96"/>
    <s v="Valid"/>
    <n v="1325.96"/>
    <s v="Medium"/>
    <n v="0.16700000000000001"/>
    <s v="Valid"/>
    <n v="0.16700000000000001"/>
    <n v="21"/>
    <n v="23195.01828"/>
    <n v="13806.45"/>
    <n v="9388.5682799999995"/>
    <n v="0.40476658249048808"/>
  </r>
  <r>
    <s v="ORD-2025-949776"/>
    <d v="2025-08-14T00:00:00"/>
    <x v="28"/>
    <s v="Q3-2025"/>
    <d v="2025-09-11T00:00:00"/>
    <s v="Valid"/>
    <n v="28"/>
    <d v="2025-09-11T00:00:00"/>
    <x v="2"/>
    <s v="Americas → Brazil → São Paulo"/>
    <x v="237"/>
    <x v="5"/>
    <s v="São Paulo"/>
    <s v="Non-Profit"/>
    <x v="4"/>
    <x v="9"/>
    <x v="1"/>
    <x v="356"/>
    <n v="1203.02"/>
    <n v="2439.33"/>
    <s v="Valid"/>
    <n v="2439.33"/>
    <s v="High"/>
    <n v="0"/>
    <s v="Valid"/>
    <n v="0"/>
    <n v="18"/>
    <n v="43907.94"/>
    <n v="21654.36"/>
    <n v="22253.58"/>
    <n v="0.50682359500354612"/>
  </r>
  <r>
    <s v="ORD-2024-510591"/>
    <d v="2024-04-03T00:00:00"/>
    <x v="20"/>
    <s v="Q2-2024"/>
    <d v="2024-04-21T00:00:00"/>
    <s v="Valid"/>
    <n v="18"/>
    <d v="2024-04-21T00:00:00"/>
    <x v="2"/>
    <s v="Americas → Brazil → Brasília"/>
    <x v="136"/>
    <x v="5"/>
    <s v="Brasília"/>
    <s v="Small Business"/>
    <x v="3"/>
    <x v="5"/>
    <x v="2"/>
    <x v="357"/>
    <n v="1176.69"/>
    <n v="2201.54"/>
    <s v="Valid"/>
    <n v="2201.54"/>
    <s v="High"/>
    <n v="0.17"/>
    <s v="Valid"/>
    <n v="0.17"/>
    <n v="27"/>
    <n v="49336.511399999996"/>
    <n v="31770.63"/>
    <n v="17565.881399999995"/>
    <n v="0.35604222717701106"/>
  </r>
  <r>
    <s v="ORD-2024-961756"/>
    <d v="2024-11-25T00:00:00"/>
    <x v="18"/>
    <s v="Q4-2024"/>
    <d v="2024-12-07T00:00:00"/>
    <s v="Valid"/>
    <n v="12"/>
    <d v="2024-12-07T00:00:00"/>
    <x v="1"/>
    <s v="Asia → China → Shanghai"/>
    <x v="238"/>
    <x v="9"/>
    <s v="Shanghai"/>
    <s v="Corporate"/>
    <x v="3"/>
    <x v="8"/>
    <x v="6"/>
    <x v="358"/>
    <n v="769.9"/>
    <n v="814.36"/>
    <s v="Valid"/>
    <n v="814.36"/>
    <s v="Medium"/>
    <n v="0"/>
    <s v="Valid"/>
    <n v="0"/>
    <n v="5"/>
    <n v="4071.8"/>
    <n v="3849.5"/>
    <n v="222.30000000000018"/>
    <n v="5.4595019401738831E-2"/>
  </r>
  <r>
    <s v="ORD-2024-892173"/>
    <d v="2024-01-18T00:00:00"/>
    <x v="9"/>
    <s v="Q1-2024"/>
    <d v="2024-02-03T00:00:00"/>
    <s v="Valid"/>
    <n v="16"/>
    <d v="2024-02-03T00:00:00"/>
    <x v="0"/>
    <s v="Africa → South Africa → Cape Town"/>
    <x v="38"/>
    <x v="11"/>
    <s v="Cape Town"/>
    <s v="Non-Profit"/>
    <x v="3"/>
    <x v="4"/>
    <x v="1"/>
    <x v="359"/>
    <n v="666.23"/>
    <n v="1382.91"/>
    <s v="Valid"/>
    <n v="1382.91"/>
    <s v="Medium"/>
    <n v="0.17599999999999999"/>
    <s v="Valid"/>
    <n v="0.17599999999999999"/>
    <n v="13"/>
    <n v="14813.731920000002"/>
    <n v="8660.99"/>
    <n v="6152.7419200000022"/>
    <n v="0.41534043907553048"/>
  </r>
  <r>
    <s v="ORD-2024-704056"/>
    <d v="2024-06-23T00:00:00"/>
    <x v="17"/>
    <s v="Q2-2024"/>
    <d v="2024-06-25T00:00:00"/>
    <s v="Valid"/>
    <n v="2"/>
    <d v="2024-06-25T00:00:00"/>
    <x v="3"/>
    <s v="Europe → United Kingdom → Birmingham"/>
    <x v="97"/>
    <x v="8"/>
    <s v="Birmingham"/>
    <s v="Small Business"/>
    <x v="2"/>
    <x v="4"/>
    <x v="6"/>
    <x v="360"/>
    <n v="951.44"/>
    <n v="1646.43"/>
    <s v="Valid"/>
    <n v="1646.43"/>
    <s v="Medium"/>
    <n v="0.11"/>
    <s v="Valid"/>
    <n v="0.11"/>
    <n v="24"/>
    <n v="35167.7448"/>
    <n v="22834.560000000001"/>
    <n v="12333.184799999999"/>
    <n v="0.35069592520473475"/>
  </r>
  <r>
    <s v="ORD-2025-591006"/>
    <d v="2025-06-25T00:00:00"/>
    <x v="16"/>
    <s v="Q2-2025"/>
    <d v="2025-07-10T00:00:00"/>
    <s v="Valid"/>
    <n v="15"/>
    <d v="2025-07-10T00:00:00"/>
    <x v="3"/>
    <s v="Europe → United Kingdom → Birmingham"/>
    <x v="105"/>
    <x v="8"/>
    <s v="Birmingham"/>
    <s v="Non-Profit"/>
    <x v="2"/>
    <x v="14"/>
    <x v="3"/>
    <x v="361"/>
    <n v="546.83000000000004"/>
    <n v="400.84"/>
    <s v="Valid"/>
    <n v="400.84"/>
    <s v="Low"/>
    <n v="7.8E-2"/>
    <s v="Valid"/>
    <n v="7.8E-2"/>
    <n v="13"/>
    <n v="4804.4682400000002"/>
    <n v="7108.7900000000009"/>
    <n v="-2304.3217600000007"/>
    <n v="-0.47962056254533608"/>
  </r>
  <r>
    <s v="ORD-2023-159821"/>
    <d v="2023-07-01T00:00:00"/>
    <x v="24"/>
    <s v="Q3-2023"/>
    <d v="2023-07-08T00:00:00"/>
    <s v="Valid"/>
    <n v="7"/>
    <d v="2023-07-08T00:00:00"/>
    <x v="0"/>
    <s v="Africa → Nigeria → Port Harcourt"/>
    <x v="228"/>
    <x v="1"/>
    <s v="Port Harcourt"/>
    <s v="Corporate"/>
    <x v="0"/>
    <x v="8"/>
    <x v="4"/>
    <x v="362"/>
    <n v="834.26"/>
    <n v="1780.56"/>
    <s v="Valid"/>
    <n v="1780.56"/>
    <s v="Medium"/>
    <n v="1.4E-2"/>
    <s v="Valid"/>
    <n v="1.4E-2"/>
    <n v="47"/>
    <n v="82514.711519999997"/>
    <n v="39210.22"/>
    <n v="43304.491519999996"/>
    <n v="0.5248093427497933"/>
  </r>
  <r>
    <s v="ORD-2024-343877"/>
    <d v="2024-03-09T00:00:00"/>
    <x v="0"/>
    <s v="Q1-2024"/>
    <d v="2024-03-26T00:00:00"/>
    <s v="Valid"/>
    <n v="17"/>
    <d v="2024-03-26T00:00:00"/>
    <x v="1"/>
    <s v="Asia → China → Shenzhen"/>
    <x v="239"/>
    <x v="9"/>
    <s v="Shenzhen"/>
    <s v="Enterprise"/>
    <x v="1"/>
    <x v="11"/>
    <x v="5"/>
    <x v="363"/>
    <n v="1029.67"/>
    <n v="1118.43"/>
    <s v="Valid"/>
    <n v="1118.43"/>
    <s v="Medium"/>
    <n v="0.27200000000000002"/>
    <s v="Valid"/>
    <n v="0.27200000000000002"/>
    <n v="9"/>
    <n v="7327.9533600000004"/>
    <n v="9267.0300000000007"/>
    <n v="-1939.0766400000002"/>
    <n v="-0.26461367106736061"/>
  </r>
  <r>
    <s v="ORD-2023-386663"/>
    <d v="2023-06-05T00:00:00"/>
    <x v="23"/>
    <s v="Q2-2023"/>
    <d v="2023-06-28T00:00:00"/>
    <s v="Valid"/>
    <n v="23"/>
    <d v="2023-06-28T00:00:00"/>
    <x v="3"/>
    <s v="Europe → United Kingdom → Birmingham"/>
    <x v="69"/>
    <x v="8"/>
    <s v="Birmingham"/>
    <s v="Corporate"/>
    <x v="4"/>
    <x v="11"/>
    <x v="1"/>
    <x v="364"/>
    <n v="605.82000000000005"/>
    <n v="771.12"/>
    <s v="Valid"/>
    <n v="771.12"/>
    <s v="Medium"/>
    <n v="0.13200000000000001"/>
    <s v="Valid"/>
    <n v="0.13200000000000001"/>
    <n v="19"/>
    <n v="12717.311040000001"/>
    <n v="11510.580000000002"/>
    <n v="1206.7310399999988"/>
    <n v="9.4888851597986767E-2"/>
  </r>
  <r>
    <s v="ORD-2025-125517"/>
    <d v="2025-03-21T00:00:00"/>
    <x v="3"/>
    <s v="Q1-2025"/>
    <d v="2025-04-09T00:00:00"/>
    <s v="Valid"/>
    <n v="19"/>
    <d v="2025-04-09T00:00:00"/>
    <x v="1"/>
    <s v="Asia → Japan → Tokyo"/>
    <x v="204"/>
    <x v="2"/>
    <s v="Tokyo"/>
    <s v="Small Business"/>
    <x v="3"/>
    <x v="6"/>
    <x v="0"/>
    <x v="365"/>
    <n v="1055.45"/>
    <n v="1210.04"/>
    <s v="Valid"/>
    <n v="1210.04"/>
    <s v="Medium"/>
    <n v="8.9999999999999993E-3"/>
    <s v="Valid"/>
    <n v="8.9999999999999993E-3"/>
    <n v="18"/>
    <n v="21584.693520000001"/>
    <n v="18998.100000000002"/>
    <n v="2586.5935199999985"/>
    <n v="0.1198346188053727"/>
  </r>
  <r>
    <s v="ORD-2024-819778"/>
    <d v="2024-06-02T00:00:00"/>
    <x v="17"/>
    <s v="Q2-2024"/>
    <d v="2024-06-15T00:00:00"/>
    <s v="Valid"/>
    <n v="13"/>
    <d v="2024-06-15T00:00:00"/>
    <x v="0"/>
    <s v="Africa → Kenya → Mombasa"/>
    <x v="95"/>
    <x v="0"/>
    <s v="Mombasa"/>
    <s v="Education"/>
    <x v="1"/>
    <x v="7"/>
    <x v="3"/>
    <x v="366"/>
    <n v="1295.18"/>
    <n v="3024.03"/>
    <s v="Valid"/>
    <n v="3024.03"/>
    <s v="High"/>
    <n v="0.192"/>
    <s v="Valid"/>
    <n v="0.192"/>
    <n v="8"/>
    <n v="19547.329920000004"/>
    <n v="10361.44"/>
    <n v="9185.8899200000033"/>
    <n v="0.46993067378483178"/>
  </r>
  <r>
    <s v="ORD-2025-624006"/>
    <d v="2025-03-15T00:00:00"/>
    <x v="3"/>
    <s v="Q1-2025"/>
    <d v="2025-03-29T00:00:00"/>
    <s v="Valid"/>
    <n v="14"/>
    <d v="2025-03-29T00:00:00"/>
    <x v="1"/>
    <s v="Asia → India → Mumbai"/>
    <x v="240"/>
    <x v="4"/>
    <s v="Mumbai"/>
    <s v="Enterprise"/>
    <x v="4"/>
    <x v="0"/>
    <x v="0"/>
    <x v="367"/>
    <n v="935.83"/>
    <n v="2303.46"/>
    <s v="Valid"/>
    <n v="2303.46"/>
    <s v="High"/>
    <n v="0.105"/>
    <s v="Valid"/>
    <n v="0.105"/>
    <n v="9"/>
    <n v="18554.370299999999"/>
    <n v="8422.4700000000012"/>
    <n v="10131.900299999998"/>
    <n v="0.54606543559174292"/>
  </r>
  <r>
    <s v="ORD-2023-132101"/>
    <d v="2023-09-25T00:00:00"/>
    <x v="27"/>
    <s v="Q3-2023"/>
    <d v="2023-10-09T00:00:00"/>
    <s v="Valid"/>
    <n v="14"/>
    <d v="2023-10-09T00:00:00"/>
    <x v="2"/>
    <s v="Americas → USA → New York"/>
    <x v="172"/>
    <x v="10"/>
    <s v="New York"/>
    <s v="Small Business"/>
    <x v="2"/>
    <x v="1"/>
    <x v="4"/>
    <x v="368"/>
    <n v="1279.56"/>
    <n v="3083.8"/>
    <s v="Valid"/>
    <n v="3083.8"/>
    <s v="High"/>
    <n v="0.106"/>
    <s v="Valid"/>
    <n v="0.106"/>
    <n v="5"/>
    <n v="13784.586000000001"/>
    <n v="6397.7999999999993"/>
    <n v="7386.7860000000019"/>
    <n v="0.53587289455047848"/>
  </r>
  <r>
    <s v="ORD-2025-306903"/>
    <d v="2025-06-24T00:00:00"/>
    <x v="16"/>
    <s v="Q2-2025"/>
    <d v="2025-07-23T00:00:00"/>
    <s v="Valid"/>
    <n v="29"/>
    <d v="2025-07-23T00:00:00"/>
    <x v="2"/>
    <s v="Americas → Canada → Vancouver"/>
    <x v="102"/>
    <x v="3"/>
    <s v="Vancouver"/>
    <s v="Non-Profit"/>
    <x v="2"/>
    <x v="2"/>
    <x v="1"/>
    <x v="369"/>
    <n v="255.4"/>
    <n v="322.70999999999998"/>
    <s v="Valid"/>
    <n v="322.70999999999998"/>
    <s v="Low"/>
    <n v="0.115"/>
    <s v="Valid"/>
    <n v="0.115"/>
    <n v="16"/>
    <n v="4569.5735999999997"/>
    <n v="4086.4"/>
    <n v="483.17359999999962"/>
    <n v="0.10573713048412212"/>
  </r>
  <r>
    <s v="ORD-2023-813340"/>
    <d v="2023-12-26T00:00:00"/>
    <x v="4"/>
    <s v="Q4-2023"/>
    <d v="2024-01-03T00:00:00"/>
    <s v="Valid"/>
    <n v="8"/>
    <d v="2024-01-03T00:00:00"/>
    <x v="3"/>
    <s v="Europe → France → Lyon"/>
    <x v="241"/>
    <x v="7"/>
    <s v="Lyon"/>
    <s v="Small Business"/>
    <x v="0"/>
    <x v="12"/>
    <x v="4"/>
    <x v="370"/>
    <n v="492.75"/>
    <n v="731.29"/>
    <s v="Valid"/>
    <n v="731.29"/>
    <s v="Medium"/>
    <n v="5.8000000000000003E-2"/>
    <s v="Valid"/>
    <n v="5.8000000000000003E-2"/>
    <n v="6"/>
    <n v="4133.25108"/>
    <n v="2956.5"/>
    <n v="1176.75108"/>
    <n v="0.28470350753528384"/>
  </r>
  <r>
    <s v="ORD-2023-855675"/>
    <d v="2023-02-05T00:00:00"/>
    <x v="2"/>
    <s v="Q1-2023"/>
    <d v="2023-02-28T00:00:00"/>
    <s v="Valid"/>
    <n v="23"/>
    <d v="2023-02-28T00:00:00"/>
    <x v="2"/>
    <s v="Americas → USA → Austin"/>
    <x v="143"/>
    <x v="10"/>
    <s v="Austin"/>
    <s v="Non-Profit"/>
    <x v="3"/>
    <x v="4"/>
    <x v="3"/>
    <x v="371"/>
    <n v="1214.49"/>
    <n v="1533.95"/>
    <s v="Valid"/>
    <n v="1533.95"/>
    <s v="Medium"/>
    <n v="0"/>
    <s v="Valid"/>
    <n v="0"/>
    <n v="11"/>
    <n v="16873.45"/>
    <n v="13359.39"/>
    <n v="3514.0600000000013"/>
    <n v="0.20825972163369086"/>
  </r>
  <r>
    <s v="ORD-2023-545150"/>
    <d v="2023-04-06T00:00:00"/>
    <x v="12"/>
    <s v="Q2-2023"/>
    <d v="2023-04-08T00:00:00"/>
    <s v="Valid"/>
    <n v="2"/>
    <d v="2023-04-08T00:00:00"/>
    <x v="0"/>
    <s v="Africa → Nigeria → Abuja"/>
    <x v="242"/>
    <x v="1"/>
    <s v="Abuja"/>
    <s v="Small Business"/>
    <x v="2"/>
    <x v="11"/>
    <x v="5"/>
    <x v="372"/>
    <n v="720.35"/>
    <n v="1571.66"/>
    <s v="Valid"/>
    <n v="1571.66"/>
    <s v="Medium"/>
    <n v="0.107"/>
    <s v="Valid"/>
    <n v="0.107"/>
    <n v="23"/>
    <n v="32280.32474"/>
    <n v="16568.05"/>
    <n v="15712.274740000001"/>
    <n v="0.4867446305622265"/>
  </r>
  <r>
    <s v="ORD-2025-269934"/>
    <d v="2025-04-04T00:00:00"/>
    <x v="19"/>
    <s v="Q2-2025"/>
    <d v="2025-04-10T00:00:00"/>
    <s v="Valid"/>
    <n v="6"/>
    <d v="2025-04-10T00:00:00"/>
    <x v="3"/>
    <s v="Europe → United Kingdom → Birmingham"/>
    <x v="145"/>
    <x v="8"/>
    <s v="Birmingham"/>
    <s v="Non-Profit"/>
    <x v="4"/>
    <x v="13"/>
    <x v="1"/>
    <x v="373"/>
    <n v="290.14"/>
    <n v="250.73"/>
    <s v="Valid"/>
    <n v="250.73"/>
    <s v="Low"/>
    <n v="3.4000000000000002E-2"/>
    <s v="Valid"/>
    <n v="3.4000000000000002E-2"/>
    <n v="17"/>
    <n v="4117.4880599999997"/>
    <n v="4932.38"/>
    <n v="-814.89194000000043"/>
    <n v="-0.19790997038131072"/>
  </r>
  <r>
    <s v="ORD-2024-690270"/>
    <d v="2024-05-17T00:00:00"/>
    <x v="7"/>
    <s v="Q2-2024"/>
    <d v="2024-05-27T00:00:00"/>
    <s v="Valid"/>
    <n v="10"/>
    <d v="2024-05-27T00:00:00"/>
    <x v="2"/>
    <s v="Americas → USA → Austin"/>
    <x v="23"/>
    <x v="10"/>
    <s v="Austin"/>
    <s v="Non-Profit"/>
    <x v="1"/>
    <x v="0"/>
    <x v="3"/>
    <x v="374"/>
    <n v="1484.23"/>
    <n v="3472.81"/>
    <s v="Valid"/>
    <n v="3472.81"/>
    <s v="High"/>
    <n v="0.25600000000000001"/>
    <s v="Valid"/>
    <n v="0.25600000000000001"/>
    <n v="12"/>
    <n v="31005.24768"/>
    <n v="17810.760000000002"/>
    <n v="13194.487679999998"/>
    <n v="0.42555659661803413"/>
  </r>
  <r>
    <s v="ORD-2024-868223"/>
    <d v="2024-03-03T00:00:00"/>
    <x v="0"/>
    <s v="Q1-2024"/>
    <d v="2024-03-19T00:00:00"/>
    <s v="Valid"/>
    <n v="16"/>
    <d v="2024-03-19T00:00:00"/>
    <x v="1"/>
    <s v="Asia → China → Beijing"/>
    <x v="239"/>
    <x v="9"/>
    <s v="Beijing"/>
    <s v="Consumer"/>
    <x v="3"/>
    <x v="3"/>
    <x v="3"/>
    <x v="375"/>
    <n v="988.83"/>
    <n v="1206.04"/>
    <s v="Valid"/>
    <n v="1206.04"/>
    <s v="Medium"/>
    <n v="6.3E-2"/>
    <s v="Valid"/>
    <n v="6.3E-2"/>
    <n v="34"/>
    <n v="38422.022320000004"/>
    <n v="33620.22"/>
    <n v="4801.8023200000025"/>
    <n v="0.12497526236406606"/>
  </r>
  <r>
    <s v="ORD-2025-188059"/>
    <d v="2025-06-27T00:00:00"/>
    <x v="16"/>
    <s v="Q2-2025"/>
    <d v="2025-07-11T00:00:00"/>
    <s v="Valid"/>
    <n v="14"/>
    <d v="2025-07-11T00:00:00"/>
    <x v="1"/>
    <s v="Asia → China → Shanghai"/>
    <x v="34"/>
    <x v="9"/>
    <s v="Shanghai"/>
    <s v="Small Business"/>
    <x v="2"/>
    <x v="4"/>
    <x v="2"/>
    <x v="376"/>
    <n v="1227.7"/>
    <n v="2197.23"/>
    <s v="Valid"/>
    <n v="2197.23"/>
    <s v="High"/>
    <n v="9.9000000000000005E-2"/>
    <s v="Valid"/>
    <n v="9.9000000000000005E-2"/>
    <n v="22"/>
    <n v="43553.493060000001"/>
    <n v="27009.4"/>
    <n v="16544.093059999999"/>
    <n v="0.37985685871873898"/>
  </r>
  <r>
    <s v="ORD-2023-281890"/>
    <d v="2023-03-13T00:00:00"/>
    <x v="22"/>
    <s v="Q1-2023"/>
    <d v="2023-04-04T00:00:00"/>
    <s v="Valid"/>
    <n v="22"/>
    <d v="2023-04-04T00:00:00"/>
    <x v="0"/>
    <s v="Africa → South Africa → Durban"/>
    <x v="178"/>
    <x v="11"/>
    <s v="Durban"/>
    <s v="Small Business"/>
    <x v="0"/>
    <x v="8"/>
    <x v="0"/>
    <x v="377"/>
    <n v="1113.7"/>
    <n v="1620.6"/>
    <s v="Valid"/>
    <n v="1620.6"/>
    <s v="Medium"/>
    <n v="0.13900000000000001"/>
    <s v="Valid"/>
    <n v="0.13900000000000001"/>
    <n v="11"/>
    <n v="15348.702599999999"/>
    <n v="12250.7"/>
    <n v="3098.002599999998"/>
    <n v="0.20184133348182787"/>
  </r>
  <r>
    <s v="ORD-2025-636162"/>
    <d v="2025-01-07T00:00:00"/>
    <x v="10"/>
    <s v="Q1-2025"/>
    <d v="2025-01-20T00:00:00"/>
    <s v="Valid"/>
    <n v="13"/>
    <d v="2025-01-20T00:00:00"/>
    <x v="0"/>
    <s v="Africa → South Africa → Cape Town"/>
    <x v="243"/>
    <x v="11"/>
    <s v="Cape Town"/>
    <s v="Corporate"/>
    <x v="4"/>
    <x v="11"/>
    <x v="2"/>
    <x v="378"/>
    <n v="432.13"/>
    <n v="1034.6600000000001"/>
    <s v="Valid"/>
    <n v="1034.6600000000001"/>
    <s v="Medium"/>
    <n v="9.1999999999999998E-2"/>
    <s v="Valid"/>
    <n v="9.1999999999999998E-2"/>
    <n v="7"/>
    <n v="6576.298960000001"/>
    <n v="3024.91"/>
    <n v="3551.3889600000011"/>
    <n v="0.54002851476204794"/>
  </r>
  <r>
    <s v="ORD-2025-915869"/>
    <d v="2025-02-06T00:00:00"/>
    <x v="26"/>
    <s v="Q1-2025"/>
    <d v="2025-02-15T00:00:00"/>
    <s v="Valid"/>
    <n v="9"/>
    <d v="2025-02-15T00:00:00"/>
    <x v="2"/>
    <s v="Americas → Brazil → São Paulo"/>
    <x v="52"/>
    <x v="5"/>
    <s v="São Paulo"/>
    <s v="Non-Profit"/>
    <x v="3"/>
    <x v="9"/>
    <x v="2"/>
    <x v="379"/>
    <n v="837.39"/>
    <n v="1905.42"/>
    <s v="Valid"/>
    <n v="1905.42"/>
    <s v="Medium"/>
    <n v="3.2000000000000001E-2"/>
    <s v="Valid"/>
    <n v="3.2000000000000001E-2"/>
    <n v="18"/>
    <n v="33200.038079999998"/>
    <n v="15073.02"/>
    <n v="18127.018079999998"/>
    <n v="0.54599389423350919"/>
  </r>
  <r>
    <s v="ORD-2025-192876"/>
    <d v="2025-01-31T00:00:00"/>
    <x v="10"/>
    <s v="Q1-2025"/>
    <d v="2025-02-17T00:00:00"/>
    <s v="Valid"/>
    <n v="17"/>
    <d v="2025-02-17T00:00:00"/>
    <x v="3"/>
    <s v="Europe → United Kingdom → London"/>
    <x v="244"/>
    <x v="8"/>
    <s v="London"/>
    <s v="Enterprise"/>
    <x v="0"/>
    <x v="10"/>
    <x v="0"/>
    <x v="78"/>
    <n v="378.26"/>
    <n v="541.55999999999995"/>
    <s v="Valid"/>
    <n v="541.55999999999995"/>
    <s v="Low"/>
    <n v="0.16300000000000001"/>
    <s v="Valid"/>
    <n v="0.16300000000000001"/>
    <n v="25"/>
    <n v="11332.142999999998"/>
    <n v="9456.5"/>
    <n v="1875.6429999999982"/>
    <n v="0.16551529573885526"/>
  </r>
  <r>
    <s v="ORD-2025-822030"/>
    <d v="2025-08-07T00:00:00"/>
    <x v="28"/>
    <s v="Q3-2025"/>
    <d v="2025-09-06T00:00:00"/>
    <s v="Valid"/>
    <n v="30"/>
    <d v="2025-09-06T00:00:00"/>
    <x v="2"/>
    <s v="Americas → Canada → Montreal"/>
    <x v="245"/>
    <x v="3"/>
    <s v="Montreal"/>
    <s v="Education"/>
    <x v="4"/>
    <x v="12"/>
    <x v="2"/>
    <x v="380"/>
    <n v="833.73"/>
    <n v="1116.5999999999999"/>
    <s v="Valid"/>
    <n v="1116.5999999999999"/>
    <s v="Medium"/>
    <n v="0.17599999999999999"/>
    <s v="Valid"/>
    <n v="0.17599999999999999"/>
    <n v="14"/>
    <n v="12881.097599999999"/>
    <n v="11672.220000000001"/>
    <n v="1208.877599999998"/>
    <n v="9.3848958958279924E-2"/>
  </r>
  <r>
    <s v="ORD-2025-789245"/>
    <d v="2025-07-23T00:00:00"/>
    <x v="13"/>
    <s v="Q3-2025"/>
    <d v="2025-08-17T00:00:00"/>
    <s v="Valid"/>
    <n v="25"/>
    <d v="2025-08-17T00:00:00"/>
    <x v="3"/>
    <s v="Europe → United Kingdom → Birmingham"/>
    <x v="246"/>
    <x v="8"/>
    <s v="Birmingham"/>
    <s v="Education"/>
    <x v="1"/>
    <x v="2"/>
    <x v="1"/>
    <x v="381"/>
    <n v="1142.06"/>
    <n v="1455"/>
    <s v="Valid"/>
    <n v="1455"/>
    <s v="Medium"/>
    <n v="7.8E-2"/>
    <s v="Valid"/>
    <n v="7.8E-2"/>
    <n v="28"/>
    <n v="37562.28"/>
    <n v="31977.68"/>
    <n v="5584.5999999999985"/>
    <n v="0.1486757459877302"/>
  </r>
  <r>
    <s v="ORD-2023-594955"/>
    <d v="2023-06-20T00:00:00"/>
    <x v="23"/>
    <s v="Q2-2023"/>
    <d v="2023-07-08T00:00:00"/>
    <s v="Valid"/>
    <n v="18"/>
    <d v="2023-07-08T00:00:00"/>
    <x v="2"/>
    <s v="Americas → USA → New York"/>
    <x v="36"/>
    <x v="10"/>
    <s v="New York"/>
    <s v="Consumer"/>
    <x v="2"/>
    <x v="7"/>
    <x v="2"/>
    <x v="382"/>
    <n v="1145.53"/>
    <n v="1278.3"/>
    <s v="Valid"/>
    <n v="1278.3"/>
    <s v="Medium"/>
    <n v="0.09"/>
    <s v="Valid"/>
    <n v="0.09"/>
    <n v="41"/>
    <n v="47693.373"/>
    <n v="46966.729999999996"/>
    <n v="726.64300000000367"/>
    <n v="1.5235722581416158E-2"/>
  </r>
  <r>
    <s v="ORD-2024-398783"/>
    <d v="2024-07-18T00:00:00"/>
    <x v="14"/>
    <s v="Q3-2024"/>
    <d v="2024-08-07T00:00:00"/>
    <s v="Valid"/>
    <n v="20"/>
    <d v="2024-08-07T00:00:00"/>
    <x v="3"/>
    <s v="Europe → France → Marseille"/>
    <x v="247"/>
    <x v="7"/>
    <s v="Marseille"/>
    <s v="Corporate"/>
    <x v="0"/>
    <x v="9"/>
    <x v="5"/>
    <x v="383"/>
    <n v="941.35"/>
    <n v="899.83"/>
    <s v="Valid"/>
    <n v="899.83"/>
    <s v="Medium"/>
    <n v="5.8000000000000003E-2"/>
    <s v="Valid"/>
    <n v="5.8000000000000003E-2"/>
    <n v="18"/>
    <n v="15257.51748"/>
    <n v="16944.3"/>
    <n v="-1686.7825199999988"/>
    <n v="-0.11055419220139073"/>
  </r>
  <r>
    <s v="ORD-2023-676553"/>
    <d v="2023-05-20T00:00:00"/>
    <x v="15"/>
    <s v="Q2-2023"/>
    <d v="2023-06-19T00:00:00"/>
    <s v="Valid"/>
    <n v="30"/>
    <d v="2023-06-19T00:00:00"/>
    <x v="1"/>
    <s v="Asia → India → Delhi"/>
    <x v="117"/>
    <x v="4"/>
    <s v="Delhi"/>
    <s v="Non-Profit"/>
    <x v="2"/>
    <x v="10"/>
    <x v="4"/>
    <x v="384"/>
    <n v="1161.2"/>
    <n v="878.73"/>
    <s v="Valid"/>
    <n v="878.73"/>
    <s v="Medium"/>
    <n v="0.19"/>
    <s v="Valid"/>
    <n v="0.19"/>
    <n v="31"/>
    <n v="22064.910300000003"/>
    <n v="35997.200000000004"/>
    <n v="-13932.289700000001"/>
    <n v="-0.63142290227212028"/>
  </r>
  <r>
    <s v="ORD-2025-866565"/>
    <d v="2025-05-12T00:00:00"/>
    <x v="8"/>
    <s v="Q2-2025"/>
    <d v="2025-05-26T00:00:00"/>
    <s v="Valid"/>
    <n v="14"/>
    <d v="2025-05-26T00:00:00"/>
    <x v="1"/>
    <s v="Asia → India → Hyderabad"/>
    <x v="206"/>
    <x v="4"/>
    <s v="Hyderabad"/>
    <s v="Corporate"/>
    <x v="2"/>
    <x v="3"/>
    <x v="1"/>
    <x v="385"/>
    <n v="320.12"/>
    <n v="594.41999999999996"/>
    <s v="Valid"/>
    <n v="594.41999999999996"/>
    <s v="Low"/>
    <n v="0.104"/>
    <s v="Valid"/>
    <n v="0.104"/>
    <n v="18"/>
    <n v="9586.8057599999993"/>
    <n v="5762.16"/>
    <n v="3824.6457599999994"/>
    <n v="0.39894891538931104"/>
  </r>
  <r>
    <s v="ORD-2024-527858"/>
    <d v="2024-05-07T00:00:00"/>
    <x v="7"/>
    <s v="Q2-2024"/>
    <d v="2024-05-12T00:00:00"/>
    <s v="Valid"/>
    <n v="5"/>
    <d v="2024-05-12T00:00:00"/>
    <x v="0"/>
    <s v="Africa → Nigeria → Abuja"/>
    <x v="8"/>
    <x v="1"/>
    <s v="Abuja"/>
    <s v="Non-Profit"/>
    <x v="3"/>
    <x v="4"/>
    <x v="4"/>
    <x v="386"/>
    <n v="1163.99"/>
    <n v="1617.85"/>
    <s v="Valid"/>
    <n v="1617.85"/>
    <s v="Medium"/>
    <n v="0.127"/>
    <s v="Valid"/>
    <n v="0.127"/>
    <n v="14"/>
    <n v="19773.362699999998"/>
    <n v="16295.86"/>
    <n v="3477.5026999999973"/>
    <n v="0.17586804797749436"/>
  </r>
  <r>
    <s v="ORD-2023-619385"/>
    <d v="2023-09-30T00:00:00"/>
    <x v="27"/>
    <s v="Q3-2023"/>
    <d v="2023-10-03T00:00:00"/>
    <s v="Valid"/>
    <n v="3"/>
    <d v="2023-10-03T00:00:00"/>
    <x v="1"/>
    <s v="Asia → China → Beijing"/>
    <x v="248"/>
    <x v="9"/>
    <s v="Beijing"/>
    <s v="Non-Profit"/>
    <x v="0"/>
    <x v="1"/>
    <x v="4"/>
    <x v="387"/>
    <n v="1019.36"/>
    <n v="972.91"/>
    <s v="Valid"/>
    <n v="972.91"/>
    <s v="Medium"/>
    <n v="0.14699999999999999"/>
    <s v="Valid"/>
    <n v="0.14699999999999999"/>
    <n v="17"/>
    <n v="14108.16791"/>
    <n v="17329.12"/>
    <n v="-3220.9520899999989"/>
    <n v="-0.22830406545678819"/>
  </r>
  <r>
    <s v="ORD-2023-835226"/>
    <d v="2023-10-26T00:00:00"/>
    <x v="32"/>
    <s v="Q4-2023"/>
    <d v="2023-11-05T00:00:00"/>
    <s v="Valid"/>
    <n v="10"/>
    <d v="2023-11-05T00:00:00"/>
    <x v="0"/>
    <s v="Africa → South Africa → Cape Town"/>
    <x v="249"/>
    <x v="11"/>
    <s v="Cape Town"/>
    <s v="Non-Profit"/>
    <x v="1"/>
    <x v="2"/>
    <x v="4"/>
    <x v="388"/>
    <n v="20.38"/>
    <n v="42.56"/>
    <s v="Valid"/>
    <n v="42.56"/>
    <s v="Low"/>
    <n v="7.1999999999999995E-2"/>
    <s v="Valid"/>
    <n v="7.1999999999999995E-2"/>
    <n v="11"/>
    <n v="434.45248000000004"/>
    <n v="224.17999999999998"/>
    <n v="210.27248000000006"/>
    <n v="0.48399419885921713"/>
  </r>
  <r>
    <s v="ORD-2025-485946"/>
    <d v="2025-06-15T00:00:00"/>
    <x v="16"/>
    <s v="Q2-2025"/>
    <d v="2025-06-30T00:00:00"/>
    <s v="Valid"/>
    <n v="15"/>
    <d v="2025-06-30T00:00:00"/>
    <x v="0"/>
    <s v="Africa → South Africa → Johannesburg"/>
    <x v="198"/>
    <x v="11"/>
    <s v="Johannesburg"/>
    <s v="Small Business"/>
    <x v="4"/>
    <x v="0"/>
    <x v="5"/>
    <x v="389"/>
    <n v="1487.59"/>
    <n v="1480.83"/>
    <s v="Valid"/>
    <n v="1480.83"/>
    <s v="Medium"/>
    <n v="8.9999999999999993E-3"/>
    <s v="Valid"/>
    <n v="8.9999999999999993E-3"/>
    <n v="11"/>
    <n v="16142.527829999999"/>
    <n v="16363.49"/>
    <n v="-220.9621700000007"/>
    <n v="-1.3688201273492908E-2"/>
  </r>
  <r>
    <s v="ORD-2024-307849"/>
    <d v="2024-08-10T00:00:00"/>
    <x v="21"/>
    <s v="Q3-2024"/>
    <d v="2024-09-07T00:00:00"/>
    <s v="Valid"/>
    <n v="28"/>
    <d v="2024-09-07T00:00:00"/>
    <x v="3"/>
    <s v="Europe → France → Marseille"/>
    <x v="250"/>
    <x v="7"/>
    <s v="Marseille"/>
    <s v="Non-Profit"/>
    <x v="4"/>
    <x v="9"/>
    <x v="1"/>
    <x v="390"/>
    <n v="229.96"/>
    <n v="564.26"/>
    <s v="Valid"/>
    <n v="564.26"/>
    <s v="Low"/>
    <n v="0.105"/>
    <s v="Valid"/>
    <n v="0.105"/>
    <n v="5"/>
    <n v="2525.0635000000002"/>
    <n v="1149.8"/>
    <n v="1375.2635000000002"/>
    <n v="0.54464511486542821"/>
  </r>
  <r>
    <s v="ORD-2023-368449"/>
    <d v="2023-10-09T00:00:00"/>
    <x v="32"/>
    <s v="Q4-2023"/>
    <d v="2023-10-26T00:00:00"/>
    <s v="Valid"/>
    <n v="17"/>
    <d v="2023-10-26T00:00:00"/>
    <x v="1"/>
    <s v="Asia → China → Shanghai"/>
    <x v="155"/>
    <x v="9"/>
    <s v="Shanghai"/>
    <s v="Consumer"/>
    <x v="2"/>
    <x v="0"/>
    <x v="0"/>
    <x v="391"/>
    <n v="1132.03"/>
    <n v="2137.21"/>
    <s v="Valid"/>
    <n v="2137.21"/>
    <s v="High"/>
    <n v="0.35699999999999998"/>
    <s v="High Discount"/>
    <n v="0.3"/>
    <n v="35"/>
    <n v="52361.645000000004"/>
    <n v="39621.049999999996"/>
    <n v="12740.595000000008"/>
    <n v="0.24331922727026639"/>
  </r>
  <r>
    <s v="ORD-2024-251426"/>
    <d v="2024-03-09T00:00:00"/>
    <x v="0"/>
    <s v="Q1-2024"/>
    <d v="2024-03-26T00:00:00"/>
    <s v="Valid"/>
    <n v="17"/>
    <d v="2024-03-26T00:00:00"/>
    <x v="2"/>
    <s v="Americas → USA → San Francisco"/>
    <x v="181"/>
    <x v="10"/>
    <s v="San Francisco"/>
    <s v="Education"/>
    <x v="4"/>
    <x v="2"/>
    <x v="3"/>
    <x v="392"/>
    <n v="1137.4100000000001"/>
    <n v="1680.93"/>
    <s v="Valid"/>
    <n v="1680.93"/>
    <s v="Medium"/>
    <n v="0.254"/>
    <s v="Valid"/>
    <n v="0.254"/>
    <n v="9"/>
    <n v="11285.764020000001"/>
    <n v="10236.69"/>
    <n v="1049.07402"/>
    <n v="9.2955516183121464E-2"/>
  </r>
  <r>
    <s v="ORD-2023-927385"/>
    <d v="2023-05-29T00:00:00"/>
    <x v="15"/>
    <s v="Q2-2023"/>
    <d v="2023-06-20T00:00:00"/>
    <s v="Valid"/>
    <n v="22"/>
    <d v="2023-06-20T00:00:00"/>
    <x v="3"/>
    <s v="Europe → United Kingdom → London"/>
    <x v="251"/>
    <x v="8"/>
    <s v="London"/>
    <s v="Small Business"/>
    <x v="4"/>
    <x v="11"/>
    <x v="0"/>
    <x v="393"/>
    <n v="1295.3900000000001"/>
    <n v="2905.06"/>
    <s v="Valid"/>
    <n v="2905.06"/>
    <s v="High"/>
    <n v="0.14799999999999999"/>
    <s v="Valid"/>
    <n v="0.14799999999999999"/>
    <n v="8"/>
    <n v="19800.88896"/>
    <n v="10363.120000000001"/>
    <n v="9437.7689599999994"/>
    <n v="0.47663359857556614"/>
  </r>
  <r>
    <s v="ORD-2025-486350"/>
    <d v="2025-05-27T00:00:00"/>
    <x v="8"/>
    <s v="Q2-2025"/>
    <d v="2025-06-08T00:00:00"/>
    <s v="Valid"/>
    <n v="12"/>
    <d v="2025-06-08T00:00:00"/>
    <x v="1"/>
    <s v="Asia → Japan → Osaka"/>
    <x v="252"/>
    <x v="2"/>
    <s v="Osaka"/>
    <s v="Corporate"/>
    <x v="0"/>
    <x v="10"/>
    <x v="6"/>
    <x v="394"/>
    <n v="653.6"/>
    <n v="842.09"/>
    <s v="Valid"/>
    <n v="842.09"/>
    <s v="Medium"/>
    <n v="9.8000000000000004E-2"/>
    <s v="Valid"/>
    <n v="9.8000000000000004E-2"/>
    <n v="19"/>
    <n v="14431.738420000001"/>
    <n v="12418.4"/>
    <n v="2013.3384200000019"/>
    <n v="0.13950768517324622"/>
  </r>
  <r>
    <s v="ORD-2025-677880"/>
    <d v="2025-08-21T00:00:00"/>
    <x v="28"/>
    <s v="Q3-2025"/>
    <d v="2025-09-14T00:00:00"/>
    <s v="Valid"/>
    <n v="24"/>
    <d v="2025-09-14T00:00:00"/>
    <x v="3"/>
    <s v="Europe → Germany → Berlin"/>
    <x v="253"/>
    <x v="6"/>
    <s v="Berlin"/>
    <s v="Non-Profit"/>
    <x v="1"/>
    <x v="8"/>
    <x v="5"/>
    <x v="395"/>
    <n v="1397.67"/>
    <n v="3131.37"/>
    <s v="Valid"/>
    <n v="3131.37"/>
    <s v="High"/>
    <n v="0.10299999999999999"/>
    <s v="Valid"/>
    <n v="0.10299999999999999"/>
    <n v="20"/>
    <n v="56176.777799999996"/>
    <n v="27953.4"/>
    <n v="28223.377799999995"/>
    <n v="0.50240293062874808"/>
  </r>
  <r>
    <s v="ORD-2024-102866"/>
    <d v="2024-12-12T00:00:00"/>
    <x v="6"/>
    <s v="Q4-2024"/>
    <d v="2024-12-20T00:00:00"/>
    <s v="Valid"/>
    <n v="8"/>
    <d v="2024-12-20T00:00:00"/>
    <x v="1"/>
    <s v="Asia → Japan → Tokyo"/>
    <x v="254"/>
    <x v="2"/>
    <s v="Tokyo"/>
    <s v="Corporate"/>
    <x v="0"/>
    <x v="5"/>
    <x v="4"/>
    <x v="396"/>
    <n v="1202.47"/>
    <n v="1444.72"/>
    <s v="Valid"/>
    <n v="1444.72"/>
    <s v="Medium"/>
    <n v="0.24099999999999999"/>
    <s v="Valid"/>
    <n v="0.24099999999999999"/>
    <n v="17"/>
    <n v="18641.222160000001"/>
    <n v="20441.990000000002"/>
    <n v="-1800.7678400000004"/>
    <n v="-9.6601382921343834E-2"/>
  </r>
  <r>
    <s v="ORD-2025-588029"/>
    <d v="2025-09-14T00:00:00"/>
    <x v="11"/>
    <s v="Q3-2025"/>
    <d v="2025-09-23T00:00:00"/>
    <s v="Valid"/>
    <n v="9"/>
    <d v="2025-09-23T00:00:00"/>
    <x v="0"/>
    <s v="Africa → South Africa → Durban"/>
    <x v="255"/>
    <x v="11"/>
    <s v="Durban"/>
    <s v="Non-Profit"/>
    <x v="1"/>
    <x v="14"/>
    <x v="0"/>
    <x v="397"/>
    <n v="1310.3"/>
    <n v="2875.8"/>
    <s v="Valid"/>
    <n v="2875.8"/>
    <s v="High"/>
    <n v="8.3000000000000004E-2"/>
    <s v="Valid"/>
    <n v="8.3000000000000004E-2"/>
    <n v="5"/>
    <n v="13185.543"/>
    <n v="6551.5"/>
    <n v="6634.0429999999997"/>
    <n v="0.50313005691157353"/>
  </r>
  <r>
    <s v="ORD-2024-972999"/>
    <d v="2024-09-06T00:00:00"/>
    <x v="29"/>
    <s v="Q3-2024"/>
    <d v="2024-10-04T00:00:00"/>
    <s v="Valid"/>
    <n v="28"/>
    <d v="2024-10-04T00:00:00"/>
    <x v="0"/>
    <s v="Africa → South Africa → Cape Town"/>
    <x v="256"/>
    <x v="11"/>
    <s v="Cape Town"/>
    <s v="Corporate"/>
    <x v="2"/>
    <x v="14"/>
    <x v="5"/>
    <x v="398"/>
    <n v="1174.17"/>
    <n v="1641.61"/>
    <s v="Valid"/>
    <n v="1641.61"/>
    <s v="Medium"/>
    <n v="0.122"/>
    <s v="Valid"/>
    <n v="0.122"/>
    <n v="9"/>
    <n v="12972.00222"/>
    <n v="10567.53"/>
    <n v="2404.4722199999997"/>
    <n v="0.18535860380079394"/>
  </r>
  <r>
    <s v="ORD-2025-608069"/>
    <d v="2025-04-12T00:00:00"/>
    <x v="19"/>
    <s v="Q2-2025"/>
    <d v="2025-04-30T00:00:00"/>
    <s v="Valid"/>
    <n v="18"/>
    <d v="2025-04-30T00:00:00"/>
    <x v="0"/>
    <s v="Africa → Kenya → Kisumu"/>
    <x v="257"/>
    <x v="0"/>
    <s v="Kisumu"/>
    <s v="Corporate"/>
    <x v="2"/>
    <x v="9"/>
    <x v="2"/>
    <x v="399"/>
    <n v="1119.04"/>
    <n v="1299.02"/>
    <s v="Valid"/>
    <n v="1299.02"/>
    <s v="Medium"/>
    <n v="2.5000000000000001E-2"/>
    <s v="Valid"/>
    <n v="2.5000000000000001E-2"/>
    <n v="14"/>
    <n v="17731.623"/>
    <n v="15666.56"/>
    <n v="2065.0630000000001"/>
    <n v="0.11646215352085933"/>
  </r>
  <r>
    <s v="ORD-2024-626750"/>
    <d v="2024-08-12T00:00:00"/>
    <x v="21"/>
    <s v="Q3-2024"/>
    <d v="2024-08-15T00:00:00"/>
    <s v="Valid"/>
    <n v="3"/>
    <d v="2024-08-15T00:00:00"/>
    <x v="2"/>
    <s v="Americas → USA → Chicago"/>
    <x v="154"/>
    <x v="10"/>
    <s v="Chicago"/>
    <s v="Corporate"/>
    <x v="2"/>
    <x v="14"/>
    <x v="1"/>
    <x v="400"/>
    <n v="850.7"/>
    <n v="1118.56"/>
    <s v="Valid"/>
    <n v="1118.56"/>
    <s v="Medium"/>
    <n v="0.18"/>
    <s v="Valid"/>
    <n v="0.18"/>
    <n v="19"/>
    <n v="17427.164800000002"/>
    <n v="16163.300000000001"/>
    <n v="1263.8648000000012"/>
    <n v="7.2522685962090688E-2"/>
  </r>
  <r>
    <s v="ORD-2024-170021"/>
    <d v="2024-11-05T00:00:00"/>
    <x v="18"/>
    <s v="Q4-2024"/>
    <d v="2024-11-08T00:00:00"/>
    <s v="Valid"/>
    <n v="3"/>
    <d v="2024-11-08T00:00:00"/>
    <x v="2"/>
    <s v="Americas → Canada → Toronto"/>
    <x v="46"/>
    <x v="3"/>
    <s v="Toronto"/>
    <s v="Education"/>
    <x v="2"/>
    <x v="7"/>
    <x v="0"/>
    <x v="401"/>
    <n v="1020.4"/>
    <n v="1184.71"/>
    <s v="Valid"/>
    <n v="1184.71"/>
    <s v="Medium"/>
    <n v="0.106"/>
    <s v="Valid"/>
    <n v="0.106"/>
    <n v="16"/>
    <n v="16946.091840000001"/>
    <n v="16326.4"/>
    <n v="619.69184000000132"/>
    <n v="3.6568422138328345E-2"/>
  </r>
  <r>
    <s v="ORD-2024-678110"/>
    <d v="2024-07-24T00:00:00"/>
    <x v="14"/>
    <s v="Q3-2024"/>
    <d v="2024-08-08T00:00:00"/>
    <s v="Valid"/>
    <n v="15"/>
    <d v="2024-08-08T00:00:00"/>
    <x v="3"/>
    <s v="Europe → France → Marseille"/>
    <x v="247"/>
    <x v="7"/>
    <s v="Marseille"/>
    <s v="Enterprise"/>
    <x v="2"/>
    <x v="10"/>
    <x v="4"/>
    <x v="402"/>
    <n v="501.5"/>
    <n v="1201.47"/>
    <s v="Valid"/>
    <n v="1201.47"/>
    <s v="Medium"/>
    <n v="0.126"/>
    <s v="Valid"/>
    <n v="0.126"/>
    <n v="5"/>
    <n v="5250.4239000000007"/>
    <n v="2507.5"/>
    <n v="2742.9239000000007"/>
    <n v="0.52241951359394057"/>
  </r>
  <r>
    <s v="ORD-2025-909340"/>
    <d v="2025-01-20T00:00:00"/>
    <x v="10"/>
    <s v="Q1-2025"/>
    <d v="2025-02-03T00:00:00"/>
    <s v="Valid"/>
    <n v="14"/>
    <d v="2025-02-03T00:00:00"/>
    <x v="2"/>
    <s v="Americas → Brazil → Brasília"/>
    <x v="258"/>
    <x v="5"/>
    <s v="Brasília"/>
    <s v="Enterprise"/>
    <x v="2"/>
    <x v="9"/>
    <x v="0"/>
    <x v="403"/>
    <n v="974.11"/>
    <n v="880.99"/>
    <s v="Valid"/>
    <n v="880.99"/>
    <s v="Medium"/>
    <n v="0.111"/>
    <s v="Valid"/>
    <n v="0.111"/>
    <n v="10"/>
    <n v="7832.0010999999995"/>
    <n v="9741.1"/>
    <n v="-1909.0989000000009"/>
    <n v="-0.2437562093805121"/>
  </r>
  <r>
    <s v="ORD-2023-854471"/>
    <d v="2023-03-06T00:00:00"/>
    <x v="22"/>
    <s v="Q1-2023"/>
    <d v="2023-04-04T00:00:00"/>
    <s v="Valid"/>
    <n v="29"/>
    <d v="2023-04-04T00:00:00"/>
    <x v="1"/>
    <s v="Asia → China → Beijing"/>
    <x v="259"/>
    <x v="9"/>
    <s v="Beijing"/>
    <s v="Small Business"/>
    <x v="4"/>
    <x v="0"/>
    <x v="5"/>
    <x v="404"/>
    <n v="1126.29"/>
    <n v="2050.87"/>
    <s v="Valid"/>
    <n v="2050.87"/>
    <s v="High"/>
    <n v="6.4000000000000001E-2"/>
    <s v="Valid"/>
    <n v="6.4000000000000001E-2"/>
    <n v="7"/>
    <n v="13437.300239999999"/>
    <n v="7884.03"/>
    <n v="5553.2702399999989"/>
    <n v="0.41327276616690373"/>
  </r>
  <r>
    <s v="ORD-2024-390951"/>
    <d v="2024-12-20T00:00:00"/>
    <x v="6"/>
    <s v="Q4-2024"/>
    <d v="2025-01-14T00:00:00"/>
    <s v="Valid"/>
    <n v="25"/>
    <d v="2025-01-14T00:00:00"/>
    <x v="1"/>
    <s v="Asia → India → Delhi"/>
    <x v="6"/>
    <x v="4"/>
    <s v="Delhi"/>
    <s v="Small Business"/>
    <x v="0"/>
    <x v="12"/>
    <x v="1"/>
    <x v="405"/>
    <n v="1361.34"/>
    <n v="1737.9"/>
    <s v="Valid"/>
    <n v="1737.9"/>
    <s v="Medium"/>
    <n v="7.6999999999999999E-2"/>
    <s v="Valid"/>
    <n v="7.6999999999999999E-2"/>
    <n v="14"/>
    <n v="22457.143800000002"/>
    <n v="19058.759999999998"/>
    <n v="3398.3838000000032"/>
    <n v="0.15132751654731813"/>
  </r>
  <r>
    <s v="ORD-2025-881624"/>
    <d v="2025-02-21T00:00:00"/>
    <x v="26"/>
    <s v="Q1-2025"/>
    <d v="2025-03-21T00:00:00"/>
    <s v="Valid"/>
    <n v="28"/>
    <d v="2025-03-21T00:00:00"/>
    <x v="0"/>
    <s v="Africa → Nigeria → Abuja"/>
    <x v="260"/>
    <x v="1"/>
    <s v="Abuja"/>
    <s v="Enterprise"/>
    <x v="2"/>
    <x v="2"/>
    <x v="3"/>
    <x v="406"/>
    <n v="1437.39"/>
    <n v="1388.31"/>
    <s v="Valid"/>
    <n v="1388.31"/>
    <s v="Medium"/>
    <n v="0.13800000000000001"/>
    <s v="Valid"/>
    <n v="0.13800000000000001"/>
    <n v="18"/>
    <n v="21541.017959999997"/>
    <n v="25873.02"/>
    <n v="-4332.002040000003"/>
    <n v="-0.20110479681341872"/>
  </r>
  <r>
    <s v="ORD-2025-512310"/>
    <d v="2025-03-08T00:00:00"/>
    <x v="3"/>
    <s v="Q1-2025"/>
    <d v="2025-03-15T00:00:00"/>
    <s v="Valid"/>
    <n v="7"/>
    <d v="2025-03-15T00:00:00"/>
    <x v="1"/>
    <s v="Asia → India → Bengaluru"/>
    <x v="240"/>
    <x v="4"/>
    <s v="Bengaluru"/>
    <s v="Corporate"/>
    <x v="3"/>
    <x v="11"/>
    <x v="4"/>
    <x v="407"/>
    <n v="475.66"/>
    <n v="529.14"/>
    <s v="Valid"/>
    <n v="529.14"/>
    <s v="Low"/>
    <n v="0.19600000000000001"/>
    <s v="Valid"/>
    <n v="0.19600000000000001"/>
    <n v="11"/>
    <n v="4679.7141600000004"/>
    <n v="5232.26"/>
    <n v="-552.54583999999977"/>
    <n v="-0.11807256193613323"/>
  </r>
  <r>
    <s v="ORD-2023-674887"/>
    <d v="2023-12-16T00:00:00"/>
    <x v="4"/>
    <s v="Q4-2023"/>
    <d v="2023-12-19T00:00:00"/>
    <s v="Valid"/>
    <n v="3"/>
    <d v="2023-12-19T00:00:00"/>
    <x v="1"/>
    <s v="Asia → China → Beijing"/>
    <x v="261"/>
    <x v="9"/>
    <s v="Beijing"/>
    <s v="Education"/>
    <x v="0"/>
    <x v="8"/>
    <x v="6"/>
    <x v="408"/>
    <n v="1415.05"/>
    <n v="1972.38"/>
    <s v="Valid"/>
    <n v="1972.38"/>
    <s v="High"/>
    <n v="0"/>
    <s v="Valid"/>
    <n v="0"/>
    <n v="12"/>
    <n v="23668.560000000001"/>
    <n v="16980.599999999999"/>
    <n v="6687.9600000000028"/>
    <n v="0.28256725377462771"/>
  </r>
  <r>
    <s v="ORD-2024-542244"/>
    <d v="2024-08-30T00:00:00"/>
    <x v="21"/>
    <s v="Q3-2024"/>
    <d v="2024-09-05T00:00:00"/>
    <s v="Valid"/>
    <n v="6"/>
    <d v="2024-09-05T00:00:00"/>
    <x v="1"/>
    <s v="Asia → Japan → Nagoya"/>
    <x v="129"/>
    <x v="2"/>
    <s v="Nagoya"/>
    <s v="Education"/>
    <x v="1"/>
    <x v="13"/>
    <x v="4"/>
    <x v="409"/>
    <n v="466.16"/>
    <n v="876.81"/>
    <s v="Valid"/>
    <n v="876.81"/>
    <s v="Medium"/>
    <n v="0.24099999999999999"/>
    <s v="Valid"/>
    <n v="0.24099999999999999"/>
    <n v="8"/>
    <n v="5323.9903199999999"/>
    <n v="3729.28"/>
    <n v="1594.7103199999997"/>
    <n v="0.29953291124691594"/>
  </r>
  <r>
    <s v="ORD-2024-375848"/>
    <d v="2024-05-18T00:00:00"/>
    <x v="7"/>
    <s v="Q2-2024"/>
    <d v="2024-05-21T00:00:00"/>
    <s v="Valid"/>
    <n v="3"/>
    <d v="2024-05-21T00:00:00"/>
    <x v="3"/>
    <s v="Europe → France → Marseille"/>
    <x v="138"/>
    <x v="7"/>
    <s v="Marseille"/>
    <s v="Non-Profit"/>
    <x v="2"/>
    <x v="14"/>
    <x v="1"/>
    <x v="410"/>
    <n v="663.66"/>
    <n v="824.26"/>
    <s v="Valid"/>
    <n v="824.26"/>
    <s v="Medium"/>
    <n v="0.23899999999999999"/>
    <s v="Valid"/>
    <n v="0.23899999999999999"/>
    <n v="11"/>
    <n v="6899.8804600000003"/>
    <n v="7300.2599999999993"/>
    <n v="-400.379539999999"/>
    <n v="-5.8027025587048933E-2"/>
  </r>
  <r>
    <s v="ORD-2023-933238"/>
    <d v="2023-03-17T00:00:00"/>
    <x v="22"/>
    <s v="Q1-2023"/>
    <d v="2023-04-06T00:00:00"/>
    <s v="Valid"/>
    <n v="20"/>
    <d v="2023-04-06T00:00:00"/>
    <x v="3"/>
    <s v="Europe → Germany → Munich"/>
    <x v="262"/>
    <x v="6"/>
    <s v="Munich"/>
    <s v="Consumer"/>
    <x v="0"/>
    <x v="7"/>
    <x v="3"/>
    <x v="411"/>
    <n v="692.18"/>
    <n v="1159.3499999999999"/>
    <s v="Valid"/>
    <n v="1159.3499999999999"/>
    <s v="Medium"/>
    <n v="0.112"/>
    <s v="Valid"/>
    <n v="0.112"/>
    <n v="2"/>
    <n v="2059.0056"/>
    <n v="1384.36"/>
    <n v="674.64560000000006"/>
    <n v="0.32765602968734037"/>
  </r>
  <r>
    <s v="ORD-2023-732585"/>
    <d v="2023-08-25T00:00:00"/>
    <x v="25"/>
    <s v="Q3-2023"/>
    <d v="2023-09-16T00:00:00"/>
    <s v="Valid"/>
    <n v="22"/>
    <d v="2023-09-16T00:00:00"/>
    <x v="0"/>
    <s v="Africa → Nigeria → Abuja"/>
    <x v="150"/>
    <x v="1"/>
    <s v="Abuja"/>
    <s v="Corporate"/>
    <x v="2"/>
    <x v="4"/>
    <x v="3"/>
    <x v="412"/>
    <n v="1196.83"/>
    <n v="2513.5100000000002"/>
    <s v="Valid"/>
    <n v="2513.5100000000002"/>
    <s v="High"/>
    <n v="8.3000000000000004E-2"/>
    <s v="Valid"/>
    <n v="8.3000000000000004E-2"/>
    <n v="7"/>
    <n v="16134.22069"/>
    <n v="8377.81"/>
    <n v="7756.4106900000006"/>
    <n v="0.48074281609445374"/>
  </r>
  <r>
    <s v="ORD-2024-465898"/>
    <d v="2024-06-06T00:00:00"/>
    <x v="17"/>
    <s v="Q2-2024"/>
    <d v="2024-06-24T00:00:00"/>
    <s v="Valid"/>
    <n v="18"/>
    <d v="2024-06-24T00:00:00"/>
    <x v="1"/>
    <s v="Asia → India → Bengaluru"/>
    <x v="263"/>
    <x v="4"/>
    <s v="Bengaluru"/>
    <s v="Small Business"/>
    <x v="4"/>
    <x v="10"/>
    <x v="2"/>
    <x v="413"/>
    <n v="1253.25"/>
    <n v="3087.13"/>
    <s v="Valid"/>
    <n v="3087.13"/>
    <s v="High"/>
    <n v="7.1999999999999995E-2"/>
    <s v="Valid"/>
    <n v="7.1999999999999995E-2"/>
    <n v="11"/>
    <n v="31513.423040000001"/>
    <n v="13785.75"/>
    <n v="17727.673040000001"/>
    <n v="0.562543555408064"/>
  </r>
  <r>
    <s v="ORD-2023-987081"/>
    <d v="2023-08-29T00:00:00"/>
    <x v="25"/>
    <s v="Q3-2023"/>
    <d v="2023-09-13T00:00:00"/>
    <s v="Valid"/>
    <n v="15"/>
    <d v="2023-09-13T00:00:00"/>
    <x v="2"/>
    <s v="Americas → Canada → Vancouver"/>
    <x v="70"/>
    <x v="3"/>
    <s v="Vancouver"/>
    <s v="Small Business"/>
    <x v="2"/>
    <x v="7"/>
    <x v="1"/>
    <x v="414"/>
    <n v="1287.6400000000001"/>
    <n v="2717.15"/>
    <s v="Valid"/>
    <n v="2717.15"/>
    <s v="High"/>
    <n v="3.2000000000000001E-2"/>
    <s v="Valid"/>
    <n v="3.2000000000000001E-2"/>
    <n v="7"/>
    <n v="18411.4084"/>
    <n v="9013.4800000000014"/>
    <n v="9397.9283999999989"/>
    <n v="0.51044049405802105"/>
  </r>
  <r>
    <s v="ORD-2024-655710"/>
    <d v="2024-11-30T00:00:00"/>
    <x v="18"/>
    <s v="Q4-2024"/>
    <d v="2024-12-10T00:00:00"/>
    <s v="Valid"/>
    <n v="10"/>
    <d v="2024-12-10T00:00:00"/>
    <x v="1"/>
    <s v="Asia → India → Hyderabad"/>
    <x v="57"/>
    <x v="4"/>
    <s v="Hyderabad"/>
    <s v="Small Business"/>
    <x v="0"/>
    <x v="9"/>
    <x v="6"/>
    <x v="415"/>
    <n v="851.49"/>
    <n v="901.79"/>
    <s v="Valid"/>
    <n v="901.79"/>
    <s v="Medium"/>
    <n v="0.245"/>
    <s v="Valid"/>
    <n v="0.245"/>
    <n v="16"/>
    <n v="10893.6232"/>
    <n v="13623.84"/>
    <n v="-2730.2168000000001"/>
    <n v="-0.25062522816100341"/>
  </r>
  <r>
    <s v="ORD-2025-411385"/>
    <d v="2025-06-05T00:00:00"/>
    <x v="16"/>
    <s v="Q2-2025"/>
    <d v="2025-06-14T00:00:00"/>
    <s v="Valid"/>
    <n v="9"/>
    <d v="2025-06-14T00:00:00"/>
    <x v="1"/>
    <s v="Asia → India → Delhi"/>
    <x v="80"/>
    <x v="4"/>
    <s v="Delhi"/>
    <s v="Non-Profit"/>
    <x v="0"/>
    <x v="8"/>
    <x v="6"/>
    <x v="416"/>
    <n v="618.69000000000005"/>
    <n v="796.15"/>
    <s v="Valid"/>
    <n v="796.15"/>
    <s v="Medium"/>
    <n v="0.09"/>
    <s v="Valid"/>
    <n v="0.09"/>
    <n v="11"/>
    <n v="7969.4615000000003"/>
    <n v="6805.59"/>
    <n v="1163.8715000000002"/>
    <n v="0.14604142325049191"/>
  </r>
  <r>
    <s v="ORD-2025-222035"/>
    <d v="2025-03-14T00:00:00"/>
    <x v="3"/>
    <s v="Q1-2025"/>
    <d v="2025-04-08T00:00:00"/>
    <s v="Valid"/>
    <n v="25"/>
    <d v="2025-04-08T00:00:00"/>
    <x v="1"/>
    <s v="Asia → China → unknown"/>
    <x v="264"/>
    <x v="9"/>
    <s v="unknown"/>
    <s v="Corporate"/>
    <x v="3"/>
    <x v="14"/>
    <x v="1"/>
    <x v="417"/>
    <n v="80.59"/>
    <n v="157.82"/>
    <s v="Valid"/>
    <n v="157.82"/>
    <s v="Low"/>
    <n v="0.217"/>
    <s v="Valid"/>
    <n v="0.217"/>
    <n v="6"/>
    <n v="741.43835999999999"/>
    <n v="483.54"/>
    <n v="257.89835999999997"/>
    <n v="0.34783519967863541"/>
  </r>
  <r>
    <s v="ORD-2024-749242"/>
    <d v="2024-01-16T00:00:00"/>
    <x v="9"/>
    <s v="Q1-2024"/>
    <d v="2024-02-11T00:00:00"/>
    <s v="Valid"/>
    <n v="26"/>
    <d v="2024-02-11T00:00:00"/>
    <x v="3"/>
    <s v="Europe → Germany → Frankfurt"/>
    <x v="10"/>
    <x v="6"/>
    <s v="Frankfurt"/>
    <s v="Non-Profit"/>
    <x v="3"/>
    <x v="6"/>
    <x v="5"/>
    <x v="418"/>
    <n v="504.93"/>
    <n v="819.06"/>
    <s v="Valid"/>
    <n v="819.06"/>
    <s v="Medium"/>
    <n v="0.22600000000000001"/>
    <s v="Valid"/>
    <n v="0.22600000000000001"/>
    <n v="15"/>
    <n v="9509.2865999999995"/>
    <n v="7573.95"/>
    <n v="1935.3365999999996"/>
    <n v="0.20352069312959814"/>
  </r>
  <r>
    <s v="ORD-2023-623293"/>
    <d v="2023-10-12T00:00:00"/>
    <x v="32"/>
    <s v="Q4-2023"/>
    <d v="2023-10-29T00:00:00"/>
    <s v="Valid"/>
    <n v="17"/>
    <d v="2023-10-29T00:00:00"/>
    <x v="1"/>
    <s v="Asia → Japan → Nagoya"/>
    <x v="265"/>
    <x v="2"/>
    <s v="Nagoya"/>
    <s v="Non-Profit"/>
    <x v="4"/>
    <x v="10"/>
    <x v="3"/>
    <x v="419"/>
    <n v="1102.19"/>
    <n v="1711.16"/>
    <s v="Valid"/>
    <n v="1711.16"/>
    <s v="Medium"/>
    <n v="0.151"/>
    <s v="Valid"/>
    <n v="0.151"/>
    <n v="10"/>
    <n v="14527.748400000002"/>
    <n v="11021.900000000001"/>
    <n v="3505.8484000000008"/>
    <n v="0.24132083675127525"/>
  </r>
  <r>
    <s v="ORD-2025-276968"/>
    <d v="2025-02-25T00:00:00"/>
    <x v="26"/>
    <s v="Q1-2025"/>
    <d v="2025-03-17T00:00:00"/>
    <s v="Valid"/>
    <n v="20"/>
    <d v="2025-03-17T00:00:00"/>
    <x v="2"/>
    <s v="Americas → USA → San Francisco"/>
    <x v="266"/>
    <x v="10"/>
    <s v="San Francisco"/>
    <s v="Non-Profit"/>
    <x v="2"/>
    <x v="10"/>
    <x v="3"/>
    <x v="420"/>
    <n v="1205.26"/>
    <n v="1696.35"/>
    <s v="Valid"/>
    <n v="1696.35"/>
    <s v="Medium"/>
    <n v="1.9E-2"/>
    <s v="Valid"/>
    <n v="1.9E-2"/>
    <n v="6"/>
    <n v="9984.7160999999978"/>
    <n v="7231.5599999999995"/>
    <n v="2753.1560999999983"/>
    <n v="0.27573704374028213"/>
  </r>
  <r>
    <s v="ORD-2025-650841"/>
    <d v="2025-07-03T00:00:00"/>
    <x v="13"/>
    <s v="Q3-2025"/>
    <d v="2025-07-06T00:00:00"/>
    <s v="Valid"/>
    <n v="3"/>
    <d v="2025-07-06T00:00:00"/>
    <x v="0"/>
    <s v="Africa → Nigeria → Lagos"/>
    <x v="167"/>
    <x v="1"/>
    <s v="Lagos"/>
    <s v="Consumer"/>
    <x v="1"/>
    <x v="15"/>
    <x v="4"/>
    <x v="421"/>
    <n v="1313.3"/>
    <n v="2884.34"/>
    <s v="Valid"/>
    <n v="2884.34"/>
    <s v="High"/>
    <n v="0.157"/>
    <s v="Valid"/>
    <n v="0.157"/>
    <n v="42"/>
    <n v="102122.94203999999"/>
    <n v="55158.6"/>
    <n v="46964.342039999996"/>
    <n v="0.45988042551305253"/>
  </r>
  <r>
    <s v="ORD-2025-831576"/>
    <d v="2025-09-15T00:00:00"/>
    <x v="11"/>
    <s v="Q3-2025"/>
    <d v="2025-09-25T00:00:00"/>
    <s v="Valid"/>
    <n v="10"/>
    <d v="2025-09-25T00:00:00"/>
    <x v="1"/>
    <s v="Asia → India → Delhi"/>
    <x v="267"/>
    <x v="4"/>
    <s v="Delhi"/>
    <s v="Consumer"/>
    <x v="0"/>
    <x v="8"/>
    <x v="3"/>
    <x v="422"/>
    <n v="1488.91"/>
    <n v="1483.74"/>
    <s v="Valid"/>
    <n v="1483.74"/>
    <s v="Medium"/>
    <n v="0.16800000000000001"/>
    <s v="Valid"/>
    <n v="0.16800000000000001"/>
    <n v="24"/>
    <n v="29627.320319999999"/>
    <n v="35733.840000000004"/>
    <n v="-6106.5196800000049"/>
    <n v="-0.20611110333450519"/>
  </r>
  <r>
    <s v="ORD-2024-468655"/>
    <d v="2024-02-19T00:00:00"/>
    <x v="31"/>
    <s v="Q1-2024"/>
    <d v="2024-03-06T00:00:00"/>
    <s v="Valid"/>
    <n v="16"/>
    <d v="2024-03-06T00:00:00"/>
    <x v="1"/>
    <s v="Asia → China → Beijing"/>
    <x v="116"/>
    <x v="9"/>
    <s v="Beijing"/>
    <s v="Education"/>
    <x v="2"/>
    <x v="7"/>
    <x v="1"/>
    <x v="423"/>
    <n v="1477.84"/>
    <n v="3197.47"/>
    <s v="Valid"/>
    <n v="3197.47"/>
    <s v="High"/>
    <n v="0.24299999999999999"/>
    <s v="Valid"/>
    <n v="0.24299999999999999"/>
    <n v="24"/>
    <n v="58091.634960000003"/>
    <n v="35468.159999999996"/>
    <n v="22623.474960000007"/>
    <n v="0.38944462443823091"/>
  </r>
  <r>
    <s v="ORD-2024-515105"/>
    <d v="2024-02-27T00:00:00"/>
    <x v="31"/>
    <s v="Q1-2024"/>
    <d v="2024-03-26T00:00:00"/>
    <s v="Valid"/>
    <n v="28"/>
    <d v="2024-03-26T00:00:00"/>
    <x v="1"/>
    <s v="Asia → India → Mumbai"/>
    <x v="231"/>
    <x v="4"/>
    <s v="Mumbai"/>
    <s v="Education"/>
    <x v="2"/>
    <x v="3"/>
    <x v="4"/>
    <x v="424"/>
    <n v="1035.19"/>
    <n v="2322.6999999999998"/>
    <s v="Valid"/>
    <n v="2322.6999999999998"/>
    <s v="High"/>
    <n v="0.17299999999999999"/>
    <s v="Valid"/>
    <n v="0.17299999999999999"/>
    <n v="8"/>
    <n v="15366.983199999999"/>
    <n v="8281.52"/>
    <n v="7085.4631999999983"/>
    <n v="0.46108355217047409"/>
  </r>
  <r>
    <s v="ORD-2025-803803"/>
    <d v="2025-08-28T00:00:00"/>
    <x v="28"/>
    <s v="Q3-2025"/>
    <d v="2025-09-05T00:00:00"/>
    <s v="Valid"/>
    <n v="8"/>
    <d v="2025-09-05T00:00:00"/>
    <x v="0"/>
    <s v="Africa → Nigeria → Port Harcourt"/>
    <x v="208"/>
    <x v="1"/>
    <s v="Port Harcourt"/>
    <s v="Small Business"/>
    <x v="2"/>
    <x v="6"/>
    <x v="4"/>
    <x v="425"/>
    <n v="1271.0999999999999"/>
    <n v="1932.42"/>
    <s v="Valid"/>
    <n v="1932.42"/>
    <s v="High"/>
    <n v="0.25"/>
    <s v="Valid"/>
    <n v="0.25"/>
    <n v="21"/>
    <n v="30435.614999999998"/>
    <n v="26693.1"/>
    <n v="3742.5149999999994"/>
    <n v="0.12296498690760807"/>
  </r>
  <r>
    <s v="ORD-2024-993481"/>
    <d v="2024-08-18T00:00:00"/>
    <x v="21"/>
    <s v="Q3-2024"/>
    <d v="2024-09-12T00:00:00"/>
    <s v="Valid"/>
    <n v="25"/>
    <d v="2024-09-12T00:00:00"/>
    <x v="1"/>
    <s v="Asia → India → Mumbai"/>
    <x v="131"/>
    <x v="4"/>
    <s v="Mumbai"/>
    <s v="Consumer"/>
    <x v="2"/>
    <x v="0"/>
    <x v="3"/>
    <x v="426"/>
    <n v="1154.03"/>
    <n v="1590.36"/>
    <s v="Valid"/>
    <n v="1590.36"/>
    <s v="Medium"/>
    <n v="0.314"/>
    <s v="High Discount"/>
    <n v="0.3"/>
    <n v="18"/>
    <n v="20038.536"/>
    <n v="20772.54"/>
    <n v="-734.00400000000081"/>
    <n v="-3.6629622044245191E-2"/>
  </r>
  <r>
    <s v="ORD-2024-811752"/>
    <d v="2024-02-25T00:00:00"/>
    <x v="31"/>
    <s v="Q1-2024"/>
    <d v="2024-03-09T00:00:00"/>
    <s v="Valid"/>
    <n v="13"/>
    <d v="2024-03-09T00:00:00"/>
    <x v="3"/>
    <s v="Europe → France → Marseille"/>
    <x v="130"/>
    <x v="7"/>
    <s v="Marseille"/>
    <s v="Small Business"/>
    <x v="3"/>
    <x v="6"/>
    <x v="5"/>
    <x v="427"/>
    <n v="322.44"/>
    <n v="395.61"/>
    <s v="Valid"/>
    <n v="395.61"/>
    <s v="Low"/>
    <n v="0"/>
    <s v="Valid"/>
    <n v="0"/>
    <n v="34"/>
    <n v="13450.74"/>
    <n v="10962.96"/>
    <n v="2487.7800000000007"/>
    <n v="0.18495487980586947"/>
  </r>
  <r>
    <s v="ORD-2025-673091"/>
    <d v="2025-05-07T00:00:00"/>
    <x v="8"/>
    <s v="Q2-2025"/>
    <d v="2025-05-13T00:00:00"/>
    <s v="Valid"/>
    <n v="6"/>
    <d v="2025-05-13T00:00:00"/>
    <x v="1"/>
    <s v="Asia → India → Bengaluru"/>
    <x v="206"/>
    <x v="4"/>
    <s v="Bengaluru"/>
    <s v="Enterprise"/>
    <x v="4"/>
    <x v="1"/>
    <x v="3"/>
    <x v="428"/>
    <n v="935.98"/>
    <n v="2077.69"/>
    <s v="Valid"/>
    <n v="2077.69"/>
    <s v="High"/>
    <n v="0.17499999999999999"/>
    <s v="Valid"/>
    <n v="0.17499999999999999"/>
    <n v="24"/>
    <n v="41138.261999999995"/>
    <n v="22463.52"/>
    <n v="18674.741999999995"/>
    <n v="0.45395067978321491"/>
  </r>
  <r>
    <s v="ORD-2024-381197"/>
    <d v="2024-11-01T00:00:00"/>
    <x v="18"/>
    <s v="Q4-2024"/>
    <d v="2024-11-12T00:00:00"/>
    <s v="Valid"/>
    <n v="11"/>
    <d v="2024-11-12T00:00:00"/>
    <x v="3"/>
    <s v="Europe → Germany → Frankfurt"/>
    <x v="268"/>
    <x v="6"/>
    <s v="Frankfurt"/>
    <s v="Consumer"/>
    <x v="1"/>
    <x v="5"/>
    <x v="1"/>
    <x v="429"/>
    <n v="599.84"/>
    <n v="1330.85"/>
    <s v="Valid"/>
    <n v="1330.85"/>
    <s v="Medium"/>
    <n v="0.115"/>
    <s v="Valid"/>
    <n v="0.115"/>
    <n v="11"/>
    <n v="12955.824749999998"/>
    <n v="6598.2400000000007"/>
    <n v="6357.5847499999973"/>
    <n v="0.49071246892252063"/>
  </r>
  <r>
    <s v="ORD-2024-651852"/>
    <d v="2024-12-28T00:00:00"/>
    <x v="6"/>
    <s v="Q4-2024"/>
    <d v="2025-01-08T00:00:00"/>
    <s v="Valid"/>
    <n v="11"/>
    <d v="2025-01-08T00:00:00"/>
    <x v="1"/>
    <s v="Asia → China → Shenzhen"/>
    <x v="65"/>
    <x v="9"/>
    <s v="Shenzhen"/>
    <s v="Enterprise"/>
    <x v="1"/>
    <x v="11"/>
    <x v="4"/>
    <x v="430"/>
    <n v="1201.31"/>
    <n v="2764.65"/>
    <s v="Valid"/>
    <n v="2764.65"/>
    <s v="High"/>
    <n v="0"/>
    <s v="Valid"/>
    <n v="0"/>
    <n v="21"/>
    <n v="58057.65"/>
    <n v="25227.51"/>
    <n v="32830.14"/>
    <n v="0.56547483406579491"/>
  </r>
  <r>
    <s v="ORD-2023-659070"/>
    <d v="2023-10-21T00:00:00"/>
    <x v="32"/>
    <s v="Q4-2023"/>
    <d v="2023-10-21T00:00:00"/>
    <s v="Valid"/>
    <n v="0"/>
    <d v="2023-10-21T00:00:00"/>
    <x v="3"/>
    <s v="Europe → United Kingdom → Manchester"/>
    <x v="209"/>
    <x v="8"/>
    <s v="Manchester"/>
    <s v="Enterprise"/>
    <x v="3"/>
    <x v="1"/>
    <x v="5"/>
    <x v="431"/>
    <n v="384.19"/>
    <n v="278.35000000000002"/>
    <s v="Valid"/>
    <n v="278.35000000000002"/>
    <s v="Low"/>
    <n v="5.6000000000000001E-2"/>
    <s v="Valid"/>
    <n v="5.6000000000000001E-2"/>
    <n v="10"/>
    <n v="2627.6239999999998"/>
    <n v="3841.9"/>
    <n v="-1214.2760000000003"/>
    <n v="-0.46211938998882657"/>
  </r>
  <r>
    <s v="ORD-2024-837651"/>
    <d v="2024-12-10T00:00:00"/>
    <x v="6"/>
    <s v="Q4-2024"/>
    <d v="2024-12-19T00:00:00"/>
    <s v="Valid"/>
    <n v="9"/>
    <d v="2024-12-19T00:00:00"/>
    <x v="0"/>
    <s v="Africa → Nigeria → Lagos"/>
    <x v="269"/>
    <x v="1"/>
    <s v="Lagos"/>
    <s v="Corporate"/>
    <x v="0"/>
    <x v="7"/>
    <x v="5"/>
    <x v="432"/>
    <n v="488.68"/>
    <n v="984.36"/>
    <s v="Valid"/>
    <n v="984.36"/>
    <s v="Medium"/>
    <n v="5.8999999999999997E-2"/>
    <s v="Valid"/>
    <n v="5.8999999999999997E-2"/>
    <n v="14"/>
    <n v="12967.958640000001"/>
    <n v="6841.52"/>
    <n v="6126.4386400000003"/>
    <n v="0.47242891576649876"/>
  </r>
  <r>
    <s v="ORD-2024-581530"/>
    <d v="2024-09-07T00:00:00"/>
    <x v="29"/>
    <s v="Q3-2024"/>
    <d v="2024-09-18T00:00:00"/>
    <s v="Valid"/>
    <n v="11"/>
    <d v="2024-09-18T00:00:00"/>
    <x v="1"/>
    <s v="Asia → China → Beijing"/>
    <x v="90"/>
    <x v="9"/>
    <s v="Beijing"/>
    <s v="Consumer"/>
    <x v="3"/>
    <x v="7"/>
    <x v="2"/>
    <x v="433"/>
    <n v="181.74"/>
    <n v="190.84"/>
    <s v="Valid"/>
    <n v="190.84"/>
    <s v="Low"/>
    <n v="0.214"/>
    <s v="Valid"/>
    <n v="0.214"/>
    <n v="13"/>
    <n v="1950.0031200000001"/>
    <n v="2362.62"/>
    <n v="-412.61687999999981"/>
    <n v="-0.21159806144310159"/>
  </r>
  <r>
    <s v="ORD-2023-378104"/>
    <d v="2023-10-18T00:00:00"/>
    <x v="32"/>
    <s v="Q4-2023"/>
    <d v="2023-10-20T00:00:00"/>
    <s v="Valid"/>
    <n v="2"/>
    <d v="2023-10-20T00:00:00"/>
    <x v="0"/>
    <s v="Africa → Kenya → Kisumu"/>
    <x v="128"/>
    <x v="0"/>
    <s v="Kisumu"/>
    <s v="Consumer"/>
    <x v="0"/>
    <x v="1"/>
    <x v="3"/>
    <x v="434"/>
    <n v="774.12"/>
    <n v="908.3"/>
    <s v="Valid"/>
    <n v="908.3"/>
    <s v="Medium"/>
    <n v="0"/>
    <s v="Valid"/>
    <n v="0"/>
    <n v="30"/>
    <n v="27249"/>
    <n v="23223.599999999999"/>
    <n v="4025.4000000000015"/>
    <n v="0.14772652207420461"/>
  </r>
  <r>
    <s v="ORD-2024-972318"/>
    <d v="2024-12-24T00:00:00"/>
    <x v="6"/>
    <s v="Q4-2024"/>
    <d v="2025-01-13T00:00:00"/>
    <s v="Valid"/>
    <n v="20"/>
    <d v="2025-01-13T00:00:00"/>
    <x v="1"/>
    <s v="Asia → India → Bengaluru"/>
    <x v="6"/>
    <x v="4"/>
    <s v="Bengaluru"/>
    <s v="Corporate"/>
    <x v="2"/>
    <x v="14"/>
    <x v="2"/>
    <x v="435"/>
    <n v="126.15"/>
    <n v="284.23"/>
    <s v="Valid"/>
    <n v="284.23"/>
    <s v="Low"/>
    <n v="0.113"/>
    <s v="Valid"/>
    <n v="0.113"/>
    <n v="22"/>
    <n v="5546.4642200000008"/>
    <n v="2775.3"/>
    <n v="2771.1642200000006"/>
    <n v="0.49962716968541088"/>
  </r>
  <r>
    <s v="ORD-2023-752962"/>
    <d v="2023-04-21T00:00:00"/>
    <x v="12"/>
    <s v="Q2-2023"/>
    <d v="2023-04-19T00:00:00"/>
    <s v="Invalid RequiredDate"/>
    <n v="-2"/>
    <d v="2023-05-17T00:00:00"/>
    <x v="1"/>
    <s v="Asia → Japan → Nagoya"/>
    <x v="270"/>
    <x v="2"/>
    <s v="Nagoya"/>
    <s v="Small Business"/>
    <x v="4"/>
    <x v="12"/>
    <x v="0"/>
    <x v="436"/>
    <n v="607.04"/>
    <n v="1229.3399999999999"/>
    <s v="Valid"/>
    <n v="1229.3399999999999"/>
    <s v="Medium"/>
    <n v="0.14699999999999999"/>
    <s v="Valid"/>
    <n v="0.14699999999999999"/>
    <n v="7"/>
    <n v="7340.3891399999993"/>
    <n v="4249.28"/>
    <n v="3091.1091399999996"/>
    <n v="0.42110970972310058"/>
  </r>
  <r>
    <s v="ORD-2023-808024"/>
    <d v="2023-12-30T00:00:00"/>
    <x v="4"/>
    <s v="Q4-2023"/>
    <d v="2024-01-08T00:00:00"/>
    <s v="Valid"/>
    <n v="9"/>
    <d v="2024-01-08T00:00:00"/>
    <x v="3"/>
    <s v="Europe → France → Marseille"/>
    <x v="241"/>
    <x v="7"/>
    <s v="Marseille"/>
    <s v="Consumer"/>
    <x v="2"/>
    <x v="4"/>
    <x v="6"/>
    <x v="437"/>
    <n v="861.1"/>
    <n v="1224.72"/>
    <s v="Valid"/>
    <n v="1224.72"/>
    <s v="Medium"/>
    <n v="0.17399999999999999"/>
    <s v="Valid"/>
    <n v="0.17399999999999999"/>
    <n v="24"/>
    <n v="24278.849280000002"/>
    <n v="20666.400000000001"/>
    <n v="3612.4492800000007"/>
    <n v="0.14878997098827909"/>
  </r>
  <r>
    <s v="ORD-2023-156396"/>
    <d v="2023-02-21T00:00:00"/>
    <x v="2"/>
    <s v="Q1-2023"/>
    <d v="2023-03-12T00:00:00"/>
    <s v="Valid"/>
    <n v="19"/>
    <d v="2023-03-12T00:00:00"/>
    <x v="0"/>
    <s v="Africa → Kenya → Nakuru"/>
    <x v="2"/>
    <x v="0"/>
    <s v="Nakuru"/>
    <s v="Corporate"/>
    <x v="1"/>
    <x v="9"/>
    <x v="2"/>
    <x v="438"/>
    <n v="352.65"/>
    <n v="485.86"/>
    <s v="Valid"/>
    <n v="485.86"/>
    <s v="Low"/>
    <n v="4.1000000000000002E-2"/>
    <s v="Valid"/>
    <n v="4.1000000000000002E-2"/>
    <n v="6"/>
    <n v="2795.6384399999997"/>
    <n v="2115.8999999999996"/>
    <n v="679.73844000000008"/>
    <n v="0.24314247159943908"/>
  </r>
  <r>
    <s v="ORD-2023-184577"/>
    <d v="2023-05-17T00:00:00"/>
    <x v="15"/>
    <s v="Q2-2023"/>
    <d v="2023-06-03T00:00:00"/>
    <s v="Valid"/>
    <n v="17"/>
    <d v="2023-06-03T00:00:00"/>
    <x v="1"/>
    <s v="Asia → China → Beijing"/>
    <x v="21"/>
    <x v="9"/>
    <s v="Beijing"/>
    <s v="Non-Profit"/>
    <x v="3"/>
    <x v="12"/>
    <x v="1"/>
    <x v="439"/>
    <n v="979.59"/>
    <n v="2210.94"/>
    <s v="Valid"/>
    <n v="2210.94"/>
    <s v="High"/>
    <n v="0.15"/>
    <s v="Valid"/>
    <n v="0.15"/>
    <n v="11"/>
    <n v="20672.289000000001"/>
    <n v="10775.49"/>
    <n v="9896.7990000000009"/>
    <n v="0.47874712858358359"/>
  </r>
  <r>
    <s v="ORD-2024-446030"/>
    <d v="2024-03-23T00:00:00"/>
    <x v="0"/>
    <s v="Q1-2024"/>
    <d v="2024-03-26T00:00:00"/>
    <s v="Valid"/>
    <n v="3"/>
    <d v="2024-03-26T00:00:00"/>
    <x v="1"/>
    <s v="Asia → India → Bengaluru"/>
    <x v="271"/>
    <x v="4"/>
    <s v="Bengaluru"/>
    <s v="Education"/>
    <x v="4"/>
    <x v="3"/>
    <x v="3"/>
    <x v="440"/>
    <n v="382.21"/>
    <n v="571.89"/>
    <s v="Valid"/>
    <n v="571.89"/>
    <s v="Low"/>
    <n v="0.14799999999999999"/>
    <s v="Valid"/>
    <n v="0.14799999999999999"/>
    <n v="26"/>
    <n v="12668.50728"/>
    <n v="9937.4599999999991"/>
    <n v="2731.0472800000007"/>
    <n v="0.2155776698578809"/>
  </r>
  <r>
    <s v="ORD-2023-842820"/>
    <d v="2023-09-20T00:00:00"/>
    <x v="27"/>
    <s v="Q3-2023"/>
    <d v="2023-09-28T00:00:00"/>
    <s v="Valid"/>
    <n v="8"/>
    <d v="2023-09-28T00:00:00"/>
    <x v="1"/>
    <s v="Asia → India → unknown"/>
    <x v="67"/>
    <x v="4"/>
    <s v="unknown"/>
    <s v="Corporate"/>
    <x v="5"/>
    <x v="5"/>
    <x v="6"/>
    <x v="441"/>
    <n v="1362.06"/>
    <n v="3398.37"/>
    <s v="Valid"/>
    <n v="3398.37"/>
    <s v="High"/>
    <n v="0.157"/>
    <s v="Valid"/>
    <n v="0.157"/>
    <n v="11"/>
    <n v="31513.085009999999"/>
    <n v="14982.66"/>
    <n v="16530.425009999999"/>
    <n v="0.52455749745714919"/>
  </r>
  <r>
    <s v="ORD-2024-745424"/>
    <d v="2024-08-22T00:00:00"/>
    <x v="21"/>
    <s v="Q3-2024"/>
    <d v="2024-09-04T00:00:00"/>
    <s v="Valid"/>
    <n v="13"/>
    <d v="2024-09-04T00:00:00"/>
    <x v="3"/>
    <s v="Europe → Germany → Frankfurt"/>
    <x v="37"/>
    <x v="6"/>
    <s v="Frankfurt"/>
    <s v="Non-Profit"/>
    <x v="0"/>
    <x v="4"/>
    <x v="1"/>
    <x v="442"/>
    <n v="90.04"/>
    <n v="194.62"/>
    <s v="Valid"/>
    <n v="194.62"/>
    <s v="Low"/>
    <n v="4.2999999999999997E-2"/>
    <s v="Valid"/>
    <n v="4.2999999999999997E-2"/>
    <n v="32"/>
    <n v="5960.04288"/>
    <n v="2881.28"/>
    <n v="3078.7628799999998"/>
    <n v="0.51656723650954672"/>
  </r>
  <r>
    <s v="ORD-2024-510520"/>
    <d v="2024-09-25T00:00:00"/>
    <x v="29"/>
    <s v="Q3-2024"/>
    <d v="2024-10-03T00:00:00"/>
    <s v="Valid"/>
    <n v="8"/>
    <d v="2024-10-03T00:00:00"/>
    <x v="2"/>
    <s v="Americas → Canada → Toronto"/>
    <x v="124"/>
    <x v="3"/>
    <s v="Toronto"/>
    <s v="Consumer"/>
    <x v="1"/>
    <x v="6"/>
    <x v="1"/>
    <x v="443"/>
    <n v="558.19000000000005"/>
    <n v="1031.6400000000001"/>
    <s v="Valid"/>
    <n v="1031.6400000000001"/>
    <s v="Medium"/>
    <n v="0"/>
    <s v="Valid"/>
    <n v="0"/>
    <n v="21"/>
    <n v="21664.440000000002"/>
    <n v="11721.990000000002"/>
    <n v="9942.4500000000007"/>
    <n v="0.45892947152107322"/>
  </r>
  <r>
    <s v="ORD-2023-769774"/>
    <d v="2023-06-13T00:00:00"/>
    <x v="23"/>
    <s v="Q2-2023"/>
    <d v="2023-06-24T00:00:00"/>
    <s v="Valid"/>
    <n v="11"/>
    <d v="2023-06-24T00:00:00"/>
    <x v="2"/>
    <s v="Americas → Canada → Toronto"/>
    <x v="214"/>
    <x v="3"/>
    <s v="Toronto"/>
    <s v="Corporate"/>
    <x v="1"/>
    <x v="0"/>
    <x v="1"/>
    <x v="444"/>
    <n v="247.07"/>
    <n v="495.19"/>
    <s v="Valid"/>
    <n v="495.19"/>
    <s v="Low"/>
    <n v="2.8000000000000001E-2"/>
    <s v="Valid"/>
    <n v="2.8000000000000001E-2"/>
    <n v="4"/>
    <n v="1925.29872"/>
    <n v="988.28"/>
    <n v="937.01872000000003"/>
    <n v="0.48668744764968214"/>
  </r>
  <r>
    <s v="ORD-2023-580751"/>
    <d v="2023-12-24T00:00:00"/>
    <x v="4"/>
    <s v="Q4-2023"/>
    <d v="2024-01-13T00:00:00"/>
    <s v="Valid"/>
    <n v="20"/>
    <d v="2024-01-13T00:00:00"/>
    <x v="1"/>
    <s v="Asia → Japan → Nagoya"/>
    <x v="4"/>
    <x v="2"/>
    <s v="Nagoya"/>
    <s v="Education"/>
    <x v="4"/>
    <x v="5"/>
    <x v="4"/>
    <x v="445"/>
    <n v="625.37"/>
    <n v="1319.04"/>
    <s v="Valid"/>
    <n v="1319.04"/>
    <s v="Medium"/>
    <n v="7.3999999999999996E-2"/>
    <s v="Valid"/>
    <n v="7.3999999999999996E-2"/>
    <n v="8"/>
    <n v="9771.4483199999995"/>
    <n v="5002.96"/>
    <n v="4768.4883199999995"/>
    <n v="0.48800220436513547"/>
  </r>
  <r>
    <s v="ORD-2025-473192"/>
    <d v="2025-03-30T00:00:00"/>
    <x v="3"/>
    <s v="Q1-2025"/>
    <d v="2025-04-29T00:00:00"/>
    <s v="Valid"/>
    <n v="30"/>
    <d v="2025-04-29T00:00:00"/>
    <x v="0"/>
    <s v="Africa → South Africa → Durban"/>
    <x v="272"/>
    <x v="11"/>
    <s v="Durban"/>
    <s v="Consumer"/>
    <x v="2"/>
    <x v="1"/>
    <x v="5"/>
    <x v="446"/>
    <n v="194.6"/>
    <n v="314.87"/>
    <s v="Valid"/>
    <n v="314.87"/>
    <s v="Low"/>
    <n v="0.29299999999999998"/>
    <s v="Valid"/>
    <n v="0.29299999999999998"/>
    <n v="25"/>
    <n v="5565.3272500000003"/>
    <n v="4865"/>
    <n v="700.32725000000028"/>
    <n v="0.1258375686712763"/>
  </r>
  <r>
    <s v="ORD-2024-886939"/>
    <d v="2024-06-03T00:00:00"/>
    <x v="17"/>
    <s v="Q2-2024"/>
    <d v="2024-06-24T00:00:00"/>
    <s v="Valid"/>
    <n v="21"/>
    <d v="2024-06-24T00:00:00"/>
    <x v="2"/>
    <s v="Americas → Canada → Toronto"/>
    <x v="119"/>
    <x v="3"/>
    <s v="Toronto"/>
    <s v="Small Business"/>
    <x v="4"/>
    <x v="3"/>
    <x v="5"/>
    <x v="447"/>
    <n v="1205.5"/>
    <n v="2210.17"/>
    <s v="Valid"/>
    <n v="2210.17"/>
    <s v="High"/>
    <n v="0.104"/>
    <s v="Valid"/>
    <n v="0.104"/>
    <n v="23"/>
    <n v="45547.183360000003"/>
    <n v="27726.5"/>
    <n v="17820.683360000003"/>
    <n v="0.39125763758314652"/>
  </r>
  <r>
    <s v="ORD-2024-566589"/>
    <d v="2024-06-11T00:00:00"/>
    <x v="17"/>
    <s v="Q2-2024"/>
    <d v="2024-07-09T00:00:00"/>
    <s v="Valid"/>
    <n v="28"/>
    <d v="2024-07-09T00:00:00"/>
    <x v="0"/>
    <s v="Africa → Nigeria → Port Harcourt"/>
    <x v="273"/>
    <x v="1"/>
    <s v="Port Harcourt"/>
    <s v="Corporate"/>
    <x v="2"/>
    <x v="2"/>
    <x v="3"/>
    <x v="448"/>
    <n v="895.54"/>
    <n v="1045"/>
    <s v="Valid"/>
    <n v="1045"/>
    <s v="Medium"/>
    <n v="0.216"/>
    <s v="Valid"/>
    <n v="0.216"/>
    <n v="15"/>
    <n v="12289.2"/>
    <n v="13433.099999999999"/>
    <n v="-1143.8999999999978"/>
    <n v="-9.3081730299775234E-2"/>
  </r>
  <r>
    <s v="ORD-2023-109927"/>
    <d v="2023-07-22T00:00:00"/>
    <x v="24"/>
    <s v="Q3-2023"/>
    <d v="2023-07-21T00:00:00"/>
    <s v="Invalid RequiredDate"/>
    <n v="-1"/>
    <d v="2023-08-17T00:00:00"/>
    <x v="1"/>
    <s v="Asia → India → Delhi"/>
    <x v="274"/>
    <x v="4"/>
    <s v="Delhi"/>
    <s v="Small Business"/>
    <x v="3"/>
    <x v="6"/>
    <x v="1"/>
    <x v="449"/>
    <n v="946.99"/>
    <n v="2132.19"/>
    <s v="Valid"/>
    <n v="2132.19"/>
    <s v="High"/>
    <n v="0.16500000000000001"/>
    <s v="Valid"/>
    <n v="0.16500000000000001"/>
    <n v="7"/>
    <n v="12462.65055"/>
    <n v="6628.93"/>
    <n v="5833.72055"/>
    <n v="0.46809629513362228"/>
  </r>
  <r>
    <s v="ORD-2023-780206"/>
    <d v="2023-01-19T00:00:00"/>
    <x v="5"/>
    <s v="Q1-2023"/>
    <d v="2023-02-03T00:00:00"/>
    <s v="Valid"/>
    <n v="15"/>
    <d v="2023-02-03T00:00:00"/>
    <x v="3"/>
    <s v="Europe → United Kingdom → London"/>
    <x v="113"/>
    <x v="8"/>
    <s v="London"/>
    <s v="Enterprise"/>
    <x v="3"/>
    <x v="3"/>
    <x v="6"/>
    <x v="450"/>
    <n v="873.06"/>
    <n v="2101.5500000000002"/>
    <s v="Valid"/>
    <n v="2101.5500000000002"/>
    <s v="High"/>
    <n v="6.6000000000000003E-2"/>
    <s v="Valid"/>
    <n v="6.6000000000000003E-2"/>
    <n v="10"/>
    <n v="19628.476999999999"/>
    <n v="8730.5999999999985"/>
    <n v="10897.877"/>
    <n v="0.55520746719167269"/>
  </r>
  <r>
    <s v="ORD-2024-851993"/>
    <d v="2024-05-01T00:00:00"/>
    <x v="7"/>
    <s v="Q2-2024"/>
    <d v="2024-05-16T00:00:00"/>
    <s v="Valid"/>
    <n v="15"/>
    <d v="2024-05-16T00:00:00"/>
    <x v="1"/>
    <s v="Asia → India → Bengaluru"/>
    <x v="275"/>
    <x v="4"/>
    <s v="Bengaluru"/>
    <s v="Small Business"/>
    <x v="0"/>
    <x v="4"/>
    <x v="0"/>
    <x v="451"/>
    <n v="901.19"/>
    <n v="2125.44"/>
    <s v="Valid"/>
    <n v="2125.44"/>
    <s v="High"/>
    <n v="7.0999999999999994E-2"/>
    <s v="Valid"/>
    <n v="7.0999999999999994E-2"/>
    <n v="12"/>
    <n v="23694.405119999999"/>
    <n v="10814.28"/>
    <n v="12880.125119999999"/>
    <n v="0.54359352154100415"/>
  </r>
  <r>
    <s v="ORD-2025-417942"/>
    <d v="2025-06-09T00:00:00"/>
    <x v="16"/>
    <s v="Q2-2025"/>
    <d v="2025-06-24T00:00:00"/>
    <s v="Valid"/>
    <n v="15"/>
    <d v="2025-06-24T00:00:00"/>
    <x v="1"/>
    <s v="Asia → Japan → Nagoya"/>
    <x v="276"/>
    <x v="2"/>
    <s v="Nagoya"/>
    <s v="Corporate"/>
    <x v="4"/>
    <x v="5"/>
    <x v="3"/>
    <x v="452"/>
    <n v="400.39"/>
    <n v="712.75"/>
    <s v="Valid"/>
    <n v="712.75"/>
    <s v="Medium"/>
    <n v="0.115"/>
    <s v="Valid"/>
    <n v="0.115"/>
    <n v="19"/>
    <n v="11984.891250000001"/>
    <n v="7607.41"/>
    <n v="4377.4812500000007"/>
    <n v="0.36524997671547504"/>
  </r>
  <r>
    <s v="ORD-2023-172095"/>
    <d v="2023-05-24T00:00:00"/>
    <x v="15"/>
    <s v="Q2-2023"/>
    <d v="2023-06-21T00:00:00"/>
    <s v="Valid"/>
    <n v="28"/>
    <d v="2023-06-21T00:00:00"/>
    <x v="2"/>
    <s v="Americas → USA → Austin"/>
    <x v="156"/>
    <x v="10"/>
    <s v="Austin"/>
    <s v="Small Business"/>
    <x v="2"/>
    <x v="3"/>
    <x v="5"/>
    <x v="453"/>
    <n v="813.97"/>
    <n v="1568.83"/>
    <s v="Valid"/>
    <n v="1568.83"/>
    <s v="Medium"/>
    <n v="1.7000000000000001E-2"/>
    <s v="Valid"/>
    <n v="1.7000000000000001E-2"/>
    <n v="15"/>
    <n v="23132.398349999996"/>
    <n v="12209.550000000001"/>
    <n v="10922.848349999995"/>
    <n v="0.4721883215364911"/>
  </r>
  <r>
    <s v="ORD-2024-257550"/>
    <d v="2024-12-27T00:00:00"/>
    <x v="6"/>
    <s v="Q4-2024"/>
    <d v="2024-12-29T00:00:00"/>
    <s v="Valid"/>
    <n v="2"/>
    <d v="2024-12-29T00:00:00"/>
    <x v="2"/>
    <s v="Americas → Canada → Vancouver"/>
    <x v="89"/>
    <x v="3"/>
    <s v="Vancouver"/>
    <s v="Enterprise"/>
    <x v="2"/>
    <x v="0"/>
    <x v="6"/>
    <x v="454"/>
    <n v="1146.72"/>
    <n v="2074.34"/>
    <s v="Valid"/>
    <n v="2074.34"/>
    <s v="High"/>
    <n v="0.111"/>
    <s v="Valid"/>
    <n v="0.111"/>
    <n v="8"/>
    <n v="14752.706080000002"/>
    <n v="9173.76"/>
    <n v="5578.9460800000015"/>
    <n v="0.37816425337472737"/>
  </r>
  <r>
    <s v="ORD-2023-581799"/>
    <d v="2023-12-05T00:00:00"/>
    <x v="4"/>
    <s v="Q4-2023"/>
    <d v="2023-12-12T00:00:00"/>
    <s v="Valid"/>
    <n v="7"/>
    <d v="2023-12-12T00:00:00"/>
    <x v="2"/>
    <s v="Americas → Brazil → Brasília"/>
    <x v="59"/>
    <x v="5"/>
    <s v="Brasília"/>
    <s v="Corporate"/>
    <x v="4"/>
    <x v="9"/>
    <x v="3"/>
    <x v="455"/>
    <n v="307.43"/>
    <n v="495.19"/>
    <s v="Valid"/>
    <n v="495.19"/>
    <s v="Low"/>
    <n v="0"/>
    <s v="Valid"/>
    <n v="0"/>
    <n v="42"/>
    <n v="20797.98"/>
    <n v="12912.06"/>
    <n v="7885.92"/>
    <n v="0.37916759223732305"/>
  </r>
  <r>
    <s v="ORD-2023-880296"/>
    <d v="2023-05-02T00:00:00"/>
    <x v="15"/>
    <s v="Q2-2023"/>
    <d v="2023-05-19T00:00:00"/>
    <s v="Valid"/>
    <n v="17"/>
    <d v="2023-05-19T00:00:00"/>
    <x v="1"/>
    <s v="Asia → China → Shanghai"/>
    <x v="21"/>
    <x v="9"/>
    <s v="Shanghai"/>
    <s v="Non-Profit"/>
    <x v="4"/>
    <x v="1"/>
    <x v="5"/>
    <x v="456"/>
    <n v="714.28"/>
    <n v="757.59"/>
    <s v="Valid"/>
    <n v="757.59"/>
    <s v="Medium"/>
    <n v="0.13600000000000001"/>
    <s v="Valid"/>
    <n v="0.13600000000000001"/>
    <n v="12"/>
    <n v="7854.6931199999999"/>
    <n v="8571.36"/>
    <n v="-716.66688000000067"/>
    <n v="-9.1240595787910383E-2"/>
  </r>
  <r>
    <s v="ORD-2023-191563"/>
    <d v="2023-11-30T00:00:00"/>
    <x v="30"/>
    <s v="Q4-2023"/>
    <d v="2023-12-10T00:00:00"/>
    <s v="Valid"/>
    <n v="10"/>
    <d v="2023-12-10T00:00:00"/>
    <x v="3"/>
    <s v="Europe → Germany → Munich"/>
    <x v="277"/>
    <x v="6"/>
    <s v="Munich"/>
    <s v="Small Business"/>
    <x v="4"/>
    <x v="9"/>
    <x v="4"/>
    <x v="457"/>
    <n v="174.74"/>
    <n v="415.96"/>
    <s v="Valid"/>
    <n v="415.96"/>
    <s v="Low"/>
    <n v="0.125"/>
    <s v="Valid"/>
    <n v="0.125"/>
    <n v="21"/>
    <n v="7643.2649999999994"/>
    <n v="3669.54"/>
    <n v="3973.7249999999995"/>
    <n v="0.51989889137691803"/>
  </r>
  <r>
    <s v="ORD-2024-202166"/>
    <d v="2024-05-05T00:00:00"/>
    <x v="7"/>
    <s v="Q2-2024"/>
    <d v="2024-05-18T00:00:00"/>
    <s v="Valid"/>
    <n v="13"/>
    <d v="2024-05-18T00:00:00"/>
    <x v="3"/>
    <s v="Europe → France → Marseille"/>
    <x v="138"/>
    <x v="7"/>
    <s v="Marseille"/>
    <s v="Corporate"/>
    <x v="2"/>
    <x v="8"/>
    <x v="0"/>
    <x v="458"/>
    <n v="1264.04"/>
    <n v="1870.89"/>
    <s v="Valid"/>
    <n v="1870.89"/>
    <s v="Medium"/>
    <n v="0"/>
    <s v="Valid"/>
    <n v="0"/>
    <n v="13"/>
    <n v="24321.57"/>
    <n v="16432.52"/>
    <n v="7889.0499999999993"/>
    <n v="0.32436433996653996"/>
  </r>
  <r>
    <s v="ORD-2023-539967"/>
    <d v="2023-07-09T00:00:00"/>
    <x v="24"/>
    <s v="Q3-2023"/>
    <d v="2023-07-19T00:00:00"/>
    <s v="Valid"/>
    <n v="10"/>
    <d v="2023-07-19T00:00:00"/>
    <x v="1"/>
    <s v="Asia → Japan → Tokyo"/>
    <x v="173"/>
    <x v="2"/>
    <s v="Tokyo"/>
    <s v="Enterprise"/>
    <x v="3"/>
    <x v="13"/>
    <x v="0"/>
    <x v="459"/>
    <n v="141.26"/>
    <n v="206.88"/>
    <s v="Valid"/>
    <n v="206.88"/>
    <s v="Low"/>
    <n v="0.107"/>
    <s v="Valid"/>
    <n v="0.107"/>
    <n v="9"/>
    <n v="1662.6945600000001"/>
    <n v="1271.3399999999999"/>
    <n v="391.35456000000022"/>
    <n v="0.23537369365062469"/>
  </r>
  <r>
    <s v="ORD-2023-704111"/>
    <d v="2023-05-17T00:00:00"/>
    <x v="15"/>
    <s v="Q2-2023"/>
    <d v="2023-06-15T00:00:00"/>
    <s v="Valid"/>
    <n v="29"/>
    <d v="2023-06-15T00:00:00"/>
    <x v="0"/>
    <s v="Africa → South Africa → Durban"/>
    <x v="66"/>
    <x v="11"/>
    <s v="Durban"/>
    <s v="Enterprise"/>
    <x v="0"/>
    <x v="11"/>
    <x v="6"/>
    <x v="460"/>
    <n v="40.89"/>
    <n v="62.82"/>
    <s v="Valid"/>
    <n v="62.82"/>
    <s v="Low"/>
    <n v="0.129"/>
    <s v="Valid"/>
    <n v="0.129"/>
    <n v="17"/>
    <n v="930.17574000000002"/>
    <n v="695.13"/>
    <n v="235.04574000000002"/>
    <n v="0.25268960465470752"/>
  </r>
  <r>
    <s v="ORD-2024-356812"/>
    <d v="2024-03-07T00:00:00"/>
    <x v="0"/>
    <s v="Q1-2024"/>
    <d v="2024-04-03T00:00:00"/>
    <s v="Valid"/>
    <n v="27"/>
    <d v="2024-04-03T00:00:00"/>
    <x v="3"/>
    <s v="Europe → Germany → Frankfurt"/>
    <x v="33"/>
    <x v="6"/>
    <s v="Frankfurt"/>
    <s v="Corporate"/>
    <x v="4"/>
    <x v="12"/>
    <x v="1"/>
    <x v="461"/>
    <n v="738.16"/>
    <n v="956.49"/>
    <s v="Valid"/>
    <n v="956.49"/>
    <s v="Medium"/>
    <n v="0.152"/>
    <s v="Valid"/>
    <n v="0.152"/>
    <n v="5"/>
    <n v="4055.5175999999997"/>
    <n v="3690.7999999999997"/>
    <n v="364.71759999999995"/>
    <n v="8.9931208780847108E-2"/>
  </r>
  <r>
    <s v="ORD-2025-306251"/>
    <d v="2025-04-10T00:00:00"/>
    <x v="19"/>
    <s v="Q2-2025"/>
    <d v="2025-04-19T00:00:00"/>
    <s v="Valid"/>
    <n v="9"/>
    <d v="2025-04-19T00:00:00"/>
    <x v="0"/>
    <s v="Africa → South Africa → Durban"/>
    <x v="278"/>
    <x v="11"/>
    <s v="Durban"/>
    <s v="Enterprise"/>
    <x v="5"/>
    <x v="3"/>
    <x v="2"/>
    <x v="462"/>
    <n v="113.74"/>
    <n v="165.7"/>
    <s v="Valid"/>
    <n v="165.7"/>
    <s v="Low"/>
    <n v="0.124"/>
    <s v="Valid"/>
    <n v="0.124"/>
    <n v="13"/>
    <n v="1886.9915999999998"/>
    <n v="1478.62"/>
    <n v="408.37159999999994"/>
    <n v="0.21641410592394794"/>
  </r>
  <r>
    <s v="ORD-2025-496178"/>
    <d v="2025-07-27T00:00:00"/>
    <x v="13"/>
    <s v="Q3-2025"/>
    <d v="2025-08-15T00:00:00"/>
    <s v="Valid"/>
    <n v="19"/>
    <d v="2025-08-15T00:00:00"/>
    <x v="1"/>
    <s v="Asia → Japan → Tokyo"/>
    <x v="279"/>
    <x v="2"/>
    <s v="Tokyo"/>
    <s v="Small Business"/>
    <x v="2"/>
    <x v="1"/>
    <x v="0"/>
    <x v="463"/>
    <n v="275.43"/>
    <n v="608.36"/>
    <s v="Valid"/>
    <n v="608.36"/>
    <s v="Low"/>
    <n v="0.25700000000000001"/>
    <s v="Valid"/>
    <n v="0.25700000000000001"/>
    <n v="4"/>
    <n v="1808.04592"/>
    <n v="1101.72"/>
    <n v="706.32592"/>
    <n v="0.39065706915231446"/>
  </r>
  <r>
    <s v="ORD-2024-508213"/>
    <d v="2024-11-22T00:00:00"/>
    <x v="18"/>
    <s v="Q4-2024"/>
    <d v="2024-12-15T00:00:00"/>
    <s v="Valid"/>
    <n v="23"/>
    <d v="2024-12-15T00:00:00"/>
    <x v="0"/>
    <s v="Africa → Kenya → Mombasa"/>
    <x v="188"/>
    <x v="0"/>
    <s v="Mombasa"/>
    <s v="Non-Profit"/>
    <x v="3"/>
    <x v="0"/>
    <x v="0"/>
    <x v="464"/>
    <n v="1335.76"/>
    <n v="2665.91"/>
    <s v="Valid"/>
    <n v="2665.91"/>
    <s v="High"/>
    <n v="0.21099999999999999"/>
    <s v="Valid"/>
    <n v="0.21099999999999999"/>
    <n v="40"/>
    <n v="84136.119600000005"/>
    <n v="53430.400000000001"/>
    <n v="30705.719600000004"/>
    <n v="0.36495288522909253"/>
  </r>
  <r>
    <s v="ORD-2024-787018"/>
    <d v="2024-06-23T00:00:00"/>
    <x v="17"/>
    <s v="Q2-2024"/>
    <d v="2024-06-28T00:00:00"/>
    <s v="Valid"/>
    <n v="5"/>
    <d v="2024-06-28T00:00:00"/>
    <x v="0"/>
    <s v="Africa → Nigeria → Port Harcourt"/>
    <x v="273"/>
    <x v="1"/>
    <s v="Port Harcourt"/>
    <s v="Non-Profit"/>
    <x v="4"/>
    <x v="12"/>
    <x v="6"/>
    <x v="465"/>
    <n v="242.31"/>
    <n v="587.95000000000005"/>
    <s v="Valid"/>
    <n v="587.95000000000005"/>
    <s v="Low"/>
    <n v="0.22900000000000001"/>
    <s v="Valid"/>
    <n v="0.22900000000000001"/>
    <n v="6"/>
    <n v="2719.8567000000003"/>
    <n v="1453.8600000000001"/>
    <n v="1265.9967000000001"/>
    <n v="0.46546448568411714"/>
  </r>
  <r>
    <s v="ORD-2023-728177"/>
    <d v="2023-12-18T00:00:00"/>
    <x v="4"/>
    <s v="Q4-2023"/>
    <d v="2024-01-14T00:00:00"/>
    <s v="Valid"/>
    <n v="27"/>
    <d v="2024-01-14T00:00:00"/>
    <x v="1"/>
    <s v="Asia → India → Mumbai"/>
    <x v="171"/>
    <x v="4"/>
    <s v="Mumbai"/>
    <s v="Consumer"/>
    <x v="3"/>
    <x v="14"/>
    <x v="2"/>
    <x v="466"/>
    <n v="1408.3"/>
    <n v="2193.13"/>
    <s v="Valid"/>
    <n v="2193.13"/>
    <s v="High"/>
    <n v="7.0999999999999994E-2"/>
    <s v="Valid"/>
    <n v="7.0999999999999994E-2"/>
    <n v="7"/>
    <n v="14261.92439"/>
    <n v="9858.1"/>
    <n v="4403.8243899999998"/>
    <n v="0.30878191957656281"/>
  </r>
  <r>
    <s v="ORD-2025-795385"/>
    <d v="2025-06-01T00:00:00"/>
    <x v="16"/>
    <s v="Q2-2025"/>
    <d v="2025-06-05T00:00:00"/>
    <s v="Valid"/>
    <n v="4"/>
    <d v="2025-06-05T00:00:00"/>
    <x v="3"/>
    <s v="Europe → Germany → Munich"/>
    <x v="193"/>
    <x v="6"/>
    <s v="Munich"/>
    <s v="Enterprise"/>
    <x v="4"/>
    <x v="12"/>
    <x v="0"/>
    <x v="467"/>
    <n v="1171.42"/>
    <n v="2187.8000000000002"/>
    <s v="Valid"/>
    <n v="2187.8000000000002"/>
    <s v="High"/>
    <n v="0.23"/>
    <s v="Valid"/>
    <n v="0.23"/>
    <n v="15"/>
    <n v="25269.09"/>
    <n v="17571.300000000003"/>
    <n v="7697.7899999999972"/>
    <n v="0.30463265594447592"/>
  </r>
  <r>
    <s v="ORD-2025-947929"/>
    <d v="2025-03-23T00:00:00"/>
    <x v="3"/>
    <s v="Q1-2025"/>
    <d v="2025-04-02T00:00:00"/>
    <s v="Valid"/>
    <n v="10"/>
    <d v="2025-04-02T00:00:00"/>
    <x v="3"/>
    <s v="Europe → Germany → Berlin"/>
    <x v="280"/>
    <x v="6"/>
    <s v="Berlin"/>
    <s v="Enterprise"/>
    <x v="1"/>
    <x v="6"/>
    <x v="1"/>
    <x v="468"/>
    <n v="663.61"/>
    <n v="1002.11"/>
    <s v="Valid"/>
    <n v="1002.11"/>
    <s v="Medium"/>
    <n v="4.5999999999999999E-2"/>
    <s v="Valid"/>
    <n v="4.5999999999999999E-2"/>
    <n v="17"/>
    <n v="16252.219979999998"/>
    <n v="11281.37"/>
    <n v="4970.8499799999972"/>
    <n v="0.30585667595670812"/>
  </r>
  <r>
    <s v="ORD-2023-931633"/>
    <d v="2023-05-14T00:00:00"/>
    <x v="15"/>
    <s v="Q2-2023"/>
    <d v="2023-05-22T00:00:00"/>
    <s v="Valid"/>
    <n v="8"/>
    <d v="2023-05-22T00:00:00"/>
    <x v="0"/>
    <s v="Africa → Kenya → Mombasa"/>
    <x v="92"/>
    <x v="0"/>
    <s v="Mombasa"/>
    <s v="Small Business"/>
    <x v="3"/>
    <x v="9"/>
    <x v="1"/>
    <x v="469"/>
    <n v="432.01"/>
    <n v="913.78"/>
    <s v="Valid"/>
    <n v="913.78"/>
    <s v="Medium"/>
    <n v="4.9000000000000002E-2"/>
    <s v="Valid"/>
    <n v="4.9000000000000002E-2"/>
    <n v="12"/>
    <n v="10428.057360000001"/>
    <n v="5184.12"/>
    <n v="5243.9373600000008"/>
    <n v="0.50286809699711899"/>
  </r>
  <r>
    <s v="ORD-2023-243704"/>
    <d v="2023-08-29T00:00:00"/>
    <x v="25"/>
    <s v="Q3-2023"/>
    <d v="2023-09-19T00:00:00"/>
    <s v="Valid"/>
    <n v="21"/>
    <d v="2023-09-19T00:00:00"/>
    <x v="3"/>
    <s v="Europe → France → Lyon"/>
    <x v="281"/>
    <x v="7"/>
    <s v="Lyon"/>
    <s v="Small Business"/>
    <x v="4"/>
    <x v="5"/>
    <x v="1"/>
    <x v="470"/>
    <n v="784.46"/>
    <n v="1843.51"/>
    <s v="Valid"/>
    <n v="1843.51"/>
    <s v="Medium"/>
    <n v="0.13800000000000001"/>
    <s v="Valid"/>
    <n v="0.13800000000000001"/>
    <n v="23"/>
    <n v="36549.429260000004"/>
    <n v="18042.580000000002"/>
    <n v="18506.849260000003"/>
    <n v="0.50635125184441798"/>
  </r>
  <r>
    <s v="ORD-2025-779659"/>
    <d v="2025-07-03T00:00:00"/>
    <x v="13"/>
    <s v="Q3-2025"/>
    <d v="2025-07-23T00:00:00"/>
    <s v="Valid"/>
    <n v="20"/>
    <d v="2025-07-23T00:00:00"/>
    <x v="1"/>
    <s v="Asia → China → Beijing"/>
    <x v="85"/>
    <x v="9"/>
    <s v="Beijing"/>
    <s v="Small Business"/>
    <x v="1"/>
    <x v="12"/>
    <x v="0"/>
    <x v="471"/>
    <n v="647.36"/>
    <n v="1383.6"/>
    <s v="Valid"/>
    <n v="1383.6"/>
    <s v="Medium"/>
    <n v="7.3999999999999996E-2"/>
    <s v="Valid"/>
    <n v="7.3999999999999996E-2"/>
    <n v="12"/>
    <n v="15374.563199999999"/>
    <n v="7768.32"/>
    <n v="7606.243199999999"/>
    <n v="0.49472906000997802"/>
  </r>
  <r>
    <s v="ORD-2024-647571"/>
    <d v="2024-02-06T00:00:00"/>
    <x v="31"/>
    <s v="Q1-2024"/>
    <d v="2024-02-28T00:00:00"/>
    <s v="Valid"/>
    <n v="22"/>
    <d v="2024-02-28T00:00:00"/>
    <x v="0"/>
    <s v="Africa → Kenya → Kisumu"/>
    <x v="127"/>
    <x v="0"/>
    <s v="Kisumu"/>
    <s v="Non-Profit"/>
    <x v="1"/>
    <x v="11"/>
    <x v="5"/>
    <x v="472"/>
    <n v="834.93"/>
    <n v="1588.53"/>
    <s v="Valid"/>
    <n v="1588.53"/>
    <s v="Medium"/>
    <n v="0.126"/>
    <s v="Valid"/>
    <n v="0.126"/>
    <n v="6"/>
    <n v="8330.2513199999994"/>
    <n v="5009.58"/>
    <n v="3320.6713199999995"/>
    <n v="0.39862798761274343"/>
  </r>
  <r>
    <s v="ORD-2025-683043"/>
    <d v="2025-08-13T00:00:00"/>
    <x v="28"/>
    <s v="Q3-2025"/>
    <d v="2025-09-03T00:00:00"/>
    <s v="Valid"/>
    <n v="21"/>
    <d v="2025-09-03T00:00:00"/>
    <x v="3"/>
    <s v="Europe → France → Paris"/>
    <x v="282"/>
    <x v="7"/>
    <s v="Paris"/>
    <s v="Education"/>
    <x v="0"/>
    <x v="2"/>
    <x v="3"/>
    <x v="473"/>
    <n v="603.47"/>
    <n v="1344.05"/>
    <s v="Valid"/>
    <n v="1344.05"/>
    <s v="Medium"/>
    <n v="0.20499999999999999"/>
    <s v="Valid"/>
    <n v="0.20499999999999999"/>
    <n v="18"/>
    <n v="19233.355499999998"/>
    <n v="10862.460000000001"/>
    <n v="8370.8954999999969"/>
    <n v="0.43522803392262976"/>
  </r>
  <r>
    <s v="ORD-2023-588455"/>
    <d v="2023-05-23T00:00:00"/>
    <x v="15"/>
    <s v="Q2-2023"/>
    <d v="2023-05-25T00:00:00"/>
    <s v="Valid"/>
    <n v="2"/>
    <d v="2023-05-25T00:00:00"/>
    <x v="2"/>
    <s v="Americas → Brazil → Rio de Janeiro"/>
    <x v="283"/>
    <x v="5"/>
    <s v="Rio de Janeiro"/>
    <s v="Enterprise"/>
    <x v="0"/>
    <x v="12"/>
    <x v="1"/>
    <x v="474"/>
    <n v="690.49"/>
    <n v="1290.29"/>
    <s v="Valid"/>
    <n v="1290.29"/>
    <s v="Medium"/>
    <n v="4.2000000000000003E-2"/>
    <s v="Valid"/>
    <n v="4.2000000000000003E-2"/>
    <n v="22"/>
    <n v="27194.152039999997"/>
    <n v="15190.78"/>
    <n v="12003.372039999997"/>
    <n v="0.44139534199647718"/>
  </r>
  <r>
    <s v="ORD-2024-641220"/>
    <d v="2024-05-10T00:00:00"/>
    <x v="7"/>
    <s v="Q2-2024"/>
    <d v="2024-05-16T00:00:00"/>
    <s v="Valid"/>
    <n v="6"/>
    <d v="2024-05-16T00:00:00"/>
    <x v="3"/>
    <s v="Europe → United Kingdom → Birmingham"/>
    <x v="44"/>
    <x v="8"/>
    <s v="Birmingham"/>
    <s v="Non-Profit"/>
    <x v="4"/>
    <x v="3"/>
    <x v="4"/>
    <x v="475"/>
    <n v="210.76"/>
    <n v="221.58"/>
    <s v="Valid"/>
    <n v="221.58"/>
    <s v="Low"/>
    <n v="8.8999999999999996E-2"/>
    <s v="Valid"/>
    <n v="8.8999999999999996E-2"/>
    <n v="5"/>
    <n v="1009.2969000000002"/>
    <n v="1053.8"/>
    <n v="-44.50309999999979"/>
    <n v="-4.4093170205912434E-2"/>
  </r>
  <r>
    <s v="ORD-2023-799597"/>
    <d v="2023-03-14T00:00:00"/>
    <x v="22"/>
    <s v="Q1-2023"/>
    <d v="2023-03-18T00:00:00"/>
    <s v="Valid"/>
    <n v="4"/>
    <d v="2023-03-18T00:00:00"/>
    <x v="3"/>
    <s v="Europe → Germany → Frankfurt"/>
    <x v="262"/>
    <x v="6"/>
    <s v="Frankfurt"/>
    <s v="Enterprise"/>
    <x v="4"/>
    <x v="8"/>
    <x v="0"/>
    <x v="476"/>
    <n v="472.33"/>
    <n v="360.34"/>
    <s v="Valid"/>
    <n v="360.34"/>
    <s v="Low"/>
    <n v="0.16500000000000001"/>
    <s v="Valid"/>
    <n v="0.16500000000000001"/>
    <n v="14"/>
    <n v="4212.3745999999992"/>
    <n v="6612.62"/>
    <n v="-2400.2454000000007"/>
    <n v="-0.56980815523861561"/>
  </r>
  <r>
    <s v="ORD-2023-569862"/>
    <d v="2023-07-16T00:00:00"/>
    <x v="24"/>
    <s v="Q3-2023"/>
    <d v="2023-08-13T00:00:00"/>
    <s v="Valid"/>
    <n v="28"/>
    <d v="2023-08-13T00:00:00"/>
    <x v="3"/>
    <s v="Europe → United Kingdom → Manchester"/>
    <x v="164"/>
    <x v="8"/>
    <s v="Manchester"/>
    <s v="Non-Profit"/>
    <x v="1"/>
    <x v="1"/>
    <x v="4"/>
    <x v="477"/>
    <n v="1039.03"/>
    <n v="2545.81"/>
    <s v="Valid"/>
    <n v="2545.81"/>
    <s v="High"/>
    <n v="0.216"/>
    <s v="Valid"/>
    <n v="0.216"/>
    <n v="21"/>
    <n v="41914.215840000004"/>
    <n v="21819.63"/>
    <n v="20094.585840000003"/>
    <n v="0.47942172929364774"/>
  </r>
  <r>
    <s v="ORD-2023-609394"/>
    <d v="2023-04-16T00:00:00"/>
    <x v="12"/>
    <s v="Q2-2023"/>
    <d v="2023-04-19T00:00:00"/>
    <s v="Valid"/>
    <n v="3"/>
    <d v="2023-04-19T00:00:00"/>
    <x v="3"/>
    <s v="Europe → Germany → Munich"/>
    <x v="159"/>
    <x v="6"/>
    <s v="Munich"/>
    <s v="Corporate"/>
    <x v="4"/>
    <x v="5"/>
    <x v="6"/>
    <x v="478"/>
    <n v="553.61"/>
    <n v="699.47"/>
    <s v="Valid"/>
    <n v="699.47"/>
    <s v="Medium"/>
    <n v="0.02"/>
    <s v="Valid"/>
    <n v="0.02"/>
    <n v="33"/>
    <n v="22620.859800000002"/>
    <n v="18269.13"/>
    <n v="4351.729800000001"/>
    <n v="0.19237685209472014"/>
  </r>
  <r>
    <s v="ORD-2024-105586"/>
    <d v="2024-01-02T00:00:00"/>
    <x v="9"/>
    <s v="Q1-2024"/>
    <d v="2024-01-15T00:00:00"/>
    <s v="Valid"/>
    <n v="13"/>
    <d v="2024-01-15T00:00:00"/>
    <x v="1"/>
    <s v="Asia → Japan → Nagoya"/>
    <x v="179"/>
    <x v="2"/>
    <s v="Nagoya"/>
    <s v="Small Business"/>
    <x v="2"/>
    <x v="3"/>
    <x v="2"/>
    <x v="479"/>
    <n v="1219.06"/>
    <n v="2738.69"/>
    <s v="Valid"/>
    <n v="2738.69"/>
    <s v="High"/>
    <n v="7.5999999999999998E-2"/>
    <s v="Valid"/>
    <n v="7.5999999999999998E-2"/>
    <n v="16"/>
    <n v="40488.792960000006"/>
    <n v="19504.96"/>
    <n v="20983.832960000007"/>
    <n v="0.51826274447673737"/>
  </r>
  <r>
    <s v="ORD-2024-207792"/>
    <d v="2024-09-03T00:00:00"/>
    <x v="29"/>
    <s v="Q3-2024"/>
    <d v="2024-09-07T00:00:00"/>
    <s v="Valid"/>
    <n v="4"/>
    <d v="2024-09-07T00:00:00"/>
    <x v="1"/>
    <s v="Asia → Japan → Tokyo"/>
    <x v="177"/>
    <x v="2"/>
    <s v="Tokyo"/>
    <s v="Small Business"/>
    <x v="3"/>
    <x v="13"/>
    <x v="1"/>
    <x v="480"/>
    <n v="43.23"/>
    <n v="94.78"/>
    <s v="Valid"/>
    <n v="94.78"/>
    <s v="Low"/>
    <n v="9.0999999999999998E-2"/>
    <s v="Valid"/>
    <n v="9.0999999999999998E-2"/>
    <n v="55"/>
    <n v="4738.5261"/>
    <n v="2377.6499999999996"/>
    <n v="2360.8761000000004"/>
    <n v="0.49823005090127082"/>
  </r>
  <r>
    <s v="ORD-2025-417336"/>
    <d v="2025-08-30T00:00:00"/>
    <x v="28"/>
    <s v="Q3-2025"/>
    <d v="2025-09-03T00:00:00"/>
    <s v="Valid"/>
    <n v="4"/>
    <d v="2025-09-03T00:00:00"/>
    <x v="3"/>
    <s v="Europe → France → Marseille"/>
    <x v="282"/>
    <x v="7"/>
    <s v="Marseille"/>
    <s v="Small Business"/>
    <x v="2"/>
    <x v="1"/>
    <x v="4"/>
    <x v="481"/>
    <n v="1286.56"/>
    <n v="2777.35"/>
    <s v="Valid"/>
    <n v="2777.35"/>
    <s v="High"/>
    <n v="0.13200000000000001"/>
    <s v="Valid"/>
    <n v="0.13200000000000001"/>
    <n v="15"/>
    <n v="36161.097000000002"/>
    <n v="19298.399999999998"/>
    <n v="16862.697000000004"/>
    <n v="0.46632150014696744"/>
  </r>
  <r>
    <s v="ORD-2025-252117"/>
    <d v="2025-04-28T00:00:00"/>
    <x v="19"/>
    <s v="Q2-2025"/>
    <d v="2025-05-19T00:00:00"/>
    <s v="Valid"/>
    <n v="21"/>
    <d v="2025-05-19T00:00:00"/>
    <x v="3"/>
    <s v="Europe → Germany → Berlin"/>
    <x v="187"/>
    <x v="6"/>
    <s v="Berlin"/>
    <s v="Corporate"/>
    <x v="3"/>
    <x v="5"/>
    <x v="3"/>
    <x v="482"/>
    <n v="350.76"/>
    <n v="492.18"/>
    <s v="Valid"/>
    <n v="492.18"/>
    <s v="Low"/>
    <n v="5.2999999999999999E-2"/>
    <s v="Valid"/>
    <n v="5.2999999999999999E-2"/>
    <n v="11"/>
    <n v="5127.0390600000001"/>
    <n v="3858.3599999999997"/>
    <n v="1268.6790600000004"/>
    <n v="0.24744868239798437"/>
  </r>
  <r>
    <s v="ORD-2023-867175"/>
    <d v="2023-08-10T00:00:00"/>
    <x v="25"/>
    <s v="Q3-2023"/>
    <d v="2023-08-15T00:00:00"/>
    <s v="Valid"/>
    <n v="5"/>
    <d v="2023-08-15T00:00:00"/>
    <x v="2"/>
    <s v="Americas → Brazil → São Paulo"/>
    <x v="197"/>
    <x v="5"/>
    <s v="São Paulo"/>
    <s v="Education"/>
    <x v="4"/>
    <x v="3"/>
    <x v="2"/>
    <x v="483"/>
    <n v="1307.52"/>
    <n v="1921.65"/>
    <s v="Valid"/>
    <n v="1921.65"/>
    <s v="High"/>
    <n v="0.123"/>
    <s v="Valid"/>
    <n v="0.123"/>
    <n v="13"/>
    <n v="21908.731650000002"/>
    <n v="16997.759999999998"/>
    <n v="4910.9716500000031"/>
    <n v="0.22415590863289445"/>
  </r>
  <r>
    <s v="ORD-2024-382152"/>
    <d v="2024-12-08T00:00:00"/>
    <x v="6"/>
    <s v="Q4-2024"/>
    <d v="2024-12-08T00:00:00"/>
    <s v="Valid"/>
    <n v="0"/>
    <d v="2024-12-08T00:00:00"/>
    <x v="3"/>
    <s v="Europe → France → Lyon"/>
    <x v="16"/>
    <x v="7"/>
    <s v="Lyon"/>
    <s v="Enterprise"/>
    <x v="0"/>
    <x v="10"/>
    <x v="0"/>
    <x v="484"/>
    <n v="257.44"/>
    <n v="290.33"/>
    <s v="Valid"/>
    <n v="290.33"/>
    <s v="Low"/>
    <n v="9.1999999999999998E-2"/>
    <s v="Valid"/>
    <n v="9.1999999999999998E-2"/>
    <n v="23"/>
    <n v="6063.2517199999993"/>
    <n v="5921.12"/>
    <n v="142.1317199999994"/>
    <n v="2.3441500792581216E-2"/>
  </r>
  <r>
    <s v="ORD-2023-597666"/>
    <d v="2023-10-25T00:00:00"/>
    <x v="32"/>
    <s v="Q4-2023"/>
    <d v="2023-11-24T00:00:00"/>
    <s v="Valid"/>
    <n v="30"/>
    <d v="2023-11-24T00:00:00"/>
    <x v="3"/>
    <s v="Europe → France → Paris"/>
    <x v="284"/>
    <x v="7"/>
    <s v="Paris"/>
    <s v="Enterprise"/>
    <x v="3"/>
    <x v="0"/>
    <x v="3"/>
    <x v="485"/>
    <n v="287.85000000000002"/>
    <n v="602.91999999999996"/>
    <s v="Valid"/>
    <n v="602.91999999999996"/>
    <s v="Low"/>
    <n v="0.222"/>
    <s v="Valid"/>
    <n v="0.222"/>
    <n v="11"/>
    <n v="5159.7893599999998"/>
    <n v="3166.3500000000004"/>
    <n v="1993.4393599999994"/>
    <n v="0.38634122847216373"/>
  </r>
  <r>
    <s v="ORD-2024-371409"/>
    <d v="2024-11-17T00:00:00"/>
    <x v="18"/>
    <s v="Q4-2024"/>
    <d v="2024-11-28T00:00:00"/>
    <s v="Valid"/>
    <n v="11"/>
    <d v="2024-11-28T00:00:00"/>
    <x v="2"/>
    <s v="Americas → Canada → unknown"/>
    <x v="46"/>
    <x v="3"/>
    <s v="unknown"/>
    <s v="Consumer"/>
    <x v="3"/>
    <x v="8"/>
    <x v="1"/>
    <x v="486"/>
    <n v="1008.16"/>
    <n v="2077.5"/>
    <s v="Valid"/>
    <n v="2077.5"/>
    <s v="High"/>
    <n v="7.3999999999999996E-2"/>
    <s v="Valid"/>
    <n v="7.3999999999999996E-2"/>
    <n v="15"/>
    <n v="28856.475000000002"/>
    <n v="15122.4"/>
    <n v="13734.075000000003"/>
    <n v="0.47594430712691005"/>
  </r>
  <r>
    <s v="ORD-2024-973420"/>
    <d v="2024-05-12T00:00:00"/>
    <x v="7"/>
    <s v="Q2-2024"/>
    <d v="2024-05-24T00:00:00"/>
    <s v="Valid"/>
    <n v="12"/>
    <d v="2024-05-24T00:00:00"/>
    <x v="3"/>
    <s v="Europe → United Kingdom → Manchester"/>
    <x v="44"/>
    <x v="8"/>
    <s v="Manchester"/>
    <s v="Education"/>
    <x v="2"/>
    <x v="11"/>
    <x v="1"/>
    <x v="487"/>
    <n v="111.02"/>
    <n v="172.88"/>
    <s v="Valid"/>
    <n v="172.88"/>
    <s v="Low"/>
    <n v="0.19700000000000001"/>
    <s v="Valid"/>
    <n v="0.19700000000000001"/>
    <n v="29"/>
    <n v="4025.8565599999993"/>
    <n v="3219.58"/>
    <n v="806.27655999999934"/>
    <n v="0.20027453735212053"/>
  </r>
  <r>
    <s v="ORD-2025-254721"/>
    <d v="2025-05-15T00:00:00"/>
    <x v="8"/>
    <s v="Q2-2025"/>
    <d v="2025-06-05T00:00:00"/>
    <s v="Valid"/>
    <n v="21"/>
    <d v="2025-06-05T00:00:00"/>
    <x v="1"/>
    <s v="Asia → Japan → Osaka"/>
    <x v="252"/>
    <x v="2"/>
    <s v="Osaka"/>
    <s v="Enterprise"/>
    <x v="4"/>
    <x v="10"/>
    <x v="3"/>
    <x v="488"/>
    <n v="1466.5"/>
    <n v="2778.74"/>
    <s v="Valid"/>
    <n v="2778.74"/>
    <s v="High"/>
    <n v="0.13500000000000001"/>
    <s v="Valid"/>
    <n v="0.13500000000000001"/>
    <n v="4"/>
    <n v="9614.4403999999995"/>
    <n v="5866"/>
    <n v="3748.4403999999995"/>
    <n v="0.38987608680792279"/>
  </r>
  <r>
    <s v="ORD-2024-247032"/>
    <d v="2024-04-21T00:00:00"/>
    <x v="20"/>
    <s v="Q2-2024"/>
    <d v="2024-05-19T00:00:00"/>
    <s v="Valid"/>
    <n v="28"/>
    <d v="2024-05-19T00:00:00"/>
    <x v="0"/>
    <s v="Africa → Nigeria → Lagos"/>
    <x v="35"/>
    <x v="1"/>
    <s v="Lagos"/>
    <s v="Corporate"/>
    <x v="3"/>
    <x v="8"/>
    <x v="6"/>
    <x v="489"/>
    <n v="187.22"/>
    <n v="309.47000000000003"/>
    <s v="Valid"/>
    <n v="309.47000000000003"/>
    <s v="Low"/>
    <n v="0"/>
    <s v="Valid"/>
    <n v="0"/>
    <n v="5"/>
    <n v="1547.3500000000001"/>
    <n v="936.1"/>
    <n v="611.25000000000011"/>
    <n v="0.39503021294471197"/>
  </r>
  <r>
    <s v="ORD-2024-792353"/>
    <d v="2024-08-19T00:00:00"/>
    <x v="21"/>
    <s v="Q3-2024"/>
    <d v="2024-09-07T00:00:00"/>
    <s v="Valid"/>
    <n v="19"/>
    <d v="2024-09-07T00:00:00"/>
    <x v="3"/>
    <s v="Europe → France → Lyon"/>
    <x v="250"/>
    <x v="7"/>
    <s v="Lyon"/>
    <s v="Corporate"/>
    <x v="4"/>
    <x v="1"/>
    <x v="0"/>
    <x v="490"/>
    <n v="297.58999999999997"/>
    <n v="666.41"/>
    <s v="Valid"/>
    <n v="666.41"/>
    <s v="Medium"/>
    <n v="0"/>
    <s v="Valid"/>
    <n v="0"/>
    <n v="10"/>
    <n v="6664.0999999999995"/>
    <n v="2975.8999999999996"/>
    <n v="3688.2"/>
    <n v="0.55344307558409989"/>
  </r>
  <r>
    <s v="ORD-2025-703623"/>
    <d v="2025-07-23T00:00:00"/>
    <x v="13"/>
    <s v="Q3-2025"/>
    <d v="2025-08-19T00:00:00"/>
    <s v="Valid"/>
    <n v="27"/>
    <d v="2025-08-19T00:00:00"/>
    <x v="1"/>
    <s v="Asia → Japan → Nagoya"/>
    <x v="279"/>
    <x v="2"/>
    <s v="Nagoya"/>
    <s v="Consumer"/>
    <x v="2"/>
    <x v="5"/>
    <x v="6"/>
    <x v="491"/>
    <n v="896.09"/>
    <n v="744.27"/>
    <s v="Valid"/>
    <n v="744.27"/>
    <s v="Medium"/>
    <n v="8.3000000000000004E-2"/>
    <s v="Valid"/>
    <n v="8.3000000000000004E-2"/>
    <n v="11"/>
    <n v="7507.4514899999995"/>
    <n v="9856.99"/>
    <n v="-2349.5385100000003"/>
    <n v="-0.31296086469950679"/>
  </r>
  <r>
    <s v="ORD-2024-516704"/>
    <d v="2024-03-01T00:00:00"/>
    <x v="0"/>
    <s v="Q1-2024"/>
    <d v="2024-02-29T00:00:00"/>
    <s v="Invalid RequiredDate"/>
    <n v="-1"/>
    <d v="2024-03-27T00:00:00"/>
    <x v="2"/>
    <s v="Americas → Brazil → São Paulo"/>
    <x v="285"/>
    <x v="5"/>
    <s v="São Paulo"/>
    <s v="Non-Profit"/>
    <x v="4"/>
    <x v="2"/>
    <x v="3"/>
    <x v="492"/>
    <n v="5.34"/>
    <n v="12.69"/>
    <s v="Valid"/>
    <n v="12.69"/>
    <s v="Low"/>
    <n v="0.13200000000000001"/>
    <s v="Valid"/>
    <n v="0.13200000000000001"/>
    <n v="10"/>
    <n v="110.14919999999999"/>
    <n v="53.4"/>
    <n v="56.749199999999995"/>
    <n v="0.51520301554618642"/>
  </r>
  <r>
    <s v="ORD-2024-578646"/>
    <d v="2024-05-27T00:00:00"/>
    <x v="7"/>
    <s v="Q2-2024"/>
    <d v="2024-06-17T00:00:00"/>
    <s v="Valid"/>
    <n v="21"/>
    <d v="2024-06-17T00:00:00"/>
    <x v="1"/>
    <s v="Asia → India → Delhi"/>
    <x v="275"/>
    <x v="4"/>
    <s v="Delhi"/>
    <s v="Small Business"/>
    <x v="1"/>
    <x v="10"/>
    <x v="6"/>
    <x v="493"/>
    <n v="465.02"/>
    <n v="651.55999999999995"/>
    <s v="Valid"/>
    <n v="651.55999999999995"/>
    <s v="Medium"/>
    <n v="4.2000000000000003E-2"/>
    <s v="Valid"/>
    <n v="4.2000000000000003E-2"/>
    <n v="19"/>
    <n v="11859.695119999998"/>
    <n v="8835.3799999999992"/>
    <n v="3024.3151199999993"/>
    <n v="0.25500783025187918"/>
  </r>
  <r>
    <s v="ORD-2024-433936"/>
    <d v="2024-08-04T00:00:00"/>
    <x v="21"/>
    <s v="Q3-2024"/>
    <d v="2024-08-17T00:00:00"/>
    <s v="Valid"/>
    <n v="13"/>
    <d v="2024-08-17T00:00:00"/>
    <x v="2"/>
    <s v="Americas → USA → Austin"/>
    <x v="154"/>
    <x v="10"/>
    <s v="Austin"/>
    <s v="Consumer"/>
    <x v="0"/>
    <x v="14"/>
    <x v="5"/>
    <x v="494"/>
    <n v="352.79"/>
    <n v="754.22"/>
    <s v="Valid"/>
    <n v="754.22"/>
    <s v="Medium"/>
    <n v="0.113"/>
    <s v="Valid"/>
    <n v="0.113"/>
    <n v="7"/>
    <n v="4682.9519799999998"/>
    <n v="2469.5300000000002"/>
    <n v="2213.4219799999996"/>
    <n v="0.47265528014233443"/>
  </r>
  <r>
    <s v="ORD-2023-434071"/>
    <d v="2023-06-20T00:00:00"/>
    <x v="23"/>
    <s v="Q2-2023"/>
    <d v="2023-07-04T00:00:00"/>
    <s v="Valid"/>
    <n v="14"/>
    <d v="2023-07-04T00:00:00"/>
    <x v="2"/>
    <s v="Americas → Brazil → Brasília"/>
    <x v="81"/>
    <x v="5"/>
    <s v="Brasília"/>
    <s v="Non-Profit"/>
    <x v="4"/>
    <x v="0"/>
    <x v="2"/>
    <x v="495"/>
    <n v="1292.8599999999999"/>
    <n v="2981.01"/>
    <s v="Valid"/>
    <n v="2981.01"/>
    <s v="High"/>
    <n v="0.14199999999999999"/>
    <s v="Valid"/>
    <n v="0.14199999999999999"/>
    <n v="12"/>
    <n v="30692.47896"/>
    <n v="15514.32"/>
    <n v="15178.158960000001"/>
    <n v="0.49452372288927687"/>
  </r>
  <r>
    <s v="ORD-2024-728474"/>
    <d v="2024-09-09T00:00:00"/>
    <x v="29"/>
    <s v="Q3-2024"/>
    <d v="2024-09-13T00:00:00"/>
    <s v="Valid"/>
    <n v="4"/>
    <d v="2024-09-13T00:00:00"/>
    <x v="3"/>
    <s v="Europe → United Kingdom → London"/>
    <x v="286"/>
    <x v="8"/>
    <s v="London"/>
    <s v="Consumer"/>
    <x v="2"/>
    <x v="9"/>
    <x v="2"/>
    <x v="496"/>
    <n v="1133.08"/>
    <n v="976.17"/>
    <s v="Valid"/>
    <n v="976.17"/>
    <s v="Medium"/>
    <n v="4.2000000000000003E-2"/>
    <s v="Valid"/>
    <n v="4.2000000000000003E-2"/>
    <n v="27"/>
    <n v="25249.613219999999"/>
    <n v="30593.159999999996"/>
    <n v="-5343.5467799999969"/>
    <n v="-0.21162885678452373"/>
  </r>
  <r>
    <s v="ORD-2023-406606"/>
    <d v="2023-10-25T00:00:00"/>
    <x v="32"/>
    <s v="Q4-2023"/>
    <d v="2023-10-28T00:00:00"/>
    <s v="Valid"/>
    <n v="3"/>
    <d v="2023-10-28T00:00:00"/>
    <x v="2"/>
    <s v="Americas → Brazil → Brasília"/>
    <x v="194"/>
    <x v="5"/>
    <s v="Brasília"/>
    <s v="Corporate"/>
    <x v="3"/>
    <x v="4"/>
    <x v="6"/>
    <x v="497"/>
    <n v="509.31"/>
    <n v="1145.9000000000001"/>
    <s v="Valid"/>
    <n v="1145.9000000000001"/>
    <s v="Medium"/>
    <n v="5.7000000000000002E-2"/>
    <s v="Valid"/>
    <n v="5.7000000000000002E-2"/>
    <n v="8"/>
    <n v="8644.6696000000011"/>
    <n v="4074.48"/>
    <n v="4570.1896000000015"/>
    <n v="0.52867140231709964"/>
  </r>
  <r>
    <s v="ORD-2025-823055"/>
    <d v="2025-09-08T00:00:00"/>
    <x v="11"/>
    <s v="Q3-2025"/>
    <d v="2025-10-05T00:00:00"/>
    <s v="Valid"/>
    <n v="27"/>
    <d v="2025-10-05T00:00:00"/>
    <x v="2"/>
    <s v="Americas → Brazil → Rio de Janeiro"/>
    <x v="14"/>
    <x v="5"/>
    <s v="Rio de Janeiro"/>
    <s v="Education"/>
    <x v="1"/>
    <x v="0"/>
    <x v="5"/>
    <x v="498"/>
    <n v="660.78"/>
    <n v="1630.39"/>
    <s v="Valid"/>
    <n v="1630.39"/>
    <s v="Medium"/>
    <n v="0.218"/>
    <s v="Valid"/>
    <n v="0.218"/>
    <n v="13"/>
    <n v="16574.544740000001"/>
    <n v="8590.14"/>
    <n v="7984.4047400000018"/>
    <n v="0.48172694123724097"/>
  </r>
  <r>
    <s v="ORD-2023-573656"/>
    <d v="2023-05-02T00:00:00"/>
    <x v="15"/>
    <s v="Q2-2023"/>
    <d v="2023-05-16T00:00:00"/>
    <s v="Valid"/>
    <n v="14"/>
    <d v="2023-05-16T00:00:00"/>
    <x v="1"/>
    <s v="Asia → India → Bengaluru"/>
    <x v="117"/>
    <x v="4"/>
    <s v="Bengaluru"/>
    <s v="Non-Profit"/>
    <x v="0"/>
    <x v="4"/>
    <x v="5"/>
    <x v="499"/>
    <n v="475.37"/>
    <n v="963.73"/>
    <s v="Valid"/>
    <n v="963.73"/>
    <s v="Medium"/>
    <n v="4.1000000000000002E-2"/>
    <s v="Valid"/>
    <n v="4.1000000000000002E-2"/>
    <n v="22"/>
    <n v="20332.775539999999"/>
    <n v="10458.14"/>
    <n v="9874.6355399999993"/>
    <n v="0.48565113604750881"/>
  </r>
  <r>
    <s v="ORD-2024-567435"/>
    <d v="2024-04-26T00:00:00"/>
    <x v="20"/>
    <s v="Q2-2024"/>
    <d v="2024-04-24T00:00:00"/>
    <s v="Invalid RequiredDate"/>
    <n v="-2"/>
    <d v="2024-05-22T00:00:00"/>
    <x v="3"/>
    <s v="Europe → United Kingdom → London"/>
    <x v="30"/>
    <x v="8"/>
    <s v="London"/>
    <s v="Non-Profit"/>
    <x v="3"/>
    <x v="13"/>
    <x v="3"/>
    <x v="500"/>
    <n v="1232.77"/>
    <n v="891.73"/>
    <s v="Valid"/>
    <n v="891.73"/>
    <s v="Medium"/>
    <n v="0.16700000000000001"/>
    <s v="Valid"/>
    <n v="0.16700000000000001"/>
    <n v="10"/>
    <n v="7428.1108999999988"/>
    <n v="12327.7"/>
    <n v="-4899.589100000002"/>
    <n v="-0.65960096260813805"/>
  </r>
  <r>
    <s v="ORD-2023-744942"/>
    <d v="2023-02-23T00:00:00"/>
    <x v="2"/>
    <s v="Q1-2023"/>
    <d v="2023-03-18T00:00:00"/>
    <s v="Valid"/>
    <n v="23"/>
    <d v="2023-03-18T00:00:00"/>
    <x v="1"/>
    <s v="Asia → China → Beijing"/>
    <x v="287"/>
    <x v="9"/>
    <s v="Beijing"/>
    <s v="Education"/>
    <x v="3"/>
    <x v="11"/>
    <x v="1"/>
    <x v="501"/>
    <n v="770.11"/>
    <n v="1667.82"/>
    <s v="Valid"/>
    <n v="1667.82"/>
    <s v="Medium"/>
    <n v="6.9000000000000006E-2"/>
    <s v="Valid"/>
    <n v="6.9000000000000006E-2"/>
    <n v="7"/>
    <n v="10869.182940000001"/>
    <n v="5390.77"/>
    <n v="5478.4129400000002"/>
    <n v="0.50403171703355287"/>
  </r>
  <r>
    <s v="ORD-2025-331237"/>
    <d v="2025-03-24T00:00:00"/>
    <x v="3"/>
    <s v="Q1-2025"/>
    <d v="2025-03-25T00:00:00"/>
    <s v="Valid"/>
    <n v="1"/>
    <d v="2025-03-25T00:00:00"/>
    <x v="1"/>
    <s v="Asia → China → Beijing"/>
    <x v="264"/>
    <x v="9"/>
    <s v="Beijing"/>
    <s v="Non-Profit"/>
    <x v="1"/>
    <x v="3"/>
    <x v="2"/>
    <x v="502"/>
    <n v="1133.03"/>
    <n v="1921.51"/>
    <s v="Valid"/>
    <n v="1921.51"/>
    <s v="High"/>
    <n v="0.10100000000000001"/>
    <s v="Valid"/>
    <n v="0.10100000000000001"/>
    <n v="5"/>
    <n v="8637.1874499999994"/>
    <n v="5665.15"/>
    <n v="2972.0374499999998"/>
    <n v="0.3440978289755654"/>
  </r>
  <r>
    <s v="ORD-2025-680118"/>
    <d v="2025-03-10T00:00:00"/>
    <x v="3"/>
    <s v="Q1-2025"/>
    <d v="2025-03-27T00:00:00"/>
    <s v="Valid"/>
    <n v="17"/>
    <d v="2025-03-27T00:00:00"/>
    <x v="2"/>
    <s v="Americas → Brazil → Rio de Janeiro"/>
    <x v="12"/>
    <x v="5"/>
    <s v="Rio de Janeiro"/>
    <s v="Enterprise"/>
    <x v="4"/>
    <x v="9"/>
    <x v="2"/>
    <x v="503"/>
    <n v="996.73"/>
    <n v="1217.43"/>
    <s v="Valid"/>
    <n v="1217.43"/>
    <s v="Medium"/>
    <n v="7.0000000000000007E-2"/>
    <s v="Valid"/>
    <n v="7.0000000000000007E-2"/>
    <n v="9"/>
    <n v="10189.8891"/>
    <n v="8970.57"/>
    <n v="1219.3191000000006"/>
    <n v="0.11965970267527255"/>
  </r>
  <r>
    <s v="ORD-2024-310809"/>
    <d v="2024-04-05T00:00:00"/>
    <x v="20"/>
    <s v="Q2-2024"/>
    <d v="2024-04-09T00:00:00"/>
    <s v="Valid"/>
    <n v="4"/>
    <d v="2024-04-09T00:00:00"/>
    <x v="0"/>
    <s v="Africa → Nigeria → Lagos"/>
    <x v="35"/>
    <x v="1"/>
    <s v="Lagos"/>
    <s v="Non-Profit"/>
    <x v="4"/>
    <x v="11"/>
    <x v="0"/>
    <x v="504"/>
    <n v="395.07"/>
    <n v="970.27"/>
    <s v="Valid"/>
    <n v="970.27"/>
    <s v="Medium"/>
    <n v="0.123"/>
    <s v="Valid"/>
    <n v="0.123"/>
    <n v="38"/>
    <n v="32335.21802"/>
    <n v="15012.66"/>
    <n v="17322.55802"/>
    <n v="0.53571799049833657"/>
  </r>
  <r>
    <s v="ORD-2025-474368"/>
    <d v="2025-04-27T00:00:00"/>
    <x v="19"/>
    <s v="Q2-2025"/>
    <d v="2025-05-17T00:00:00"/>
    <s v="Valid"/>
    <n v="20"/>
    <d v="2025-05-17T00:00:00"/>
    <x v="2"/>
    <s v="Americas → USA → Austin"/>
    <x v="72"/>
    <x v="10"/>
    <s v="Austin"/>
    <s v="Corporate"/>
    <x v="4"/>
    <x v="13"/>
    <x v="3"/>
    <x v="505"/>
    <n v="932.26"/>
    <n v="1624.67"/>
    <s v="Valid"/>
    <n v="1624.67"/>
    <s v="Medium"/>
    <n v="0.23499999999999999"/>
    <s v="Valid"/>
    <n v="0.23499999999999999"/>
    <n v="28"/>
    <n v="34800.431400000001"/>
    <n v="26103.279999999999"/>
    <n v="8697.1514000000025"/>
    <n v="0.24991504559337163"/>
  </r>
  <r>
    <s v="ORD-2024-732543"/>
    <d v="2024-10-24T00:00:00"/>
    <x v="1"/>
    <s v="Q4-2024"/>
    <d v="2024-10-28T00:00:00"/>
    <s v="Valid"/>
    <n v="4"/>
    <d v="2024-10-28T00:00:00"/>
    <x v="1"/>
    <s v="Asia → China → Shanghai"/>
    <x v="135"/>
    <x v="9"/>
    <s v="Shanghai"/>
    <s v="Small Business"/>
    <x v="3"/>
    <x v="2"/>
    <x v="2"/>
    <x v="506"/>
    <n v="1331.77"/>
    <n v="2606.11"/>
    <s v="Valid"/>
    <n v="2606.11"/>
    <s v="High"/>
    <n v="0.02"/>
    <s v="Valid"/>
    <n v="0.02"/>
    <n v="6"/>
    <n v="15323.926799999999"/>
    <n v="7990.62"/>
    <n v="7333.3067999999994"/>
    <n v="0.47855271665745619"/>
  </r>
  <r>
    <s v="ORD-2023-867166"/>
    <d v="2023-04-13T00:00:00"/>
    <x v="12"/>
    <s v="Q2-2023"/>
    <d v="2023-04-20T00:00:00"/>
    <s v="Valid"/>
    <n v="7"/>
    <d v="2023-04-20T00:00:00"/>
    <x v="3"/>
    <s v="Europe → France → Lyon"/>
    <x v="115"/>
    <x v="7"/>
    <s v="Lyon"/>
    <s v="Small Business"/>
    <x v="1"/>
    <x v="8"/>
    <x v="4"/>
    <x v="507"/>
    <n v="227.02"/>
    <n v="434.72"/>
    <s v="Valid"/>
    <n v="434.72"/>
    <s v="Low"/>
    <n v="9.8000000000000004E-2"/>
    <s v="Valid"/>
    <n v="9.8000000000000004E-2"/>
    <n v="10"/>
    <n v="3921.1744000000008"/>
    <n v="2270.2000000000003"/>
    <n v="1650.9744000000005"/>
    <n v="0.42104079838938052"/>
  </r>
  <r>
    <s v="ORD-2024-776337"/>
    <d v="2024-11-12T00:00:00"/>
    <x v="18"/>
    <s v="Q4-2024"/>
    <d v="2024-11-21T00:00:00"/>
    <s v="Valid"/>
    <n v="9"/>
    <d v="2024-11-21T00:00:00"/>
    <x v="1"/>
    <s v="Asia → India → Mumbai"/>
    <x v="57"/>
    <x v="4"/>
    <s v="Mumbai"/>
    <s v="Corporate"/>
    <x v="4"/>
    <x v="10"/>
    <x v="4"/>
    <x v="508"/>
    <n v="903.41"/>
    <n v="1860.41"/>
    <s v="Valid"/>
    <n v="1860.41"/>
    <s v="Medium"/>
    <n v="0.108"/>
    <s v="Valid"/>
    <n v="0.108"/>
    <n v="5"/>
    <n v="8297.4286000000011"/>
    <n v="4517.05"/>
    <n v="3780.3786000000009"/>
    <n v="0.455608451996803"/>
  </r>
  <r>
    <s v="ORD-2023-913592"/>
    <d v="2023-05-10T00:00:00"/>
    <x v="15"/>
    <s v="Q2-2023"/>
    <d v="2023-05-14T00:00:00"/>
    <s v="Valid"/>
    <n v="4"/>
    <d v="2023-05-14T00:00:00"/>
    <x v="1"/>
    <s v="Asia → India → Delhi"/>
    <x v="117"/>
    <x v="4"/>
    <s v="Delhi"/>
    <s v="Non-Profit"/>
    <x v="3"/>
    <x v="0"/>
    <x v="5"/>
    <x v="509"/>
    <n v="622.6"/>
    <n v="833.69"/>
    <s v="Valid"/>
    <n v="833.69"/>
    <s v="Medium"/>
    <n v="0.20899999999999999"/>
    <s v="Valid"/>
    <n v="0.20899999999999999"/>
    <n v="14"/>
    <n v="9232.2830599999998"/>
    <n v="8716.4"/>
    <n v="515.88306000000011"/>
    <n v="5.5878167582959715E-2"/>
  </r>
  <r>
    <s v="ORD-2024-961501"/>
    <d v="2024-03-02T00:00:00"/>
    <x v="0"/>
    <s v="Q1-2024"/>
    <d v="2024-03-23T00:00:00"/>
    <s v="Valid"/>
    <n v="21"/>
    <d v="2024-03-23T00:00:00"/>
    <x v="2"/>
    <s v="Americas → USA → Chicago"/>
    <x v="181"/>
    <x v="10"/>
    <s v="Chicago"/>
    <s v="Small Business"/>
    <x v="1"/>
    <x v="9"/>
    <x v="0"/>
    <x v="510"/>
    <n v="225.01"/>
    <n v="333.48"/>
    <s v="Valid"/>
    <n v="333.48"/>
    <s v="Low"/>
    <n v="0.11899999999999999"/>
    <s v="Valid"/>
    <n v="0.11899999999999999"/>
    <n v="12"/>
    <n v="3525.5505600000001"/>
    <n v="2700.12"/>
    <n v="825.43056000000024"/>
    <n v="0.23412813004729685"/>
  </r>
  <r>
    <s v="ORD-2024-964950"/>
    <d v="2024-10-10T00:00:00"/>
    <x v="1"/>
    <s v="Q4-2024"/>
    <d v="2024-10-11T00:00:00"/>
    <s v="Valid"/>
    <n v="1"/>
    <d v="2024-10-11T00:00:00"/>
    <x v="3"/>
    <s v="Europe → United Kingdom → Manchester"/>
    <x v="140"/>
    <x v="8"/>
    <s v="Manchester"/>
    <s v="Non-Profit"/>
    <x v="3"/>
    <x v="4"/>
    <x v="0"/>
    <x v="511"/>
    <n v="1389.46"/>
    <n v="1784.7"/>
    <s v="Valid"/>
    <n v="1784.7"/>
    <s v="Medium"/>
    <n v="0.14599999999999999"/>
    <s v="Valid"/>
    <n v="0.14599999999999999"/>
    <n v="33"/>
    <n v="50296.415399999998"/>
    <n v="45852.18"/>
    <n v="4444.2353999999978"/>
    <n v="8.8360877503011831E-2"/>
  </r>
  <r>
    <s v="ORD-2023-349264"/>
    <d v="2023-06-01T00:00:00"/>
    <x v="23"/>
    <s v="Q2-2023"/>
    <d v="2023-06-08T00:00:00"/>
    <s v="Valid"/>
    <n v="7"/>
    <d v="2023-06-08T00:00:00"/>
    <x v="3"/>
    <s v="Europe → Germany → Frankfurt"/>
    <x v="288"/>
    <x v="6"/>
    <s v="Frankfurt"/>
    <s v="Consumer"/>
    <x v="1"/>
    <x v="8"/>
    <x v="3"/>
    <x v="512"/>
    <n v="804.17"/>
    <n v="1072.29"/>
    <s v="Valid"/>
    <n v="1072.29"/>
    <s v="Medium"/>
    <n v="3.2000000000000001E-2"/>
    <s v="Valid"/>
    <n v="3.2000000000000001E-2"/>
    <n v="5"/>
    <n v="5189.8836000000001"/>
    <n v="4020.85"/>
    <n v="1169.0336000000002"/>
    <n v="0.2252523736755869"/>
  </r>
  <r>
    <s v="ORD-2025-137394"/>
    <d v="2025-01-04T00:00:00"/>
    <x v="10"/>
    <s v="Q1-2025"/>
    <d v="2025-01-05T00:00:00"/>
    <s v="Valid"/>
    <n v="1"/>
    <d v="2025-01-05T00:00:00"/>
    <x v="1"/>
    <s v="Asia → India → Delhi"/>
    <x v="289"/>
    <x v="4"/>
    <s v="Delhi"/>
    <s v="Education"/>
    <x v="0"/>
    <x v="2"/>
    <x v="0"/>
    <x v="513"/>
    <n v="1428.33"/>
    <n v="3028.05"/>
    <s v="Valid"/>
    <n v="3028.05"/>
    <s v="High"/>
    <n v="0"/>
    <s v="Valid"/>
    <n v="0"/>
    <n v="11"/>
    <n v="33308.550000000003"/>
    <n v="15711.63"/>
    <n v="17596.920000000006"/>
    <n v="0.52830039134096207"/>
  </r>
  <r>
    <s v="ORD-2025-635337"/>
    <d v="2025-08-05T00:00:00"/>
    <x v="28"/>
    <s v="Q3-2025"/>
    <d v="2025-08-28T00:00:00"/>
    <s v="Valid"/>
    <n v="23"/>
    <d v="2025-08-28T00:00:00"/>
    <x v="1"/>
    <s v="Asia → India → Mumbai"/>
    <x v="84"/>
    <x v="4"/>
    <s v="Mumbai"/>
    <s v="Non-Profit"/>
    <x v="3"/>
    <x v="13"/>
    <x v="4"/>
    <x v="514"/>
    <n v="638.54"/>
    <n v="987.24"/>
    <s v="Valid"/>
    <n v="987.24"/>
    <s v="Medium"/>
    <n v="0"/>
    <s v="Valid"/>
    <n v="0"/>
    <n v="11"/>
    <n v="10859.64"/>
    <n v="7023.94"/>
    <n v="3835.7"/>
    <n v="0.35320692030306716"/>
  </r>
  <r>
    <s v="ORD-2023-568013"/>
    <d v="2023-09-30T00:00:00"/>
    <x v="27"/>
    <s v="Q3-2023"/>
    <d v="2023-10-30T00:00:00"/>
    <s v="Valid"/>
    <n v="30"/>
    <d v="2023-10-30T00:00:00"/>
    <x v="1"/>
    <s v="Asia → Japan → Tokyo"/>
    <x v="142"/>
    <x v="2"/>
    <s v="Tokyo"/>
    <s v="Enterprise"/>
    <x v="1"/>
    <x v="14"/>
    <x v="1"/>
    <x v="515"/>
    <n v="649.13"/>
    <n v="975.43"/>
    <s v="Valid"/>
    <n v="975.43"/>
    <s v="Medium"/>
    <n v="0.157"/>
    <s v="Valid"/>
    <n v="0.157"/>
    <n v="27"/>
    <n v="22201.762229999997"/>
    <n v="17526.509999999998"/>
    <n v="4675.2522299999982"/>
    <n v="0.21058023149543473"/>
  </r>
  <r>
    <s v="ORD-2025-828263"/>
    <d v="2025-05-17T00:00:00"/>
    <x v="8"/>
    <s v="Q2-2025"/>
    <d v="2025-05-30T00:00:00"/>
    <s v="Valid"/>
    <n v="13"/>
    <d v="2025-05-30T00:00:00"/>
    <x v="0"/>
    <s v="Africa → Nigeria → Lagos"/>
    <x v="290"/>
    <x v="1"/>
    <s v="Lagos"/>
    <s v="Consumer"/>
    <x v="3"/>
    <x v="9"/>
    <x v="6"/>
    <x v="516"/>
    <n v="66.400000000000006"/>
    <n v="141.43"/>
    <s v="Valid"/>
    <n v="141.43"/>
    <s v="Low"/>
    <n v="0.107"/>
    <s v="Valid"/>
    <n v="0.107"/>
    <n v="8"/>
    <n v="1010.3759200000001"/>
    <n v="531.20000000000005"/>
    <n v="479.17592000000002"/>
    <n v="0.47425508715607551"/>
  </r>
  <r>
    <s v="ORD-2024-402240"/>
    <d v="2024-05-01T00:00:00"/>
    <x v="7"/>
    <s v="Q2-2024"/>
    <d v="2024-05-26T00:00:00"/>
    <s v="Valid"/>
    <n v="25"/>
    <d v="2024-05-26T00:00:00"/>
    <x v="3"/>
    <s v="Europe → Germany → Berlin"/>
    <x v="217"/>
    <x v="6"/>
    <s v="Berlin"/>
    <s v="Non-Profit"/>
    <x v="0"/>
    <x v="5"/>
    <x v="2"/>
    <x v="517"/>
    <n v="930.71"/>
    <n v="1625.42"/>
    <s v="Valid"/>
    <n v="1625.42"/>
    <s v="Medium"/>
    <n v="0.13800000000000001"/>
    <s v="Valid"/>
    <n v="0.13800000000000001"/>
    <n v="7"/>
    <n v="9807.7842799999999"/>
    <n v="6514.97"/>
    <n v="3292.8142799999996"/>
    <n v="0.33573477821231196"/>
  </r>
  <r>
    <s v="ORD-2023-125739"/>
    <d v="2023-05-01T00:00:00"/>
    <x v="15"/>
    <s v="Q2-2023"/>
    <d v="2023-05-18T00:00:00"/>
    <s v="Valid"/>
    <n v="17"/>
    <d v="2023-05-18T00:00:00"/>
    <x v="0"/>
    <s v="Africa → Nigeria → Port Harcourt"/>
    <x v="195"/>
    <x v="1"/>
    <s v="Port Harcourt"/>
    <s v="Corporate"/>
    <x v="4"/>
    <x v="9"/>
    <x v="0"/>
    <x v="518"/>
    <n v="327.97"/>
    <n v="299.94"/>
    <s v="Valid"/>
    <n v="299.94"/>
    <s v="Low"/>
    <n v="4.9000000000000002E-2"/>
    <s v="Valid"/>
    <n v="4.9000000000000002E-2"/>
    <n v="3"/>
    <n v="855.72881999999993"/>
    <n v="983.91000000000008"/>
    <n v="-128.18118000000015"/>
    <n v="-0.14979182306843442"/>
  </r>
  <r>
    <s v="ORD-2024-892879"/>
    <d v="2024-07-09T00:00:00"/>
    <x v="14"/>
    <s v="Q3-2024"/>
    <d v="2024-08-08T00:00:00"/>
    <s v="Valid"/>
    <n v="30"/>
    <d v="2024-08-08T00:00:00"/>
    <x v="3"/>
    <s v="Europe → France → Marseille"/>
    <x v="247"/>
    <x v="7"/>
    <s v="Marseille"/>
    <s v="Corporate"/>
    <x v="4"/>
    <x v="1"/>
    <x v="0"/>
    <x v="519"/>
    <n v="1062.3800000000001"/>
    <n v="1503.96"/>
    <s v="Valid"/>
    <n v="1503.96"/>
    <s v="Medium"/>
    <n v="0.18"/>
    <s v="Valid"/>
    <n v="0.18"/>
    <n v="6"/>
    <n v="7399.4832000000006"/>
    <n v="6374.2800000000007"/>
    <n v="1025.2031999999999"/>
    <n v="0.13855064905073369"/>
  </r>
  <r>
    <s v="ORD-2023-472050"/>
    <d v="2023-05-10T00:00:00"/>
    <x v="15"/>
    <s v="Q2-2023"/>
    <d v="2023-05-27T00:00:00"/>
    <s v="Valid"/>
    <n v="17"/>
    <d v="2023-05-27T00:00:00"/>
    <x v="1"/>
    <s v="Asia → India → Mumbai"/>
    <x v="117"/>
    <x v="4"/>
    <s v="Mumbai"/>
    <s v="Consumer"/>
    <x v="0"/>
    <x v="12"/>
    <x v="4"/>
    <x v="520"/>
    <n v="1286.1600000000001"/>
    <n v="3101.11"/>
    <s v="Valid"/>
    <n v="3101.11"/>
    <s v="High"/>
    <n v="0.1"/>
    <s v="Valid"/>
    <n v="0.1"/>
    <n v="23"/>
    <n v="64192.976999999999"/>
    <n v="29581.68"/>
    <n v="34611.296999999999"/>
    <n v="0.53917575749758417"/>
  </r>
  <r>
    <s v="ORD-2024-468615"/>
    <d v="2024-07-09T00:00:00"/>
    <x v="14"/>
    <s v="Q3-2024"/>
    <d v="2024-07-12T00:00:00"/>
    <s v="Valid"/>
    <n v="3"/>
    <d v="2024-07-12T00:00:00"/>
    <x v="1"/>
    <s v="Asia → China → Shanghai"/>
    <x v="227"/>
    <x v="9"/>
    <s v="Shanghai"/>
    <s v="Small Business"/>
    <x v="0"/>
    <x v="14"/>
    <x v="6"/>
    <x v="521"/>
    <n v="748.39"/>
    <n v="979.42"/>
    <s v="Valid"/>
    <n v="979.42"/>
    <s v="Medium"/>
    <n v="0"/>
    <s v="Valid"/>
    <n v="0"/>
    <n v="23"/>
    <n v="22526.66"/>
    <n v="17212.97"/>
    <n v="5313.6899999999987"/>
    <n v="0.23588450307324738"/>
  </r>
  <r>
    <s v="ORD-2024-833375"/>
    <d v="2024-04-24T00:00:00"/>
    <x v="20"/>
    <s v="Q2-2024"/>
    <d v="2024-05-10T00:00:00"/>
    <s v="Valid"/>
    <n v="16"/>
    <d v="2024-05-10T00:00:00"/>
    <x v="0"/>
    <s v="Africa → Kenya → Kisumu"/>
    <x v="291"/>
    <x v="0"/>
    <s v="Kisumu"/>
    <s v="Non-Profit"/>
    <x v="1"/>
    <x v="13"/>
    <x v="5"/>
    <x v="522"/>
    <n v="513.30999999999995"/>
    <n v="1186.26"/>
    <s v="Valid"/>
    <n v="1186.26"/>
    <s v="Medium"/>
    <n v="9.4E-2"/>
    <s v="Valid"/>
    <n v="9.4E-2"/>
    <n v="15"/>
    <n v="16121.273400000002"/>
    <n v="7699.65"/>
    <n v="8421.6234000000022"/>
    <n v="0.52239194702820446"/>
  </r>
  <r>
    <s v="ORD-2024-206311"/>
    <d v="2024-01-13T00:00:00"/>
    <x v="9"/>
    <s v="Q1-2024"/>
    <d v="2024-01-15T00:00:00"/>
    <s v="Valid"/>
    <n v="2"/>
    <d v="2024-01-15T00:00:00"/>
    <x v="2"/>
    <s v="Americas → USA → San Francisco"/>
    <x v="160"/>
    <x v="10"/>
    <s v="San Francisco"/>
    <s v="Non-Profit"/>
    <x v="4"/>
    <x v="6"/>
    <x v="0"/>
    <x v="523"/>
    <n v="1061.3699999999999"/>
    <n v="1938.33"/>
    <s v="Valid"/>
    <n v="1938.33"/>
    <s v="High"/>
    <n v="0.17"/>
    <s v="Valid"/>
    <n v="0.17"/>
    <n v="4"/>
    <n v="6435.2555999999995"/>
    <n v="4245.4799999999996"/>
    <n v="2189.7755999999999"/>
    <n v="0.34027795259600879"/>
  </r>
  <r>
    <s v="ORD-2024-364080"/>
    <d v="2024-04-16T00:00:00"/>
    <x v="20"/>
    <s v="Q2-2024"/>
    <d v="2024-04-27T00:00:00"/>
    <s v="Valid"/>
    <n v="11"/>
    <d v="2024-04-27T00:00:00"/>
    <x v="0"/>
    <s v="Africa → Kenya → Nakuru"/>
    <x v="291"/>
    <x v="0"/>
    <s v="Nakuru"/>
    <s v="Enterprise"/>
    <x v="1"/>
    <x v="14"/>
    <x v="1"/>
    <x v="524"/>
    <n v="401.3"/>
    <n v="826.47"/>
    <s v="Valid"/>
    <n v="826.47"/>
    <s v="Medium"/>
    <n v="0.22500000000000001"/>
    <s v="Valid"/>
    <n v="0.22500000000000001"/>
    <n v="13"/>
    <n v="8326.6852500000005"/>
    <n v="5216.9000000000005"/>
    <n v="3109.7852499999999"/>
    <n v="0.37347217489696755"/>
  </r>
  <r>
    <s v="ORD-2025-460466"/>
    <d v="2025-02-07T00:00:00"/>
    <x v="26"/>
    <s v="Q1-2025"/>
    <d v="2025-02-16T00:00:00"/>
    <s v="Valid"/>
    <n v="9"/>
    <d v="2025-02-16T00:00:00"/>
    <x v="0"/>
    <s v="Africa → Nigeria → Lagos"/>
    <x v="260"/>
    <x v="1"/>
    <s v="Lagos"/>
    <s v="Small Business"/>
    <x v="3"/>
    <x v="0"/>
    <x v="1"/>
    <x v="525"/>
    <n v="90.68"/>
    <n v="118.17"/>
    <s v="Valid"/>
    <n v="118.17"/>
    <s v="Low"/>
    <n v="0.13500000000000001"/>
    <s v="Valid"/>
    <n v="0.13500000000000001"/>
    <n v="21"/>
    <n v="2146.5580500000001"/>
    <n v="1904.2800000000002"/>
    <n v="242.27804999999989"/>
    <n v="0.11286815653552899"/>
  </r>
  <r>
    <s v="ORD-2023-700699"/>
    <d v="2023-01-12T00:00:00"/>
    <x v="5"/>
    <s v="Q1-2023"/>
    <d v="2023-01-26T00:00:00"/>
    <s v="Valid"/>
    <n v="14"/>
    <d v="2023-01-26T00:00:00"/>
    <x v="1"/>
    <s v="Asia → China → Shenzhen"/>
    <x v="292"/>
    <x v="9"/>
    <s v="Shenzhen"/>
    <s v="Non-Profit"/>
    <x v="0"/>
    <x v="12"/>
    <x v="1"/>
    <x v="526"/>
    <n v="1083.0899999999999"/>
    <n v="1425.87"/>
    <s v="Valid"/>
    <n v="1425.87"/>
    <s v="Medium"/>
    <n v="0"/>
    <s v="Valid"/>
    <n v="0"/>
    <n v="8"/>
    <n v="11406.96"/>
    <n v="8664.7199999999993"/>
    <n v="2742.24"/>
    <n v="0.24040059752992909"/>
  </r>
  <r>
    <s v="ORD-2024-713332"/>
    <d v="2024-06-05T00:00:00"/>
    <x v="17"/>
    <s v="Q2-2024"/>
    <d v="2024-06-23T00:00:00"/>
    <s v="Valid"/>
    <n v="18"/>
    <d v="2024-06-23T00:00:00"/>
    <x v="0"/>
    <s v="Africa → Kenya → Nairobi"/>
    <x v="95"/>
    <x v="0"/>
    <s v="Nairobi"/>
    <s v="Consumer"/>
    <x v="3"/>
    <x v="14"/>
    <x v="4"/>
    <x v="527"/>
    <n v="1208.74"/>
    <n v="1594.78"/>
    <s v="Valid"/>
    <n v="1594.78"/>
    <s v="Medium"/>
    <n v="5.8999999999999997E-2"/>
    <s v="Valid"/>
    <n v="5.8999999999999997E-2"/>
    <n v="39"/>
    <n v="58526.83122"/>
    <n v="47140.86"/>
    <n v="11385.971219999999"/>
    <n v="0.1945427589817838"/>
  </r>
  <r>
    <s v="ORD-2023-640022"/>
    <d v="2023-08-24T00:00:00"/>
    <x v="25"/>
    <s v="Q3-2023"/>
    <d v="2023-09-20T00:00:00"/>
    <s v="Valid"/>
    <n v="27"/>
    <d v="2023-09-20T00:00:00"/>
    <x v="0"/>
    <s v="Africa → South Africa → Durban"/>
    <x v="62"/>
    <x v="11"/>
    <s v="Durban"/>
    <s v="Small Business"/>
    <x v="2"/>
    <x v="12"/>
    <x v="1"/>
    <x v="528"/>
    <n v="1399.64"/>
    <n v="3342.11"/>
    <s v="Valid"/>
    <n v="3342.11"/>
    <s v="High"/>
    <n v="0"/>
    <s v="Valid"/>
    <n v="0"/>
    <n v="10"/>
    <n v="33421.1"/>
    <n v="13996.400000000001"/>
    <n v="19424.699999999997"/>
    <n v="0.58121067229983447"/>
  </r>
  <r>
    <s v="ORD-2024-532184"/>
    <d v="2024-01-25T00:00:00"/>
    <x v="9"/>
    <s v="Q1-2024"/>
    <d v="2024-02-08T00:00:00"/>
    <s v="Valid"/>
    <n v="14"/>
    <d v="2024-02-08T00:00:00"/>
    <x v="1"/>
    <s v="Asia → Japan → Osaka"/>
    <x v="179"/>
    <x v="2"/>
    <s v="Osaka"/>
    <s v="Consumer"/>
    <x v="2"/>
    <x v="2"/>
    <x v="2"/>
    <x v="529"/>
    <n v="937.16"/>
    <n v="1069.77"/>
    <s v="Valid"/>
    <n v="1069.77"/>
    <s v="Medium"/>
    <n v="3.7999999999999999E-2"/>
    <s v="Valid"/>
    <n v="3.7999999999999999E-2"/>
    <n v="9"/>
    <n v="9262.0686600000008"/>
    <n v="8434.44"/>
    <n v="827.62866000000031"/>
    <n v="8.9356783066645962E-2"/>
  </r>
  <r>
    <s v="ORD-2025-926547"/>
    <d v="2025-03-11T00:00:00"/>
    <x v="3"/>
    <s v="Q1-2025"/>
    <d v="2025-03-26T00:00:00"/>
    <s v="Valid"/>
    <n v="15"/>
    <d v="2025-03-26T00:00:00"/>
    <x v="3"/>
    <s v="Europe → Germany → Berlin"/>
    <x v="280"/>
    <x v="6"/>
    <s v="Berlin"/>
    <s v="Small Business"/>
    <x v="1"/>
    <x v="2"/>
    <x v="3"/>
    <x v="530"/>
    <n v="116.97"/>
    <n v="140.82"/>
    <s v="Valid"/>
    <n v="140.82"/>
    <s v="Low"/>
    <n v="0.122"/>
    <s v="Valid"/>
    <n v="0.122"/>
    <n v="5"/>
    <n v="618.19979999999987"/>
    <n v="584.85"/>
    <n v="33.349799999999846"/>
    <n v="5.3946636669891926E-2"/>
  </r>
  <r>
    <s v="ORD-2025-778145"/>
    <d v="2025-04-22T00:00:00"/>
    <x v="19"/>
    <s v="Q2-2025"/>
    <d v="2025-05-12T00:00:00"/>
    <s v="Valid"/>
    <n v="20"/>
    <d v="2025-05-12T00:00:00"/>
    <x v="3"/>
    <s v="Europe → France → Lyon"/>
    <x v="27"/>
    <x v="7"/>
    <s v="Lyon"/>
    <s v="Enterprise"/>
    <x v="2"/>
    <x v="11"/>
    <x v="5"/>
    <x v="531"/>
    <n v="59.51"/>
    <n v="67.040000000000006"/>
    <s v="Valid"/>
    <n v="67.040000000000006"/>
    <s v="Low"/>
    <n v="0.114"/>
    <s v="Valid"/>
    <n v="0.114"/>
    <n v="9"/>
    <n v="534.57695999999999"/>
    <n v="535.59"/>
    <n v="-1.0130400000000463"/>
    <n v="-1.8950311663264469E-3"/>
  </r>
  <r>
    <s v="ORD-2023-525643"/>
    <d v="2023-08-17T00:00:00"/>
    <x v="25"/>
    <s v="Q3-2023"/>
    <d v="2023-09-03T00:00:00"/>
    <s v="Valid"/>
    <n v="17"/>
    <d v="2023-09-03T00:00:00"/>
    <x v="0"/>
    <s v="Africa → South Africa → Durban"/>
    <x v="62"/>
    <x v="11"/>
    <s v="Durban"/>
    <s v="Enterprise"/>
    <x v="0"/>
    <x v="8"/>
    <x v="3"/>
    <x v="532"/>
    <n v="676.37"/>
    <n v="1276.67"/>
    <s v="Valid"/>
    <n v="1276.67"/>
    <s v="Medium"/>
    <n v="6.6000000000000003E-2"/>
    <s v="Valid"/>
    <n v="6.6000000000000003E-2"/>
    <n v="10"/>
    <n v="11924.0978"/>
    <n v="6763.7"/>
    <n v="5160.3977999999997"/>
    <n v="0.4327705027712872"/>
  </r>
  <r>
    <s v="ORD-2025-312803"/>
    <d v="2025-06-24T00:00:00"/>
    <x v="16"/>
    <s v="Q2-2025"/>
    <d v="2025-07-14T00:00:00"/>
    <s v="Valid"/>
    <n v="20"/>
    <d v="2025-07-14T00:00:00"/>
    <x v="0"/>
    <s v="Africa → South Africa → Johannesburg"/>
    <x v="198"/>
    <x v="11"/>
    <s v="Johannesburg"/>
    <s v="Enterprise"/>
    <x v="2"/>
    <x v="1"/>
    <x v="4"/>
    <x v="533"/>
    <n v="1151.06"/>
    <n v="2821.36"/>
    <s v="Valid"/>
    <n v="2821.36"/>
    <s v="High"/>
    <n v="0.248"/>
    <s v="Valid"/>
    <n v="0.248"/>
    <n v="20"/>
    <n v="42433.254400000005"/>
    <n v="23021.199999999997"/>
    <n v="19412.054400000008"/>
    <n v="0.45747267501594235"/>
  </r>
  <r>
    <s v="ORD-2025-149156"/>
    <d v="2025-01-10T00:00:00"/>
    <x v="10"/>
    <s v="Q1-2025"/>
    <d v="2025-02-06T00:00:00"/>
    <s v="Valid"/>
    <n v="27"/>
    <d v="2025-02-06T00:00:00"/>
    <x v="2"/>
    <s v="Americas → Brazil → Brasília"/>
    <x v="258"/>
    <x v="5"/>
    <s v="Brasília"/>
    <s v="Non-Profit"/>
    <x v="0"/>
    <x v="5"/>
    <x v="4"/>
    <x v="534"/>
    <n v="725.62"/>
    <n v="1559.19"/>
    <s v="Valid"/>
    <n v="1559.19"/>
    <s v="Medium"/>
    <n v="0.19"/>
    <s v="Valid"/>
    <n v="0.19"/>
    <n v="12"/>
    <n v="15155.326800000001"/>
    <n v="8707.44"/>
    <n v="6447.8868000000002"/>
    <n v="0.42545349797405885"/>
  </r>
  <r>
    <s v="ORD-2023-215819"/>
    <d v="2023-07-01T00:00:00"/>
    <x v="24"/>
    <s v="Q3-2023"/>
    <d v="2023-07-11T00:00:00"/>
    <s v="Valid"/>
    <n v="10"/>
    <d v="2023-07-11T00:00:00"/>
    <x v="3"/>
    <s v="Europe → France → Paris"/>
    <x v="45"/>
    <x v="7"/>
    <s v="Paris"/>
    <s v="Corporate"/>
    <x v="4"/>
    <x v="9"/>
    <x v="2"/>
    <x v="535"/>
    <n v="479.5"/>
    <n v="656.66"/>
    <s v="Valid"/>
    <n v="656.66"/>
    <s v="Medium"/>
    <n v="0.14899999999999999"/>
    <s v="Valid"/>
    <n v="0.14899999999999999"/>
    <n v="14"/>
    <n v="7823.4472399999995"/>
    <n v="6713"/>
    <n v="1110.4472399999995"/>
    <n v="0.14193835606412289"/>
  </r>
  <r>
    <s v="ORD-2024-353078"/>
    <d v="2024-08-16T00:00:00"/>
    <x v="21"/>
    <s v="Q3-2024"/>
    <d v="2024-08-26T00:00:00"/>
    <s v="Valid"/>
    <n v="10"/>
    <d v="2024-08-26T00:00:00"/>
    <x v="2"/>
    <s v="Americas → USA → Chicago"/>
    <x v="154"/>
    <x v="10"/>
    <s v="Chicago"/>
    <s v="Corporate"/>
    <x v="3"/>
    <x v="4"/>
    <x v="4"/>
    <x v="387"/>
    <n v="1291.7"/>
    <n v="2657.84"/>
    <s v="Valid"/>
    <n v="2657.84"/>
    <s v="High"/>
    <n v="8.6999999999999994E-2"/>
    <s v="Valid"/>
    <n v="8.6999999999999994E-2"/>
    <n v="21"/>
    <n v="50958.766320000002"/>
    <n v="27125.7"/>
    <n v="23833.066320000002"/>
    <n v="0.46769315745083367"/>
  </r>
  <r>
    <s v="ORD-2023-621393"/>
    <d v="2023-07-07T00:00:00"/>
    <x v="24"/>
    <s v="Q3-2023"/>
    <d v="2023-07-13T00:00:00"/>
    <s v="Valid"/>
    <n v="6"/>
    <d v="2023-07-13T00:00:00"/>
    <x v="0"/>
    <s v="Africa → South Africa → Cape Town"/>
    <x v="126"/>
    <x v="11"/>
    <s v="Cape Town"/>
    <s v="Small Business"/>
    <x v="2"/>
    <x v="5"/>
    <x v="6"/>
    <x v="536"/>
    <n v="612.59"/>
    <n v="1424.74"/>
    <s v="Valid"/>
    <n v="1424.74"/>
    <s v="Medium"/>
    <n v="4.3999999999999997E-2"/>
    <s v="Valid"/>
    <n v="4.3999999999999997E-2"/>
    <n v="15"/>
    <n v="20430.771599999996"/>
    <n v="9188.85"/>
    <n v="11241.921599999996"/>
    <n v="0.55024459281802152"/>
  </r>
  <r>
    <s v="ORD-2023-974506"/>
    <d v="2023-12-28T00:00:00"/>
    <x v="4"/>
    <s v="Q4-2023"/>
    <d v="2024-01-01T00:00:00"/>
    <s v="Valid"/>
    <n v="4"/>
    <d v="2024-01-01T00:00:00"/>
    <x v="0"/>
    <s v="Africa → South Africa → Cape Town"/>
    <x v="74"/>
    <x v="11"/>
    <s v="Cape Town"/>
    <s v="Education"/>
    <x v="3"/>
    <x v="8"/>
    <x v="1"/>
    <x v="537"/>
    <n v="1141.8"/>
    <n v="2318.7399999999998"/>
    <s v="Valid"/>
    <n v="2318.7399999999998"/>
    <s v="High"/>
    <n v="0.107"/>
    <s v="Valid"/>
    <n v="0.107"/>
    <n v="32"/>
    <n v="66260.314239999992"/>
    <n v="36537.599999999999"/>
    <n v="29722.714239999994"/>
    <n v="0.44857490612468304"/>
  </r>
  <r>
    <s v="ORD-2023-811823"/>
    <d v="2023-01-26T00:00:00"/>
    <x v="5"/>
    <s v="Q1-2023"/>
    <d v="2023-02-15T00:00:00"/>
    <s v="Valid"/>
    <n v="20"/>
    <d v="2023-02-15T00:00:00"/>
    <x v="3"/>
    <s v="Europe → Germany → Berlin"/>
    <x v="158"/>
    <x v="6"/>
    <s v="Berlin"/>
    <s v="Small Business"/>
    <x v="1"/>
    <x v="7"/>
    <x v="2"/>
    <x v="538"/>
    <n v="492.62"/>
    <n v="366.7"/>
    <s v="Valid"/>
    <n v="366.7"/>
    <s v="Low"/>
    <n v="8.8999999999999996E-2"/>
    <s v="Valid"/>
    <n v="8.8999999999999996E-2"/>
    <n v="10"/>
    <n v="3340.6370000000002"/>
    <n v="4926.2"/>
    <n v="-1585.5629999999996"/>
    <n v="-0.47462894052840809"/>
  </r>
  <r>
    <s v="ORD-2023-286720"/>
    <d v="2023-07-08T00:00:00"/>
    <x v="24"/>
    <s v="Q3-2023"/>
    <d v="2023-07-09T00:00:00"/>
    <s v="Valid"/>
    <n v="1"/>
    <d v="2023-07-09T00:00:00"/>
    <x v="0"/>
    <s v="Africa → Kenya → Nairobi"/>
    <x v="229"/>
    <x v="0"/>
    <s v="Nairobi"/>
    <s v="Consumer"/>
    <x v="1"/>
    <x v="14"/>
    <x v="4"/>
    <x v="539"/>
    <n v="1258.72"/>
    <n v="2797.41"/>
    <s v="Valid"/>
    <n v="2797.41"/>
    <s v="High"/>
    <n v="0"/>
    <s v="Valid"/>
    <n v="0"/>
    <n v="7"/>
    <n v="19581.87"/>
    <n v="8811.0400000000009"/>
    <n v="10770.829999999998"/>
    <n v="0.55004093071805704"/>
  </r>
  <r>
    <s v="ORD-2024-626925"/>
    <d v="2024-06-07T00:00:00"/>
    <x v="17"/>
    <s v="Q2-2024"/>
    <d v="2024-06-09T00:00:00"/>
    <s v="Valid"/>
    <n v="2"/>
    <d v="2024-06-09T00:00:00"/>
    <x v="1"/>
    <s v="Asia → China → Shanghai"/>
    <x v="96"/>
    <x v="9"/>
    <s v="Shanghai"/>
    <s v="Corporate"/>
    <x v="0"/>
    <x v="7"/>
    <x v="5"/>
    <x v="540"/>
    <n v="1370.28"/>
    <n v="2209.66"/>
    <s v="Valid"/>
    <n v="2209.66"/>
    <s v="High"/>
    <n v="0.13300000000000001"/>
    <s v="Valid"/>
    <n v="0.13300000000000001"/>
    <n v="16"/>
    <n v="30652.403519999996"/>
    <n v="21924.48"/>
    <n v="8727.9235199999966"/>
    <n v="0.28473863442079589"/>
  </r>
  <r>
    <s v="ORD-2023-960380"/>
    <d v="2023-02-11T00:00:00"/>
    <x v="2"/>
    <s v="Q1-2023"/>
    <d v="2023-02-12T00:00:00"/>
    <s v="Valid"/>
    <n v="1"/>
    <d v="2023-02-12T00:00:00"/>
    <x v="0"/>
    <s v="Africa → Nigeria → Port Harcourt"/>
    <x v="293"/>
    <x v="1"/>
    <s v="Port Harcourt"/>
    <s v="Non-Profit"/>
    <x v="4"/>
    <x v="14"/>
    <x v="6"/>
    <x v="541"/>
    <n v="944.61"/>
    <n v="839.04"/>
    <s v="Valid"/>
    <n v="839.04"/>
    <s v="Medium"/>
    <n v="5.8999999999999997E-2"/>
    <s v="Valid"/>
    <n v="5.8999999999999997E-2"/>
    <n v="6"/>
    <n v="4737.2198399999997"/>
    <n v="5667.66"/>
    <n v="-930.44016000000011"/>
    <n v="-0.19641059343363726"/>
  </r>
  <r>
    <s v="ORD-2023-453699"/>
    <d v="2023-07-01T00:00:00"/>
    <x v="24"/>
    <s v="Q3-2023"/>
    <d v="2023-07-08T00:00:00"/>
    <s v="Valid"/>
    <n v="7"/>
    <d v="2023-07-08T00:00:00"/>
    <x v="3"/>
    <s v="Europe → Germany → Frankfurt"/>
    <x v="294"/>
    <x v="6"/>
    <s v="Frankfurt"/>
    <s v="Small Business"/>
    <x v="3"/>
    <x v="13"/>
    <x v="4"/>
    <x v="542"/>
    <n v="460.21"/>
    <n v="1139.1500000000001"/>
    <s v="Valid"/>
    <n v="1139.1500000000001"/>
    <s v="Medium"/>
    <n v="0.115"/>
    <s v="Valid"/>
    <n v="0.115"/>
    <n v="14"/>
    <n v="14114.068500000001"/>
    <n v="6442.94"/>
    <n v="7671.1285000000016"/>
    <n v="0.54350937151821255"/>
  </r>
  <r>
    <s v="ORD-2025-960931"/>
    <d v="2025-08-20T00:00:00"/>
    <x v="28"/>
    <s v="Q3-2025"/>
    <d v="2025-08-26T00:00:00"/>
    <s v="Valid"/>
    <n v="6"/>
    <d v="2025-08-26T00:00:00"/>
    <x v="2"/>
    <s v="Americas → USA → New York"/>
    <x v="175"/>
    <x v="10"/>
    <s v="New York"/>
    <s v="Corporate"/>
    <x v="0"/>
    <x v="12"/>
    <x v="2"/>
    <x v="543"/>
    <n v="1304.95"/>
    <n v="1712.03"/>
    <s v="Valid"/>
    <n v="1712.03"/>
    <s v="Medium"/>
    <n v="0.21199999999999999"/>
    <s v="Valid"/>
    <n v="0.21199999999999999"/>
    <n v="8"/>
    <n v="10792.637119999999"/>
    <n v="10439.6"/>
    <n v="353.03711999999905"/>
    <n v="3.2710922833287949E-2"/>
  </r>
  <r>
    <s v="ORD-2024-419248"/>
    <d v="2024-03-04T00:00:00"/>
    <x v="0"/>
    <s v="Q1-2024"/>
    <d v="2024-03-16T00:00:00"/>
    <s v="Valid"/>
    <n v="12"/>
    <d v="2024-03-16T00:00:00"/>
    <x v="0"/>
    <s v="Africa → South Africa → Johannesburg"/>
    <x v="295"/>
    <x v="11"/>
    <s v="Johannesburg"/>
    <s v="Enterprise"/>
    <x v="3"/>
    <x v="12"/>
    <x v="5"/>
    <x v="544"/>
    <n v="441.08"/>
    <n v="1054.29"/>
    <s v="Valid"/>
    <n v="1054.29"/>
    <s v="Medium"/>
    <n v="0.23699999999999999"/>
    <s v="Valid"/>
    <n v="0.23699999999999999"/>
    <n v="6"/>
    <n v="4826.5396199999996"/>
    <n v="2646.48"/>
    <n v="2180.0596199999995"/>
    <n v="0.45168169985932899"/>
  </r>
  <r>
    <s v="ORD-2023-488227"/>
    <d v="2023-09-08T00:00:00"/>
    <x v="27"/>
    <s v="Q3-2023"/>
    <d v="2023-10-02T00:00:00"/>
    <s v="Valid"/>
    <n v="24"/>
    <d v="2023-10-02T00:00:00"/>
    <x v="2"/>
    <s v="Americas → Canada → Toronto"/>
    <x v="296"/>
    <x v="3"/>
    <s v="Toronto"/>
    <s v="Education"/>
    <x v="4"/>
    <x v="8"/>
    <x v="6"/>
    <x v="545"/>
    <n v="1299.03"/>
    <n v="2451.2199999999998"/>
    <s v="Valid"/>
    <n v="2451.2199999999998"/>
    <s v="High"/>
    <n v="0.20799999999999999"/>
    <s v="Valid"/>
    <n v="0.20799999999999999"/>
    <n v="8"/>
    <n v="15530.929919999999"/>
    <n v="10392.24"/>
    <n v="5138.6899199999989"/>
    <n v="0.3308681416032041"/>
  </r>
  <r>
    <s v="ORD-2023-472078"/>
    <d v="2023-02-28T00:00:00"/>
    <x v="2"/>
    <s v="Q1-2023"/>
    <d v="2023-03-06T00:00:00"/>
    <s v="Valid"/>
    <n v="6"/>
    <d v="2023-03-06T00:00:00"/>
    <x v="3"/>
    <s v="Europe → Germany → Frankfurt"/>
    <x v="86"/>
    <x v="6"/>
    <s v="Frankfurt"/>
    <s v="Small Business"/>
    <x v="2"/>
    <x v="14"/>
    <x v="1"/>
    <x v="546"/>
    <n v="880.02"/>
    <n v="1251.21"/>
    <s v="Valid"/>
    <n v="1251.21"/>
    <s v="Medium"/>
    <n v="0.123"/>
    <s v="Valid"/>
    <n v="0.123"/>
    <n v="29"/>
    <n v="31822.023930000003"/>
    <n v="25520.579999999998"/>
    <n v="6301.4439300000049"/>
    <n v="0.19802146915172672"/>
  </r>
  <r>
    <s v="ORD-2024-202877"/>
    <d v="2024-07-13T00:00:00"/>
    <x v="14"/>
    <s v="Q3-2024"/>
    <d v="2024-08-03T00:00:00"/>
    <s v="Valid"/>
    <n v="21"/>
    <d v="2024-08-03T00:00:00"/>
    <x v="2"/>
    <s v="Americas → Brazil → Rio de Janeiro"/>
    <x v="297"/>
    <x v="5"/>
    <s v="Rio de Janeiro"/>
    <s v="Corporate"/>
    <x v="2"/>
    <x v="12"/>
    <x v="5"/>
    <x v="547"/>
    <n v="702.98"/>
    <n v="1104.8"/>
    <s v="Valid"/>
    <n v="1104.8"/>
    <s v="Medium"/>
    <n v="0.17499999999999999"/>
    <s v="Valid"/>
    <n v="0.17499999999999999"/>
    <n v="12"/>
    <n v="10937.519999999999"/>
    <n v="8435.76"/>
    <n v="2501.7599999999984"/>
    <n v="0.22873192460448061"/>
  </r>
  <r>
    <s v="ORD-2024-140633"/>
    <d v="2024-12-07T00:00:00"/>
    <x v="6"/>
    <s v="Q4-2024"/>
    <d v="2024-12-26T00:00:00"/>
    <s v="Valid"/>
    <n v="19"/>
    <d v="2024-12-26T00:00:00"/>
    <x v="3"/>
    <s v="Europe → United Kingdom → London"/>
    <x v="213"/>
    <x v="8"/>
    <s v="London"/>
    <s v="Enterprise"/>
    <x v="1"/>
    <x v="14"/>
    <x v="2"/>
    <x v="548"/>
    <n v="1035.24"/>
    <n v="2383.41"/>
    <s v="Valid"/>
    <n v="2383.41"/>
    <s v="High"/>
    <n v="0.17"/>
    <s v="Valid"/>
    <n v="0.17"/>
    <n v="15"/>
    <n v="29673.454499999993"/>
    <n v="15528.6"/>
    <n v="14144.854499999992"/>
    <n v="0.47668378145860962"/>
  </r>
  <r>
    <s v="ORD-2025-419532"/>
    <d v="2025-08-06T00:00:00"/>
    <x v="28"/>
    <s v="Q3-2025"/>
    <d v="2025-08-23T00:00:00"/>
    <s v="Valid"/>
    <n v="17"/>
    <d v="2025-08-23T00:00:00"/>
    <x v="2"/>
    <s v="Americas → Brazil → Brasília"/>
    <x v="237"/>
    <x v="5"/>
    <s v="Brasília"/>
    <s v="Consumer"/>
    <x v="3"/>
    <x v="8"/>
    <x v="5"/>
    <x v="549"/>
    <n v="86.64"/>
    <n v="213.06"/>
    <s v="Valid"/>
    <n v="213.06"/>
    <s v="Low"/>
    <n v="0.21199999999999999"/>
    <s v="Valid"/>
    <n v="0.21199999999999999"/>
    <n v="11"/>
    <n v="1846.8040799999999"/>
    <n v="953.04"/>
    <n v="893.76407999999992"/>
    <n v="0.48395175735154322"/>
  </r>
  <r>
    <s v="ORD-2023-139236"/>
    <d v="2023-03-03T00:00:00"/>
    <x v="22"/>
    <s v="Q1-2023"/>
    <d v="2023-03-20T00:00:00"/>
    <s v="Valid"/>
    <n v="17"/>
    <d v="2023-03-20T00:00:00"/>
    <x v="1"/>
    <s v="Asia → Japan → Nagoya"/>
    <x v="137"/>
    <x v="2"/>
    <s v="Nagoya"/>
    <s v="Small Business"/>
    <x v="1"/>
    <x v="14"/>
    <x v="2"/>
    <x v="550"/>
    <n v="1171.17"/>
    <n v="2030.64"/>
    <s v="Valid"/>
    <n v="2030.64"/>
    <s v="High"/>
    <n v="0.157"/>
    <s v="Valid"/>
    <n v="0.157"/>
    <n v="11"/>
    <n v="18830.12472"/>
    <n v="12882.87"/>
    <n v="5947.254719999999"/>
    <n v="0.31583724528830415"/>
  </r>
  <r>
    <s v="ORD-2025-337268"/>
    <d v="2025-02-16T00:00:00"/>
    <x v="26"/>
    <s v="Q1-2025"/>
    <d v="2025-03-17T00:00:00"/>
    <s v="Valid"/>
    <n v="29"/>
    <d v="2025-03-17T00:00:00"/>
    <x v="3"/>
    <s v="Europe → Germany → Munich"/>
    <x v="132"/>
    <x v="6"/>
    <s v="Munich"/>
    <s v="Consumer"/>
    <x v="0"/>
    <x v="4"/>
    <x v="6"/>
    <x v="551"/>
    <n v="730.42"/>
    <n v="956.7"/>
    <s v="Valid"/>
    <n v="956.7"/>
    <s v="Medium"/>
    <n v="4.2000000000000003E-2"/>
    <s v="Valid"/>
    <n v="4.2000000000000003E-2"/>
    <n v="22"/>
    <n v="20163.409200000002"/>
    <n v="16069.24"/>
    <n v="4094.1692000000021"/>
    <n v="0.20304945256975698"/>
  </r>
  <r>
    <s v="ORD-2025-332931"/>
    <d v="2025-02-15T00:00:00"/>
    <x v="26"/>
    <s v="Q1-2025"/>
    <d v="2025-03-01T00:00:00"/>
    <s v="Valid"/>
    <n v="14"/>
    <d v="2025-03-01T00:00:00"/>
    <x v="0"/>
    <s v="Africa → Kenya → Mombasa"/>
    <x v="298"/>
    <x v="0"/>
    <s v="Mombasa"/>
    <s v="Education"/>
    <x v="4"/>
    <x v="4"/>
    <x v="6"/>
    <x v="552"/>
    <n v="1162.8599999999999"/>
    <n v="1447.68"/>
    <s v="Valid"/>
    <n v="1447.68"/>
    <s v="Medium"/>
    <n v="8.6999999999999994E-2"/>
    <s v="Valid"/>
    <n v="8.6999999999999994E-2"/>
    <n v="12"/>
    <n v="15860.782080000001"/>
    <n v="13954.32"/>
    <n v="1906.4620800000012"/>
    <n v="0.12019975247021369"/>
  </r>
  <r>
    <s v="ORD-2024-536442"/>
    <d v="2024-08-31T00:00:00"/>
    <x v="21"/>
    <s v="Q3-2024"/>
    <d v="2024-09-26T00:00:00"/>
    <s v="Valid"/>
    <n v="26"/>
    <d v="2024-09-26T00:00:00"/>
    <x v="1"/>
    <s v="Asia → Japan → Tokyo"/>
    <x v="129"/>
    <x v="2"/>
    <s v="Tokyo"/>
    <s v="Education"/>
    <x v="1"/>
    <x v="2"/>
    <x v="3"/>
    <x v="553"/>
    <n v="1189.03"/>
    <n v="2949.62"/>
    <s v="Valid"/>
    <n v="2949.62"/>
    <s v="High"/>
    <n v="0.125"/>
    <s v="Valid"/>
    <n v="0.125"/>
    <n v="13"/>
    <n v="33551.927499999998"/>
    <n v="15457.39"/>
    <n v="18094.537499999999"/>
    <n v="0.53929949330034765"/>
  </r>
  <r>
    <s v="ORD-2023-957692"/>
    <d v="2023-05-07T00:00:00"/>
    <x v="15"/>
    <s v="Q2-2023"/>
    <d v="2023-05-20T00:00:00"/>
    <s v="Valid"/>
    <n v="13"/>
    <d v="2023-05-20T00:00:00"/>
    <x v="1"/>
    <s v="Asia → India → Mumbai"/>
    <x v="117"/>
    <x v="4"/>
    <s v="Mumbai"/>
    <s v="Enterprise"/>
    <x v="0"/>
    <x v="14"/>
    <x v="6"/>
    <x v="554"/>
    <n v="1443.28"/>
    <n v="2580.5700000000002"/>
    <s v="Valid"/>
    <n v="2580.5700000000002"/>
    <s v="High"/>
    <n v="0"/>
    <s v="Valid"/>
    <n v="0"/>
    <n v="18"/>
    <n v="46450.26"/>
    <n v="25979.040000000001"/>
    <n v="20471.22"/>
    <n v="0.4407127107577008"/>
  </r>
  <r>
    <s v="ORD-2025-874124"/>
    <d v="2025-05-14T00:00:00"/>
    <x v="8"/>
    <s v="Q2-2025"/>
    <d v="2025-05-12T00:00:00"/>
    <s v="Invalid RequiredDate"/>
    <n v="-2"/>
    <d v="2025-06-09T00:00:00"/>
    <x v="2"/>
    <s v="Americas → Canada → Vancouver"/>
    <x v="210"/>
    <x v="3"/>
    <s v="Vancouver"/>
    <s v="Non-Profit"/>
    <x v="3"/>
    <x v="9"/>
    <x v="1"/>
    <x v="555"/>
    <n v="883.5"/>
    <n v="1978.91"/>
    <s v="Valid"/>
    <n v="1978.91"/>
    <s v="High"/>
    <n v="5.3999999999999999E-2"/>
    <s v="Valid"/>
    <n v="5.3999999999999999E-2"/>
    <n v="27"/>
    <n v="50545.319219999998"/>
    <n v="23854.5"/>
    <n v="26690.819219999998"/>
    <n v="0.52805718970390547"/>
  </r>
  <r>
    <s v="ORD-2024-687073"/>
    <d v="2024-03-11T00:00:00"/>
    <x v="0"/>
    <s v="Q1-2024"/>
    <d v="2024-03-29T00:00:00"/>
    <s v="Valid"/>
    <n v="18"/>
    <d v="2024-03-29T00:00:00"/>
    <x v="2"/>
    <s v="Americas → USA → New York"/>
    <x v="181"/>
    <x v="10"/>
    <s v="New York"/>
    <s v="Corporate"/>
    <x v="0"/>
    <x v="12"/>
    <x v="5"/>
    <x v="556"/>
    <n v="710.98"/>
    <n v="1481.45"/>
    <s v="Valid"/>
    <n v="1481.45"/>
    <s v="Medium"/>
    <n v="0.21099999999999999"/>
    <s v="Valid"/>
    <n v="0.21099999999999999"/>
    <n v="9"/>
    <n v="10519.776450000001"/>
    <n v="6398.82"/>
    <n v="4120.9564500000015"/>
    <n v="0.39173422264120461"/>
  </r>
  <r>
    <s v="ORD-2024-555229"/>
    <d v="2024-05-18T00:00:00"/>
    <x v="7"/>
    <s v="Q2-2024"/>
    <d v="2024-05-22T00:00:00"/>
    <s v="Valid"/>
    <n v="4"/>
    <d v="2024-05-22T00:00:00"/>
    <x v="0"/>
    <s v="Africa → Kenya → Nairobi"/>
    <x v="299"/>
    <x v="0"/>
    <s v="Nairobi"/>
    <s v="Corporate"/>
    <x v="4"/>
    <x v="10"/>
    <x v="6"/>
    <x v="557"/>
    <n v="857.42"/>
    <n v="1658.92"/>
    <s v="Valid"/>
    <n v="1658.92"/>
    <s v="Medium"/>
    <n v="0.122"/>
    <s v="Valid"/>
    <n v="0.122"/>
    <n v="9"/>
    <n v="13108.78584"/>
    <n v="7716.78"/>
    <n v="5392.0058400000007"/>
    <n v="0.41132763215544305"/>
  </r>
  <r>
    <s v="ORD-2024-872291"/>
    <d v="2024-01-08T00:00:00"/>
    <x v="9"/>
    <s v="Q1-2024"/>
    <d v="2024-01-12T00:00:00"/>
    <s v="Valid"/>
    <n v="4"/>
    <d v="2024-01-12T00:00:00"/>
    <x v="1"/>
    <s v="Asia → India → Bengaluru"/>
    <x v="77"/>
    <x v="4"/>
    <s v="Bengaluru"/>
    <s v="Corporate"/>
    <x v="4"/>
    <x v="6"/>
    <x v="1"/>
    <x v="558"/>
    <n v="802.32"/>
    <n v="602.34"/>
    <s v="Valid"/>
    <n v="602.34"/>
    <s v="Low"/>
    <n v="0.12"/>
    <s v="Valid"/>
    <n v="0.12"/>
    <n v="25"/>
    <n v="13251.48"/>
    <n v="20058"/>
    <n v="-6806.52"/>
    <n v="-0.51364224977134632"/>
  </r>
  <r>
    <s v="ORD-2024-250862"/>
    <d v="2024-10-25T00:00:00"/>
    <x v="1"/>
    <s v="Q4-2024"/>
    <d v="2024-11-05T00:00:00"/>
    <s v="Valid"/>
    <n v="11"/>
    <d v="2024-11-05T00:00:00"/>
    <x v="2"/>
    <s v="Americas → USA → New York"/>
    <x v="300"/>
    <x v="10"/>
    <s v="New York"/>
    <s v="Corporate"/>
    <x v="3"/>
    <x v="13"/>
    <x v="0"/>
    <x v="559"/>
    <n v="446.66"/>
    <n v="527.64"/>
    <s v="Valid"/>
    <n v="527.64"/>
    <s v="Low"/>
    <n v="0.14499999999999999"/>
    <s v="Valid"/>
    <n v="0.14499999999999999"/>
    <n v="15"/>
    <n v="6766.9829999999993"/>
    <n v="6699.9000000000005"/>
    <n v="67.082999999998719"/>
    <n v="9.9132804087137105E-3"/>
  </r>
  <r>
    <s v="ORD-2024-331226"/>
    <d v="2024-11-30T00:00:00"/>
    <x v="18"/>
    <s v="Q4-2024"/>
    <d v="2024-12-19T00:00:00"/>
    <s v="Valid"/>
    <n v="19"/>
    <d v="2024-12-19T00:00:00"/>
    <x v="0"/>
    <s v="Africa → Kenya → Kisumu"/>
    <x v="188"/>
    <x v="0"/>
    <s v="Kisumu"/>
    <s v="Corporate"/>
    <x v="1"/>
    <x v="4"/>
    <x v="3"/>
    <x v="560"/>
    <n v="1195.98"/>
    <n v="1841.9"/>
    <s v="Valid"/>
    <n v="1841.9"/>
    <s v="Medium"/>
    <n v="5.5E-2"/>
    <s v="Valid"/>
    <n v="5.5E-2"/>
    <n v="19"/>
    <n v="33071.3145"/>
    <n v="22723.62"/>
    <n v="10347.694500000001"/>
    <n v="0.31289032977506842"/>
  </r>
  <r>
    <s v="ORD-2023-356427"/>
    <d v="2023-04-13T00:00:00"/>
    <x v="12"/>
    <s v="Q2-2023"/>
    <d v="2023-05-02T00:00:00"/>
    <s v="Valid"/>
    <n v="19"/>
    <d v="2023-05-02T00:00:00"/>
    <x v="2"/>
    <s v="Americas → Canada → Montreal"/>
    <x v="148"/>
    <x v="3"/>
    <s v="Montreal"/>
    <s v="Consumer"/>
    <x v="3"/>
    <x v="6"/>
    <x v="5"/>
    <x v="561"/>
    <n v="671.05"/>
    <n v="1645.48"/>
    <s v="Valid"/>
    <n v="1645.48"/>
    <s v="Medium"/>
    <n v="0.13700000000000001"/>
    <s v="Valid"/>
    <n v="0.13700000000000001"/>
    <n v="6"/>
    <n v="8520.2954399999999"/>
    <n v="4026.2999999999997"/>
    <n v="4493.9954400000006"/>
    <n v="0.52744596377517172"/>
  </r>
  <r>
    <s v="ORD-2025-659650"/>
    <d v="2025-02-04T00:00:00"/>
    <x v="26"/>
    <s v="Q1-2025"/>
    <d v="2025-02-08T00:00:00"/>
    <s v="Valid"/>
    <n v="4"/>
    <d v="2025-02-08T00:00:00"/>
    <x v="3"/>
    <s v="Europe → United Kingdom → Manchester"/>
    <x v="163"/>
    <x v="8"/>
    <s v="Manchester"/>
    <s v="Enterprise"/>
    <x v="2"/>
    <x v="4"/>
    <x v="2"/>
    <x v="562"/>
    <n v="586.21"/>
    <n v="727.22"/>
    <s v="Valid"/>
    <n v="727.22"/>
    <s v="Medium"/>
    <n v="6.8000000000000005E-2"/>
    <s v="Valid"/>
    <n v="6.8000000000000005E-2"/>
    <n v="15"/>
    <n v="10166.535600000001"/>
    <n v="8793.1500000000015"/>
    <n v="1373.3855999999996"/>
    <n v="0.13508884973559721"/>
  </r>
  <r>
    <s v="ORD-2024-207669"/>
    <d v="2024-01-24T00:00:00"/>
    <x v="9"/>
    <s v="Q1-2024"/>
    <d v="2024-02-04T00:00:00"/>
    <s v="Valid"/>
    <n v="11"/>
    <d v="2024-02-04T00:00:00"/>
    <x v="3"/>
    <s v="Europe → United Kingdom → Manchester"/>
    <x v="236"/>
    <x v="8"/>
    <s v="Manchester"/>
    <s v="Consumer"/>
    <x v="0"/>
    <x v="5"/>
    <x v="4"/>
    <x v="563"/>
    <n v="525.34"/>
    <n v="1233.79"/>
    <s v="Valid"/>
    <n v="1233.79"/>
    <s v="Medium"/>
    <n v="0.14299999999999999"/>
    <s v="Valid"/>
    <n v="0.14299999999999999"/>
    <n v="4"/>
    <n v="4229.4321199999995"/>
    <n v="2101.36"/>
    <n v="2128.0721199999994"/>
    <n v="0.50315788494082736"/>
  </r>
  <r>
    <s v="ORD-2024-979401"/>
    <d v="2024-02-08T00:00:00"/>
    <x v="31"/>
    <s v="Q1-2024"/>
    <d v="2024-02-09T00:00:00"/>
    <s v="Valid"/>
    <n v="1"/>
    <d v="2024-02-09T00:00:00"/>
    <x v="0"/>
    <s v="Africa → Kenya → Mombasa"/>
    <x v="127"/>
    <x v="0"/>
    <s v="Mombasa"/>
    <s v="Corporate"/>
    <x v="4"/>
    <x v="9"/>
    <x v="0"/>
    <x v="564"/>
    <n v="1233.52"/>
    <n v="1543.76"/>
    <s v="Valid"/>
    <n v="1543.76"/>
    <s v="Medium"/>
    <n v="0.126"/>
    <s v="Valid"/>
    <n v="0.126"/>
    <n v="13"/>
    <n v="17540.201120000002"/>
    <n v="16035.76"/>
    <n v="1504.4411200000013"/>
    <n v="8.5771030201277493E-2"/>
  </r>
  <r>
    <s v="ORD-2025-929414"/>
    <d v="2025-06-26T00:00:00"/>
    <x v="16"/>
    <s v="Q2-2025"/>
    <d v="2025-07-11T00:00:00"/>
    <s v="Valid"/>
    <n v="15"/>
    <d v="2025-07-11T00:00:00"/>
    <x v="0"/>
    <s v="Africa → Nigeria → Port Harcourt"/>
    <x v="22"/>
    <x v="1"/>
    <s v="Port Harcourt"/>
    <s v="Small Business"/>
    <x v="1"/>
    <x v="8"/>
    <x v="4"/>
    <x v="565"/>
    <n v="1170.1500000000001"/>
    <n v="2115.19"/>
    <s v="Valid"/>
    <n v="2115.19"/>
    <s v="High"/>
    <n v="9.1999999999999998E-2"/>
    <s v="Valid"/>
    <n v="9.1999999999999998E-2"/>
    <n v="23"/>
    <n v="44173.627960000005"/>
    <n v="26913.45"/>
    <n v="17260.177960000005"/>
    <n v="0.39073489674946776"/>
  </r>
  <r>
    <s v="ORD-2024-766980"/>
    <d v="2024-11-04T00:00:00"/>
    <x v="18"/>
    <s v="Q4-2024"/>
    <d v="2024-11-07T00:00:00"/>
    <s v="Valid"/>
    <n v="3"/>
    <d v="2024-11-07T00:00:00"/>
    <x v="3"/>
    <s v="Europe → France → Lyon"/>
    <x v="26"/>
    <x v="7"/>
    <s v="Lyon"/>
    <s v="Corporate"/>
    <x v="1"/>
    <x v="7"/>
    <x v="5"/>
    <x v="566"/>
    <n v="740.68"/>
    <n v="1837.19"/>
    <s v="Valid"/>
    <n v="1837.19"/>
    <s v="Medium"/>
    <n v="0.19700000000000001"/>
    <s v="Valid"/>
    <n v="0.19700000000000001"/>
    <n v="17"/>
    <n v="25079.480689999997"/>
    <n v="12591.56"/>
    <n v="12487.920689999997"/>
    <n v="0.4979337827748298"/>
  </r>
  <r>
    <s v="ORD-2024-437164"/>
    <d v="2024-02-20T00:00:00"/>
    <x v="31"/>
    <s v="Q1-2024"/>
    <d v="2024-02-20T00:00:00"/>
    <s v="Valid"/>
    <n v="0"/>
    <d v="2024-02-20T00:00:00"/>
    <x v="2"/>
    <s v="Americas → USA → New York"/>
    <x v="301"/>
    <x v="10"/>
    <s v="New York"/>
    <s v="Enterprise"/>
    <x v="1"/>
    <x v="0"/>
    <x v="2"/>
    <x v="567"/>
    <n v="1407.05"/>
    <n v="2858.93"/>
    <s v="Valid"/>
    <n v="2858.93"/>
    <s v="High"/>
    <n v="0"/>
    <s v="Valid"/>
    <n v="0"/>
    <n v="12"/>
    <n v="34307.159999999996"/>
    <n v="16884.599999999999"/>
    <n v="17422.559999999998"/>
    <n v="0.50784034586366222"/>
  </r>
  <r>
    <s v="ORD-2025-169093"/>
    <d v="2025-04-13T00:00:00"/>
    <x v="19"/>
    <s v="Q2-2025"/>
    <d v="2025-04-14T00:00:00"/>
    <s v="Valid"/>
    <n v="1"/>
    <d v="2025-04-14T00:00:00"/>
    <x v="1"/>
    <s v="Asia → Japan → Osaka"/>
    <x v="79"/>
    <x v="2"/>
    <s v="Osaka"/>
    <s v="Enterprise"/>
    <x v="1"/>
    <x v="3"/>
    <x v="0"/>
    <x v="568"/>
    <n v="138.9"/>
    <n v="289.92"/>
    <s v="Valid"/>
    <n v="289.92"/>
    <s v="Low"/>
    <n v="2.9000000000000001E-2"/>
    <s v="Valid"/>
    <n v="2.9000000000000001E-2"/>
    <n v="12"/>
    <n v="3378.1478400000001"/>
    <n v="1666.8000000000002"/>
    <n v="1711.3478399999999"/>
    <n v="0.50659353025828491"/>
  </r>
  <r>
    <s v="ORD-2023-868460"/>
    <d v="2023-06-01T00:00:00"/>
    <x v="23"/>
    <s v="Q2-2023"/>
    <d v="2023-06-01T00:00:00"/>
    <s v="Valid"/>
    <n v="0"/>
    <d v="2023-06-01T00:00:00"/>
    <x v="1"/>
    <s v="Asia → India → Bengaluru"/>
    <x v="302"/>
    <x v="4"/>
    <s v="Bengaluru"/>
    <s v="Corporate"/>
    <x v="0"/>
    <x v="6"/>
    <x v="6"/>
    <x v="569"/>
    <n v="669.37"/>
    <n v="997.2"/>
    <s v="Valid"/>
    <n v="997.2"/>
    <s v="Medium"/>
    <n v="8.2000000000000003E-2"/>
    <s v="Valid"/>
    <n v="8.2000000000000003E-2"/>
    <n v="5"/>
    <n v="4577.1480000000001"/>
    <n v="3346.85"/>
    <n v="1230.2980000000002"/>
    <n v="0.26879139586484863"/>
  </r>
  <r>
    <s v="ORD-2025-177994"/>
    <d v="2025-03-24T00:00:00"/>
    <x v="3"/>
    <s v="Q1-2025"/>
    <d v="2025-04-04T00:00:00"/>
    <s v="Valid"/>
    <n v="11"/>
    <d v="2025-04-04T00:00:00"/>
    <x v="1"/>
    <s v="Asia → India → Mumbai"/>
    <x v="240"/>
    <x v="4"/>
    <s v="Mumbai"/>
    <s v="Education"/>
    <x v="2"/>
    <x v="1"/>
    <x v="3"/>
    <x v="570"/>
    <n v="23.83"/>
    <n v="47.29"/>
    <s v="Valid"/>
    <n v="47.29"/>
    <s v="Low"/>
    <n v="6.4000000000000001E-2"/>
    <s v="Valid"/>
    <n v="6.4000000000000001E-2"/>
    <n v="19"/>
    <n v="841.00536"/>
    <n v="452.77"/>
    <n v="388.23536000000001"/>
    <n v="0.46163244429262618"/>
  </r>
  <r>
    <s v="ORD-2024-355095"/>
    <d v="2024-01-02T00:00:00"/>
    <x v="9"/>
    <s v="Q1-2024"/>
    <d v="2024-01-02T00:00:00"/>
    <s v="Valid"/>
    <n v="0"/>
    <d v="2024-01-02T00:00:00"/>
    <x v="2"/>
    <s v="Americas → Canada → Vancouver"/>
    <x v="303"/>
    <x v="3"/>
    <s v="Vancouver"/>
    <s v="Education"/>
    <x v="4"/>
    <x v="8"/>
    <x v="4"/>
    <x v="571"/>
    <n v="444.41"/>
    <n v="754.24"/>
    <s v="Valid"/>
    <n v="754.24"/>
    <s v="Medium"/>
    <n v="0.20699999999999999"/>
    <s v="Valid"/>
    <n v="0.20699999999999999"/>
    <n v="32"/>
    <n v="19139.594240000002"/>
    <n v="14221.12"/>
    <n v="4918.4742400000014"/>
    <n v="0.25697902360546598"/>
  </r>
  <r>
    <s v="ORD-2023-126505"/>
    <d v="2023-12-19T00:00:00"/>
    <x v="4"/>
    <s v="Q4-2023"/>
    <d v="2024-01-01T00:00:00"/>
    <s v="Valid"/>
    <n v="13"/>
    <d v="2024-01-01T00:00:00"/>
    <x v="2"/>
    <s v="Americas → Canada → Toronto"/>
    <x v="304"/>
    <x v="3"/>
    <s v="Toronto"/>
    <s v="Enterprise"/>
    <x v="0"/>
    <x v="11"/>
    <x v="5"/>
    <x v="572"/>
    <n v="856.1"/>
    <n v="901.48"/>
    <s v="Valid"/>
    <n v="901.48"/>
    <s v="Medium"/>
    <n v="5.6000000000000001E-2"/>
    <s v="Valid"/>
    <n v="5.6000000000000001E-2"/>
    <n v="17"/>
    <n v="14466.95104"/>
    <n v="14553.7"/>
    <n v="-86.748960000000807"/>
    <n v="-5.9963540182134192E-3"/>
  </r>
  <r>
    <s v="ORD-2023-340056"/>
    <d v="2023-04-26T00:00:00"/>
    <x v="12"/>
    <s v="Q2-2023"/>
    <d v="2023-04-26T00:00:00"/>
    <s v="Valid"/>
    <n v="0"/>
    <d v="2023-04-26T00:00:00"/>
    <x v="3"/>
    <s v="Europe → France → Marseille"/>
    <x v="115"/>
    <x v="7"/>
    <s v="Marseille"/>
    <s v="Consumer"/>
    <x v="4"/>
    <x v="12"/>
    <x v="0"/>
    <x v="573"/>
    <n v="81.489999999999995"/>
    <n v="113.08"/>
    <s v="Valid"/>
    <n v="113.08"/>
    <s v="Low"/>
    <n v="0.121"/>
    <s v="Valid"/>
    <n v="0.121"/>
    <n v="5"/>
    <n v="496.98660000000001"/>
    <n v="407.45"/>
    <n v="89.536600000000021"/>
    <n v="0.18015898215364362"/>
  </r>
  <r>
    <s v="ORD-2025-281413"/>
    <d v="2025-08-03T00:00:00"/>
    <x v="28"/>
    <s v="Q3-2025"/>
    <d v="2025-08-16T00:00:00"/>
    <s v="Valid"/>
    <n v="13"/>
    <d v="2025-08-16T00:00:00"/>
    <x v="2"/>
    <s v="Americas → Canada → Montreal"/>
    <x v="245"/>
    <x v="3"/>
    <s v="Montreal"/>
    <s v="Enterprise"/>
    <x v="3"/>
    <x v="7"/>
    <x v="2"/>
    <x v="574"/>
    <n v="698.66"/>
    <n v="868.62"/>
    <s v="Valid"/>
    <n v="868.62"/>
    <s v="Medium"/>
    <n v="7.1999999999999995E-2"/>
    <s v="Valid"/>
    <n v="7.1999999999999995E-2"/>
    <n v="15"/>
    <n v="12091.190399999999"/>
    <n v="10479.9"/>
    <n v="1611.2903999999999"/>
    <n v="0.13326151906432637"/>
  </r>
  <r>
    <s v="ORD-2023-713614"/>
    <d v="2023-08-02T00:00:00"/>
    <x v="25"/>
    <s v="Q3-2023"/>
    <d v="2023-08-19T00:00:00"/>
    <s v="Valid"/>
    <n v="17"/>
    <d v="2023-08-19T00:00:00"/>
    <x v="2"/>
    <s v="Americas → Canada → Vancouver"/>
    <x v="70"/>
    <x v="3"/>
    <s v="Vancouver"/>
    <s v="Corporate"/>
    <x v="1"/>
    <x v="9"/>
    <x v="2"/>
    <x v="575"/>
    <n v="175.38"/>
    <n v="347.9"/>
    <s v="Valid"/>
    <n v="347.9"/>
    <s v="Low"/>
    <n v="7.1999999999999995E-2"/>
    <s v="Valid"/>
    <n v="7.1999999999999995E-2"/>
    <n v="43"/>
    <n v="13882.6016"/>
    <n v="7541.34"/>
    <n v="6341.2615999999998"/>
    <n v="0.45677761148169804"/>
  </r>
  <r>
    <s v="ORD-2023-173313"/>
    <d v="2023-06-15T00:00:00"/>
    <x v="23"/>
    <s v="Q2-2023"/>
    <d v="2023-07-12T00:00:00"/>
    <s v="Valid"/>
    <n v="27"/>
    <d v="2023-07-12T00:00:00"/>
    <x v="3"/>
    <s v="Europe → United Kingdom → Manchester"/>
    <x v="69"/>
    <x v="8"/>
    <s v="Manchester"/>
    <s v="Consumer"/>
    <x v="4"/>
    <x v="2"/>
    <x v="6"/>
    <x v="576"/>
    <n v="751.28"/>
    <n v="1111.8800000000001"/>
    <s v="Valid"/>
    <n v="1111.8800000000001"/>
    <s v="Medium"/>
    <n v="0.13500000000000001"/>
    <s v="Valid"/>
    <n v="0.13500000000000001"/>
    <n v="7"/>
    <n v="6732.4334000000008"/>
    <n v="5258.96"/>
    <n v="1473.4734000000008"/>
    <n v="0.21886193482433863"/>
  </r>
  <r>
    <s v="ORD-2024-496601"/>
    <d v="2024-11-11T00:00:00"/>
    <x v="18"/>
    <s v="Q4-2024"/>
    <d v="2024-11-24T00:00:00"/>
    <s v="Valid"/>
    <n v="13"/>
    <d v="2024-11-24T00:00:00"/>
    <x v="3"/>
    <s v="Europe → United Kingdom → London"/>
    <x v="215"/>
    <x v="8"/>
    <s v="London"/>
    <s v="Corporate"/>
    <x v="0"/>
    <x v="6"/>
    <x v="2"/>
    <x v="577"/>
    <n v="164.53"/>
    <n v="327.72"/>
    <s v="Valid"/>
    <n v="327.72"/>
    <s v="Low"/>
    <n v="6.7000000000000004E-2"/>
    <s v="Valid"/>
    <n v="6.7000000000000004E-2"/>
    <n v="14"/>
    <n v="4280.6786400000001"/>
    <n v="2303.42"/>
    <n v="1977.25864"/>
    <n v="0.46190307805960412"/>
  </r>
  <r>
    <s v="ORD-2025-155182"/>
    <d v="2025-07-11T00:00:00"/>
    <x v="13"/>
    <s v="Q3-2025"/>
    <d v="2025-08-03T00:00:00"/>
    <s v="Valid"/>
    <n v="23"/>
    <d v="2025-08-03T00:00:00"/>
    <x v="0"/>
    <s v="Africa → Kenya → Nakuru"/>
    <x v="305"/>
    <x v="0"/>
    <s v="Nakuru"/>
    <s v="Small Business"/>
    <x v="0"/>
    <x v="0"/>
    <x v="3"/>
    <x v="578"/>
    <n v="389.93"/>
    <n v="486.13"/>
    <s v="Valid"/>
    <n v="486.13"/>
    <s v="Low"/>
    <n v="0.13200000000000001"/>
    <s v="Valid"/>
    <n v="0.13200000000000001"/>
    <n v="17"/>
    <n v="7173.3342799999991"/>
    <n v="6628.81"/>
    <n v="544.52427999999873"/>
    <n v="7.5909508569562828E-2"/>
  </r>
  <r>
    <s v="ORD-2023-244375"/>
    <d v="2023-06-03T00:00:00"/>
    <x v="23"/>
    <s v="Q2-2023"/>
    <d v="2023-07-01T00:00:00"/>
    <s v="Valid"/>
    <n v="28"/>
    <d v="2023-07-01T00:00:00"/>
    <x v="2"/>
    <s v="Americas → Brazil → Brasília"/>
    <x v="81"/>
    <x v="5"/>
    <s v="Brasília"/>
    <s v="Small Business"/>
    <x v="2"/>
    <x v="8"/>
    <x v="0"/>
    <x v="579"/>
    <n v="860.4"/>
    <n v="2066.6"/>
    <s v="Valid"/>
    <n v="2066.6"/>
    <s v="High"/>
    <n v="0.01"/>
    <s v="Valid"/>
    <n v="0.01"/>
    <n v="3"/>
    <n v="6137.8019999999988"/>
    <n v="2581.1999999999998"/>
    <n v="3556.601999999999"/>
    <n v="0.57945857491004105"/>
  </r>
  <r>
    <s v="ORD-2023-856322"/>
    <d v="2023-01-29T00:00:00"/>
    <x v="5"/>
    <s v="Q1-2023"/>
    <d v="2023-02-06T00:00:00"/>
    <s v="Valid"/>
    <n v="8"/>
    <d v="2023-02-06T00:00:00"/>
    <x v="2"/>
    <s v="Americas → Brazil → Brasília"/>
    <x v="306"/>
    <x v="5"/>
    <s v="Brasília"/>
    <s v="Corporate"/>
    <x v="2"/>
    <x v="14"/>
    <x v="5"/>
    <x v="580"/>
    <n v="41.84"/>
    <n v="86.2"/>
    <s v="Valid"/>
    <n v="86.2"/>
    <s v="Low"/>
    <n v="0.22600000000000001"/>
    <s v="Valid"/>
    <n v="0.22600000000000001"/>
    <n v="27"/>
    <n v="1801.4076000000002"/>
    <n v="1129.68"/>
    <n v="671.72760000000017"/>
    <n v="0.37289039970742882"/>
  </r>
  <r>
    <s v="ORD-2024-594527"/>
    <d v="2024-09-06T00:00:00"/>
    <x v="29"/>
    <s v="Q3-2024"/>
    <d v="2024-09-04T00:00:00"/>
    <s v="Invalid RequiredDate"/>
    <n v="-2"/>
    <d v="2024-10-02T00:00:00"/>
    <x v="1"/>
    <s v="Asia → Japan → Osaka"/>
    <x v="177"/>
    <x v="2"/>
    <s v="Osaka"/>
    <s v="Corporate"/>
    <x v="4"/>
    <x v="8"/>
    <x v="4"/>
    <x v="581"/>
    <n v="1368.17"/>
    <n v="2307.75"/>
    <s v="Valid"/>
    <n v="2307.75"/>
    <s v="High"/>
    <n v="0.16300000000000001"/>
    <s v="Valid"/>
    <n v="0.16300000000000001"/>
    <n v="21"/>
    <n v="40563.321749999996"/>
    <n v="28731.57"/>
    <n v="11831.751749999996"/>
    <n v="0.29168596750831921"/>
  </r>
  <r>
    <s v="ORD-2024-689872"/>
    <d v="2024-08-03T00:00:00"/>
    <x v="21"/>
    <s v="Q3-2024"/>
    <d v="2024-08-09T00:00:00"/>
    <s v="Valid"/>
    <n v="6"/>
    <d v="2024-08-09T00:00:00"/>
    <x v="0"/>
    <s v="Africa → Kenya → Mombasa"/>
    <x v="307"/>
    <x v="0"/>
    <s v="Mombasa"/>
    <s v="Consumer"/>
    <x v="2"/>
    <x v="10"/>
    <x v="4"/>
    <x v="582"/>
    <n v="643.21"/>
    <n v="1112.81"/>
    <s v="Valid"/>
    <n v="1112.81"/>
    <s v="Medium"/>
    <n v="0.14099999999999999"/>
    <s v="Valid"/>
    <n v="0.14099999999999999"/>
    <n v="4"/>
    <n v="3823.6151599999998"/>
    <n v="2572.84"/>
    <n v="1250.7751599999997"/>
    <n v="0.32711847496702562"/>
  </r>
  <r>
    <s v="ORD-2025-246692"/>
    <d v="2025-04-17T00:00:00"/>
    <x v="19"/>
    <s v="Q2-2025"/>
    <d v="2025-04-17T00:00:00"/>
    <s v="Valid"/>
    <n v="0"/>
    <d v="2025-04-17T00:00:00"/>
    <x v="2"/>
    <s v="Americas → Brazil → São Paulo"/>
    <x v="51"/>
    <x v="5"/>
    <s v="São Paulo"/>
    <s v="Corporate"/>
    <x v="3"/>
    <x v="4"/>
    <x v="3"/>
    <x v="583"/>
    <n v="719.41"/>
    <n v="1125.99"/>
    <s v="Valid"/>
    <n v="1125.99"/>
    <s v="Medium"/>
    <n v="4.1000000000000002E-2"/>
    <s v="Valid"/>
    <n v="4.1000000000000002E-2"/>
    <n v="21"/>
    <n v="22676.312610000001"/>
    <n v="15107.609999999999"/>
    <n v="7568.7026100000021"/>
    <n v="0.33377131194876403"/>
  </r>
  <r>
    <s v="ORD-2023-378676"/>
    <d v="2023-05-03T00:00:00"/>
    <x v="15"/>
    <s v="Q2-2023"/>
    <d v="2023-05-16T00:00:00"/>
    <s v="Valid"/>
    <n v="13"/>
    <d v="2023-05-16T00:00:00"/>
    <x v="2"/>
    <s v="Americas → USA → New York"/>
    <x v="156"/>
    <x v="10"/>
    <s v="New York"/>
    <s v="Corporate"/>
    <x v="2"/>
    <x v="4"/>
    <x v="3"/>
    <x v="584"/>
    <n v="64.5"/>
    <n v="123.62"/>
    <s v="Valid"/>
    <n v="123.62"/>
    <s v="Low"/>
    <n v="0"/>
    <s v="Valid"/>
    <n v="0"/>
    <n v="3"/>
    <n v="370.86"/>
    <n v="193.5"/>
    <n v="177.36"/>
    <n v="0.47823976702798904"/>
  </r>
  <r>
    <s v="ORD-2024-243988"/>
    <d v="2024-03-13T00:00:00"/>
    <x v="0"/>
    <s v="Q1-2024"/>
    <d v="2024-04-06T00:00:00"/>
    <s v="Valid"/>
    <n v="24"/>
    <d v="2024-04-06T00:00:00"/>
    <x v="0"/>
    <s v="Africa → Nigeria → Abuja"/>
    <x v="185"/>
    <x v="1"/>
    <s v="Abuja"/>
    <s v="Consumer"/>
    <x v="3"/>
    <x v="4"/>
    <x v="0"/>
    <x v="585"/>
    <n v="1232.78"/>
    <n v="1731.75"/>
    <s v="Valid"/>
    <n v="1731.75"/>
    <s v="Medium"/>
    <n v="9.2999999999999999E-2"/>
    <s v="Valid"/>
    <n v="9.2999999999999999E-2"/>
    <n v="16"/>
    <n v="25131.155999999999"/>
    <n v="19724.48"/>
    <n v="5406.6759999999995"/>
    <n v="0.21513837246484005"/>
  </r>
  <r>
    <s v="ORD-2024-572312"/>
    <d v="2024-06-16T00:00:00"/>
    <x v="17"/>
    <s v="Q2-2024"/>
    <d v="2024-06-21T00:00:00"/>
    <s v="Valid"/>
    <n v="5"/>
    <d v="2024-06-21T00:00:00"/>
    <x v="1"/>
    <s v="Asia → Japan → Tokyo"/>
    <x v="308"/>
    <x v="2"/>
    <s v="Tokyo"/>
    <s v="Small Business"/>
    <x v="3"/>
    <x v="9"/>
    <x v="3"/>
    <x v="586"/>
    <n v="1367.13"/>
    <n v="3062.01"/>
    <s v="Valid"/>
    <n v="3062.01"/>
    <s v="High"/>
    <n v="0.10299999999999999"/>
    <s v="Valid"/>
    <n v="0.10299999999999999"/>
    <n v="25"/>
    <n v="68665.574250000005"/>
    <n v="34178.25"/>
    <n v="34487.324250000005"/>
    <n v="0.50225057645971705"/>
  </r>
  <r>
    <s v="ORD-2025-281062"/>
    <d v="2025-02-15T00:00:00"/>
    <x v="26"/>
    <s v="Q1-2025"/>
    <d v="2025-02-27T00:00:00"/>
    <s v="Valid"/>
    <n v="12"/>
    <d v="2025-02-27T00:00:00"/>
    <x v="3"/>
    <s v="Europe → France → Lyon"/>
    <x v="309"/>
    <x v="7"/>
    <s v="Lyon"/>
    <s v="Non-Profit"/>
    <x v="4"/>
    <x v="11"/>
    <x v="6"/>
    <x v="587"/>
    <n v="1027.26"/>
    <n v="2200.41"/>
    <s v="Valid"/>
    <n v="2200.41"/>
    <s v="High"/>
    <n v="8.7999999999999995E-2"/>
    <s v="Valid"/>
    <n v="8.7999999999999995E-2"/>
    <n v="6"/>
    <n v="12040.64352"/>
    <n v="6163.5599999999995"/>
    <n v="5877.0835200000001"/>
    <n v="0.48810377204822358"/>
  </r>
  <r>
    <s v="ORD-2023-727290"/>
    <d v="2023-04-03T00:00:00"/>
    <x v="12"/>
    <s v="Q2-2023"/>
    <d v="2023-04-16T00:00:00"/>
    <s v="Valid"/>
    <n v="13"/>
    <d v="2023-04-16T00:00:00"/>
    <x v="3"/>
    <s v="Europe → France → Marseille"/>
    <x v="115"/>
    <x v="7"/>
    <s v="Marseille"/>
    <s v="Non-Profit"/>
    <x v="2"/>
    <x v="12"/>
    <x v="6"/>
    <x v="588"/>
    <n v="790.54"/>
    <n v="601.49"/>
    <s v="Valid"/>
    <n v="601.49"/>
    <s v="Low"/>
    <n v="0"/>
    <s v="Valid"/>
    <n v="0"/>
    <n v="15"/>
    <n v="9022.35"/>
    <n v="11858.099999999999"/>
    <n v="-2835.7499999999982"/>
    <n v="-0.31430281467688553"/>
  </r>
  <r>
    <s v="ORD-2025-993993"/>
    <d v="2025-08-30T00:00:00"/>
    <x v="28"/>
    <s v="Q3-2025"/>
    <d v="2025-09-22T00:00:00"/>
    <s v="Valid"/>
    <n v="23"/>
    <d v="2025-09-22T00:00:00"/>
    <x v="3"/>
    <s v="Europe → France → Marseille"/>
    <x v="282"/>
    <x v="7"/>
    <s v="Marseille"/>
    <s v="Corporate"/>
    <x v="4"/>
    <x v="6"/>
    <x v="0"/>
    <x v="589"/>
    <n v="663.9"/>
    <n v="947.77"/>
    <s v="Valid"/>
    <n v="947.77"/>
    <s v="Medium"/>
    <n v="0.17399999999999999"/>
    <s v="Valid"/>
    <n v="0.17399999999999999"/>
    <n v="15"/>
    <n v="11742.8703"/>
    <n v="9958.5"/>
    <n v="1784.3703000000005"/>
    <n v="0.1519535049280073"/>
  </r>
  <r>
    <s v="ORD-2023-619493"/>
    <d v="2023-02-27T00:00:00"/>
    <x v="2"/>
    <s v="Q1-2023"/>
    <d v="2023-02-26T00:00:00"/>
    <s v="Invalid RequiredDate"/>
    <n v="-1"/>
    <d v="2023-03-25T00:00:00"/>
    <x v="2"/>
    <s v="Americas → USA → San Francisco"/>
    <x v="143"/>
    <x v="10"/>
    <s v="San Francisco"/>
    <s v="Non-Profit"/>
    <x v="1"/>
    <x v="4"/>
    <x v="2"/>
    <x v="590"/>
    <n v="1015.91"/>
    <n v="2331.48"/>
    <s v="Valid"/>
    <n v="2331.48"/>
    <s v="High"/>
    <n v="0.14599999999999999"/>
    <s v="Valid"/>
    <n v="0.14599999999999999"/>
    <n v="26"/>
    <n v="51768.181920000003"/>
    <n v="26413.66"/>
    <n v="25354.521920000003"/>
    <n v="0.48977037592669626"/>
  </r>
  <r>
    <s v="ORD-2024-947056"/>
    <d v="2024-07-31T00:00:00"/>
    <x v="14"/>
    <s v="Q3-2024"/>
    <d v="2024-08-15T00:00:00"/>
    <s v="Valid"/>
    <n v="15"/>
    <d v="2024-08-15T00:00:00"/>
    <x v="1"/>
    <s v="Asia → Japan → Tokyo"/>
    <x v="141"/>
    <x v="2"/>
    <s v="Tokyo"/>
    <s v="Corporate"/>
    <x v="2"/>
    <x v="9"/>
    <x v="5"/>
    <x v="591"/>
    <n v="1252.52"/>
    <n v="1417.24"/>
    <s v="Valid"/>
    <n v="1417.24"/>
    <s v="Medium"/>
    <n v="0.192"/>
    <s v="Valid"/>
    <n v="0.192"/>
    <n v="5"/>
    <n v="5725.6496000000006"/>
    <n v="6262.6"/>
    <n v="-536.95039999999972"/>
    <n v="-9.3779821943696953E-2"/>
  </r>
  <r>
    <s v="ORD-2025-856556"/>
    <d v="2025-06-15T00:00:00"/>
    <x v="16"/>
    <s v="Q2-2025"/>
    <d v="2025-07-12T00:00:00"/>
    <s v="Valid"/>
    <n v="27"/>
    <d v="2025-07-12T00:00:00"/>
    <x v="3"/>
    <s v="Europe → France → Marseille"/>
    <x v="54"/>
    <x v="7"/>
    <s v="Marseille"/>
    <s v="Consumer"/>
    <x v="4"/>
    <x v="0"/>
    <x v="6"/>
    <x v="592"/>
    <n v="318.83"/>
    <n v="699.5"/>
    <s v="Valid"/>
    <n v="699.5"/>
    <s v="Medium"/>
    <n v="0.08"/>
    <s v="Valid"/>
    <n v="0.08"/>
    <n v="13"/>
    <n v="8366.02"/>
    <n v="4144.79"/>
    <n v="4221.2300000000005"/>
    <n v="0.50456848059172699"/>
  </r>
  <r>
    <s v="ORD-2024-442776"/>
    <d v="2024-06-30T00:00:00"/>
    <x v="17"/>
    <s v="Q2-2024"/>
    <d v="2024-07-21T00:00:00"/>
    <s v="Valid"/>
    <n v="21"/>
    <d v="2024-07-21T00:00:00"/>
    <x v="0"/>
    <s v="Africa → Kenya → Kisumu"/>
    <x v="95"/>
    <x v="0"/>
    <s v="Kisumu"/>
    <s v="Small Business"/>
    <x v="0"/>
    <x v="11"/>
    <x v="4"/>
    <x v="593"/>
    <n v="753.43"/>
    <n v="1787.2"/>
    <s v="Valid"/>
    <n v="1787.2"/>
    <s v="Medium"/>
    <n v="7.2999999999999995E-2"/>
    <s v="Valid"/>
    <n v="7.2999999999999995E-2"/>
    <n v="9"/>
    <n v="14910.609600000002"/>
    <n v="6780.87"/>
    <n v="8129.7396000000017"/>
    <n v="0.54523187301476939"/>
  </r>
  <r>
    <s v="ORD-2025-705398"/>
    <d v="2025-02-17T00:00:00"/>
    <x v="26"/>
    <s v="Q1-2025"/>
    <d v="2025-02-15T00:00:00"/>
    <s v="Invalid RequiredDate"/>
    <n v="-2"/>
    <d v="2025-03-15T00:00:00"/>
    <x v="2"/>
    <s v="Americas → Canada → Toronto"/>
    <x v="310"/>
    <x v="3"/>
    <s v="Toronto"/>
    <s v="Small Business"/>
    <x v="0"/>
    <x v="14"/>
    <x v="0"/>
    <x v="594"/>
    <n v="1133.47"/>
    <n v="1698.75"/>
    <s v="Valid"/>
    <n v="1698.75"/>
    <s v="Medium"/>
    <n v="4.2999999999999997E-2"/>
    <s v="Valid"/>
    <n v="4.2999999999999997E-2"/>
    <n v="5"/>
    <n v="8128.5187499999993"/>
    <n v="5667.35"/>
    <n v="2461.1687499999989"/>
    <n v="0.30278194904821976"/>
  </r>
  <r>
    <s v="ORD-2023-689428"/>
    <d v="2023-01-07T00:00:00"/>
    <x v="5"/>
    <s v="Q1-2023"/>
    <d v="2023-01-30T00:00:00"/>
    <s v="Valid"/>
    <n v="23"/>
    <d v="2023-01-30T00:00:00"/>
    <x v="0"/>
    <s v="Africa → South Africa → Cape Town"/>
    <x v="311"/>
    <x v="11"/>
    <s v="Cape Town"/>
    <s v="Consumer"/>
    <x v="1"/>
    <x v="8"/>
    <x v="1"/>
    <x v="595"/>
    <n v="299.02"/>
    <n v="724.7"/>
    <s v="Valid"/>
    <n v="724.7"/>
    <s v="Medium"/>
    <n v="0.14000000000000001"/>
    <s v="Valid"/>
    <n v="0.14000000000000001"/>
    <n v="5"/>
    <n v="3116.21"/>
    <n v="1495.1"/>
    <n v="1621.1100000000001"/>
    <n v="0.52021847051386139"/>
  </r>
  <r>
    <s v="ORD-2025-683247"/>
    <d v="2025-03-10T00:00:00"/>
    <x v="3"/>
    <s v="Q1-2025"/>
    <d v="2025-04-04T00:00:00"/>
    <s v="Valid"/>
    <n v="25"/>
    <d v="2025-04-04T00:00:00"/>
    <x v="1"/>
    <s v="Asia → Japan → Osaka"/>
    <x v="204"/>
    <x v="2"/>
    <s v="Osaka"/>
    <s v="Corporate"/>
    <x v="4"/>
    <x v="10"/>
    <x v="1"/>
    <x v="596"/>
    <n v="783.72"/>
    <n v="1355.94"/>
    <s v="Valid"/>
    <n v="1355.94"/>
    <s v="Medium"/>
    <n v="0.187"/>
    <s v="Valid"/>
    <n v="0.187"/>
    <n v="4"/>
    <n v="4409.5168800000001"/>
    <n v="3134.88"/>
    <n v="1274.63688"/>
    <n v="0.28906497348525856"/>
  </r>
  <r>
    <s v="ORD-2024-585443"/>
    <d v="2024-08-17T00:00:00"/>
    <x v="21"/>
    <s v="Q3-2024"/>
    <d v="2024-08-15T00:00:00"/>
    <s v="Invalid RequiredDate"/>
    <n v="-2"/>
    <d v="2024-09-12T00:00:00"/>
    <x v="2"/>
    <s v="Americas → Brazil → Rio de Janeiro"/>
    <x v="68"/>
    <x v="5"/>
    <s v="Rio de Janeiro"/>
    <s v="Consumer"/>
    <x v="4"/>
    <x v="12"/>
    <x v="5"/>
    <x v="597"/>
    <n v="165.3"/>
    <n v="275.07"/>
    <s v="Valid"/>
    <n v="275.07"/>
    <s v="Low"/>
    <n v="0.13300000000000001"/>
    <s v="Valid"/>
    <n v="0.13300000000000001"/>
    <n v="25"/>
    <n v="5962.1422499999999"/>
    <n v="4132.5"/>
    <n v="1829.6422499999999"/>
    <n v="0.30687665159280625"/>
  </r>
  <r>
    <s v="ORD-2024-907733"/>
    <d v="2024-03-09T00:00:00"/>
    <x v="0"/>
    <s v="Q1-2024"/>
    <d v="2024-03-22T00:00:00"/>
    <s v="Valid"/>
    <n v="13"/>
    <d v="2024-03-22T00:00:00"/>
    <x v="3"/>
    <s v="Europe → United Kingdom → Manchester"/>
    <x v="312"/>
    <x v="8"/>
    <s v="Manchester"/>
    <s v="Consumer"/>
    <x v="1"/>
    <x v="6"/>
    <x v="4"/>
    <x v="598"/>
    <n v="985.45"/>
    <n v="1802.44"/>
    <s v="Valid"/>
    <n v="1802.44"/>
    <s v="Medium"/>
    <n v="8.9999999999999993E-3"/>
    <s v="Valid"/>
    <n v="8.9999999999999993E-3"/>
    <n v="19"/>
    <n v="33938.142760000002"/>
    <n v="18723.55"/>
    <n v="15214.592760000003"/>
    <n v="0.44830363486867486"/>
  </r>
  <r>
    <s v="ORD-2024-550400"/>
    <d v="2024-08-19T00:00:00"/>
    <x v="21"/>
    <s v="Q3-2024"/>
    <d v="2024-09-02T00:00:00"/>
    <s v="Valid"/>
    <n v="14"/>
    <d v="2024-09-02T00:00:00"/>
    <x v="2"/>
    <s v="Americas → Canada → Toronto"/>
    <x v="313"/>
    <x v="3"/>
    <s v="Toronto"/>
    <s v="Consumer"/>
    <x v="3"/>
    <x v="0"/>
    <x v="1"/>
    <x v="599"/>
    <n v="1337.01"/>
    <n v="1269.78"/>
    <s v="Valid"/>
    <n v="1269.78"/>
    <s v="Medium"/>
    <n v="0.16"/>
    <s v="Valid"/>
    <n v="0.16"/>
    <n v="7"/>
    <n v="7466.3063999999986"/>
    <n v="9359.07"/>
    <n v="-1892.7636000000011"/>
    <n v="-0.25350735672996244"/>
  </r>
  <r>
    <s v="ORD-2025-189846"/>
    <d v="2025-08-11T00:00:00"/>
    <x v="28"/>
    <s v="Q3-2025"/>
    <d v="2025-08-28T00:00:00"/>
    <s v="Valid"/>
    <n v="17"/>
    <d v="2025-08-28T00:00:00"/>
    <x v="3"/>
    <s v="Europe → France → Paris"/>
    <x v="282"/>
    <x v="7"/>
    <s v="Paris"/>
    <s v="Education"/>
    <x v="1"/>
    <x v="9"/>
    <x v="2"/>
    <x v="600"/>
    <n v="416.16"/>
    <n v="571.9"/>
    <s v="Valid"/>
    <n v="571.9"/>
    <s v="Low"/>
    <n v="7.0999999999999994E-2"/>
    <s v="Valid"/>
    <n v="7.0999999999999994E-2"/>
    <n v="2"/>
    <n v="1062.5902000000001"/>
    <n v="832.32"/>
    <n v="230.27020000000005"/>
    <n v="0.21670649701079497"/>
  </r>
  <r>
    <s v="ORD-2025-752192"/>
    <d v="2025-05-16T00:00:00"/>
    <x v="8"/>
    <s v="Q2-2025"/>
    <d v="2025-05-18T00:00:00"/>
    <s v="Valid"/>
    <n v="2"/>
    <d v="2025-05-18T00:00:00"/>
    <x v="1"/>
    <s v="Asia → Japan → Tokyo"/>
    <x v="252"/>
    <x v="2"/>
    <s v="Tokyo"/>
    <s v="Enterprise"/>
    <x v="0"/>
    <x v="1"/>
    <x v="1"/>
    <x v="601"/>
    <n v="1144.3800000000001"/>
    <n v="2755.04"/>
    <s v="Valid"/>
    <n v="2755.04"/>
    <s v="High"/>
    <n v="0.15"/>
    <s v="Valid"/>
    <n v="0.15"/>
    <n v="17"/>
    <n v="39810.328000000001"/>
    <n v="19454.460000000003"/>
    <n v="20355.867999999999"/>
    <n v="0.51132128326096682"/>
  </r>
  <r>
    <s v="ORD-2023-294716"/>
    <d v="2023-04-10T00:00:00"/>
    <x v="12"/>
    <s v="Q2-2023"/>
    <d v="2023-04-25T00:00:00"/>
    <s v="Valid"/>
    <n v="15"/>
    <d v="2023-04-25T00:00:00"/>
    <x v="3"/>
    <s v="Europe → United Kingdom → London"/>
    <x v="83"/>
    <x v="8"/>
    <s v="London"/>
    <s v="Small Business"/>
    <x v="0"/>
    <x v="14"/>
    <x v="1"/>
    <x v="602"/>
    <n v="405.66"/>
    <n v="962.51"/>
    <s v="Valid"/>
    <n v="962.51"/>
    <s v="Medium"/>
    <n v="0.19"/>
    <s v="Valid"/>
    <n v="0.19"/>
    <n v="7"/>
    <n v="5457.4317000000001"/>
    <n v="2839.6200000000003"/>
    <n v="2617.8116999999997"/>
    <n v="0.47967832561239376"/>
  </r>
  <r>
    <s v="ORD-2023-552115"/>
    <d v="2023-09-17T00:00:00"/>
    <x v="27"/>
    <s v="Q3-2023"/>
    <d v="2023-10-02T00:00:00"/>
    <s v="Valid"/>
    <n v="15"/>
    <d v="2023-10-02T00:00:00"/>
    <x v="2"/>
    <s v="Americas → Brazil → Rio de Janeiro"/>
    <x v="314"/>
    <x v="5"/>
    <s v="Rio de Janeiro"/>
    <s v="Small Business"/>
    <x v="0"/>
    <x v="5"/>
    <x v="4"/>
    <x v="603"/>
    <n v="689.33"/>
    <n v="668.27"/>
    <s v="Valid"/>
    <n v="668.27"/>
    <s v="Medium"/>
    <n v="0.186"/>
    <s v="Valid"/>
    <n v="0.186"/>
    <n v="13"/>
    <n v="7071.6331400000008"/>
    <n v="8961.2900000000009"/>
    <n v="-1889.6568600000001"/>
    <n v="-0.26721647214861033"/>
  </r>
  <r>
    <s v="ORD-2023-107265"/>
    <d v="2023-04-22T00:00:00"/>
    <x v="12"/>
    <s v="Q2-2023"/>
    <d v="2023-05-14T00:00:00"/>
    <s v="Valid"/>
    <n v="22"/>
    <d v="2023-05-14T00:00:00"/>
    <x v="1"/>
    <s v="Asia → Japan → Nagoya"/>
    <x v="270"/>
    <x v="2"/>
    <s v="Nagoya"/>
    <s v="Enterprise"/>
    <x v="0"/>
    <x v="8"/>
    <x v="6"/>
    <x v="604"/>
    <n v="1209.22"/>
    <n v="1404.33"/>
    <s v="Valid"/>
    <n v="1404.33"/>
    <s v="Medium"/>
    <n v="0.10299999999999999"/>
    <s v="Valid"/>
    <n v="0.10299999999999999"/>
    <n v="11"/>
    <n v="13856.52411"/>
    <n v="13301.42"/>
    <n v="555.10411000000022"/>
    <n v="4.0060848275751328E-2"/>
  </r>
  <r>
    <s v="ORD-2025-262434"/>
    <d v="2025-06-19T00:00:00"/>
    <x v="16"/>
    <s v="Q2-2025"/>
    <d v="2025-06-21T00:00:00"/>
    <s v="Valid"/>
    <n v="2"/>
    <d v="2025-06-21T00:00:00"/>
    <x v="0"/>
    <s v="Africa → South Africa → Johannesburg"/>
    <x v="198"/>
    <x v="11"/>
    <s v="Johannesburg"/>
    <s v="Small Business"/>
    <x v="5"/>
    <x v="10"/>
    <x v="3"/>
    <x v="605"/>
    <n v="1466.27"/>
    <n v="3589.89"/>
    <s v="Valid"/>
    <n v="3589.89"/>
    <s v="High"/>
    <n v="9.7000000000000003E-2"/>
    <s v="Valid"/>
    <n v="9.7000000000000003E-2"/>
    <n v="9"/>
    <n v="29175.036029999999"/>
    <n v="13196.43"/>
    <n v="15978.606029999999"/>
    <n v="0.54768076425234147"/>
  </r>
  <r>
    <s v="ORD-2024-266562"/>
    <d v="2024-11-27T00:00:00"/>
    <x v="18"/>
    <s v="Q4-2024"/>
    <d v="2024-12-24T00:00:00"/>
    <s v="Valid"/>
    <n v="27"/>
    <d v="2024-12-24T00:00:00"/>
    <x v="0"/>
    <s v="Africa → Kenya → Mombasa"/>
    <x v="188"/>
    <x v="0"/>
    <s v="Mombasa"/>
    <s v="Corporate"/>
    <x v="3"/>
    <x v="5"/>
    <x v="1"/>
    <x v="606"/>
    <n v="143.33000000000001"/>
    <n v="233.51"/>
    <s v="Valid"/>
    <n v="233.51"/>
    <s v="Low"/>
    <n v="0.16300000000000001"/>
    <s v="Valid"/>
    <n v="0.16300000000000001"/>
    <n v="14"/>
    <n v="2736.27018"/>
    <n v="2006.6200000000001"/>
    <n v="729.65017999999986"/>
    <n v="0.26665867476580835"/>
  </r>
  <r>
    <s v="ORD-2024-838925"/>
    <d v="2024-01-28T00:00:00"/>
    <x v="9"/>
    <s v="Q1-2024"/>
    <d v="2024-01-27T00:00:00"/>
    <s v="Invalid RequiredDate"/>
    <n v="-1"/>
    <d v="2024-02-23T00:00:00"/>
    <x v="0"/>
    <s v="Africa → South Africa → Cape Town"/>
    <x v="38"/>
    <x v="11"/>
    <s v="Cape Town"/>
    <s v="Enterprise"/>
    <x v="4"/>
    <x v="7"/>
    <x v="0"/>
    <x v="607"/>
    <n v="109.75"/>
    <n v="124.25"/>
    <s v="Valid"/>
    <n v="124.25"/>
    <s v="Low"/>
    <n v="0.12"/>
    <s v="Valid"/>
    <n v="0.12"/>
    <n v="19"/>
    <n v="2077.46"/>
    <n v="2085.25"/>
    <n v="-7.7899999999999636"/>
    <n v="-3.7497713554051405E-3"/>
  </r>
  <r>
    <s v="ORD-2023-664790"/>
    <d v="2023-04-16T00:00:00"/>
    <x v="12"/>
    <s v="Q2-2023"/>
    <d v="2023-04-23T00:00:00"/>
    <s v="Valid"/>
    <n v="7"/>
    <d v="2023-04-23T00:00:00"/>
    <x v="2"/>
    <s v="Americas → USA → Austin"/>
    <x v="230"/>
    <x v="10"/>
    <s v="Austin"/>
    <s v="Corporate"/>
    <x v="3"/>
    <x v="7"/>
    <x v="1"/>
    <x v="608"/>
    <n v="1099.1500000000001"/>
    <n v="1431.37"/>
    <s v="Valid"/>
    <n v="1431.37"/>
    <s v="Medium"/>
    <n v="0.104"/>
    <s v="Valid"/>
    <n v="0.104"/>
    <n v="8"/>
    <n v="10260.060159999999"/>
    <n v="8793.2000000000007"/>
    <n v="1466.8601599999984"/>
    <n v="0.14296798821109433"/>
  </r>
  <r>
    <s v="ORD-2024-331408"/>
    <d v="2024-02-01T00:00:00"/>
    <x v="31"/>
    <s v="Q1-2024"/>
    <d v="2024-02-01T00:00:00"/>
    <s v="Valid"/>
    <n v="0"/>
    <d v="2024-02-01T00:00:00"/>
    <x v="2"/>
    <s v="Americas → USA → Austin"/>
    <x v="301"/>
    <x v="10"/>
    <s v="Austin"/>
    <s v="Consumer"/>
    <x v="3"/>
    <x v="10"/>
    <x v="1"/>
    <x v="609"/>
    <n v="714.43"/>
    <n v="1595.52"/>
    <s v="Valid"/>
    <n v="1595.52"/>
    <s v="Medium"/>
    <n v="0.19400000000000001"/>
    <s v="Valid"/>
    <n v="0.19400000000000001"/>
    <n v="14"/>
    <n v="18003.847679999999"/>
    <n v="10002.019999999999"/>
    <n v="8001.8276800000003"/>
    <n v="0.44445097638151093"/>
  </r>
  <r>
    <s v="ORD-2024-741404"/>
    <d v="2024-10-19T00:00:00"/>
    <x v="1"/>
    <s v="Q4-2024"/>
    <d v="2024-11-06T00:00:00"/>
    <s v="Valid"/>
    <n v="18"/>
    <d v="2024-11-06T00:00:00"/>
    <x v="2"/>
    <s v="Americas → USA → Chicago"/>
    <x v="300"/>
    <x v="10"/>
    <s v="Chicago"/>
    <s v="Education"/>
    <x v="5"/>
    <x v="0"/>
    <x v="5"/>
    <x v="610"/>
    <n v="942.02"/>
    <n v="1028.46"/>
    <s v="Valid"/>
    <n v="1028.46"/>
    <s v="Medium"/>
    <n v="0"/>
    <s v="Valid"/>
    <n v="0"/>
    <n v="9"/>
    <n v="9256.14"/>
    <n v="8478.18"/>
    <n v="777.95999999999913"/>
    <n v="8.4047994088248354E-2"/>
  </r>
  <r>
    <s v="ORD-2024-341535"/>
    <d v="2024-06-25T00:00:00"/>
    <x v="17"/>
    <s v="Q2-2024"/>
    <d v="2024-06-30T00:00:00"/>
    <s v="Valid"/>
    <n v="5"/>
    <d v="2024-06-30T00:00:00"/>
    <x v="0"/>
    <s v="Africa → Kenya → Kisumu"/>
    <x v="95"/>
    <x v="0"/>
    <s v="Kisumu"/>
    <s v="Education"/>
    <x v="4"/>
    <x v="12"/>
    <x v="2"/>
    <x v="611"/>
    <n v="1323.55"/>
    <n v="3230.35"/>
    <s v="Valid"/>
    <n v="3230.35"/>
    <s v="High"/>
    <n v="2.1999999999999999E-2"/>
    <s v="Valid"/>
    <n v="2.1999999999999999E-2"/>
    <n v="26"/>
    <n v="82141.339799999987"/>
    <n v="34412.299999999996"/>
    <n v="47729.039799999991"/>
    <n v="0.58105991351263542"/>
  </r>
  <r>
    <s v="ORD-2023-451931"/>
    <d v="2023-07-30T00:00:00"/>
    <x v="24"/>
    <s v="Q3-2023"/>
    <d v="2023-08-19T00:00:00"/>
    <s v="Valid"/>
    <n v="20"/>
    <d v="2023-08-19T00:00:00"/>
    <x v="3"/>
    <s v="Europe → France → Paris"/>
    <x v="45"/>
    <x v="7"/>
    <s v="Paris"/>
    <s v="Enterprise"/>
    <x v="2"/>
    <x v="3"/>
    <x v="2"/>
    <x v="612"/>
    <n v="1418.51"/>
    <n v="2789.61"/>
    <s v="Valid"/>
    <n v="2789.61"/>
    <s v="High"/>
    <n v="0.17100000000000001"/>
    <s v="Valid"/>
    <n v="0.17100000000000001"/>
    <n v="8"/>
    <n v="18500.693520000001"/>
    <n v="11348.08"/>
    <n v="7152.6135200000008"/>
    <n v="0.38661326464695689"/>
  </r>
  <r>
    <s v="ORD-2025-532859"/>
    <d v="2025-03-11T00:00:00"/>
    <x v="3"/>
    <s v="Q1-2025"/>
    <d v="2025-03-27T00:00:00"/>
    <s v="Valid"/>
    <n v="16"/>
    <d v="2025-03-27T00:00:00"/>
    <x v="1"/>
    <s v="Asia → Japan → Tokyo"/>
    <x v="204"/>
    <x v="2"/>
    <s v="Tokyo"/>
    <s v="Enterprise"/>
    <x v="3"/>
    <x v="5"/>
    <x v="1"/>
    <x v="613"/>
    <n v="1317.58"/>
    <n v="1897.74"/>
    <s v="Valid"/>
    <n v="1897.74"/>
    <s v="Medium"/>
    <n v="8.1000000000000003E-2"/>
    <s v="Valid"/>
    <n v="8.1000000000000003E-2"/>
    <n v="6"/>
    <n v="10464.138360000001"/>
    <n v="7905.48"/>
    <n v="2558.6583600000013"/>
    <n v="0.24451687009230266"/>
  </r>
  <r>
    <s v="ORD-2023-502205"/>
    <d v="2023-10-09T00:00:00"/>
    <x v="32"/>
    <s v="Q4-2023"/>
    <d v="2023-10-11T00:00:00"/>
    <s v="Valid"/>
    <n v="2"/>
    <d v="2023-10-11T00:00:00"/>
    <x v="0"/>
    <s v="Africa → Nigeria → Port Harcourt"/>
    <x v="315"/>
    <x v="1"/>
    <s v="Port Harcourt"/>
    <s v="Education"/>
    <x v="2"/>
    <x v="11"/>
    <x v="2"/>
    <x v="614"/>
    <n v="391.16"/>
    <n v="902.47"/>
    <s v="Valid"/>
    <n v="902.47"/>
    <s v="Medium"/>
    <n v="4.0000000000000001E-3"/>
    <s v="Valid"/>
    <n v="4.0000000000000001E-3"/>
    <n v="12"/>
    <n v="10786.32144"/>
    <n v="4693.92"/>
    <n v="6092.4014399999996"/>
    <n v="0.56482661618139207"/>
  </r>
  <r>
    <s v="ORD-2024-930679"/>
    <d v="2024-12-17T00:00:00"/>
    <x v="6"/>
    <s v="Q4-2024"/>
    <d v="2025-01-16T00:00:00"/>
    <s v="Valid"/>
    <n v="30"/>
    <d v="2025-01-16T00:00:00"/>
    <x v="3"/>
    <s v="Europe → United Kingdom → Manchester"/>
    <x v="213"/>
    <x v="8"/>
    <s v="Manchester"/>
    <s v="Corporate"/>
    <x v="0"/>
    <x v="14"/>
    <x v="5"/>
    <x v="615"/>
    <n v="722.87"/>
    <n v="-33.659999999999997"/>
    <s v="Invalid Price"/>
    <n v="1202.1397872340422"/>
    <s v="Medium"/>
    <n v="0.10199999999999999"/>
    <s v="Valid"/>
    <n v="0.10199999999999999"/>
    <n v="28"/>
    <n v="30226.602810212757"/>
    <n v="20240.36"/>
    <n v="9986.242810212756"/>
    <n v="0.33037926468000806"/>
  </r>
  <r>
    <s v="ORD-2025-150713"/>
    <d v="2025-07-11T00:00:00"/>
    <x v="13"/>
    <s v="Q3-2025"/>
    <d v="2025-07-16T00:00:00"/>
    <s v="Valid"/>
    <n v="5"/>
    <d v="2025-07-16T00:00:00"/>
    <x v="3"/>
    <s v="Europe → United Kingdom → London"/>
    <x v="246"/>
    <x v="8"/>
    <s v="London"/>
    <s v="Enterprise"/>
    <x v="1"/>
    <x v="11"/>
    <x v="1"/>
    <x v="616"/>
    <n v="930.03"/>
    <n v="1086.68"/>
    <s v="Valid"/>
    <n v="1086.68"/>
    <s v="Medium"/>
    <n v="0.109"/>
    <s v="Valid"/>
    <n v="0.109"/>
    <n v="26"/>
    <n v="25174.028880000002"/>
    <n v="24180.78"/>
    <n v="993.24888000000283"/>
    <n v="3.9455300728168656E-2"/>
  </r>
  <r>
    <s v="ORD-2024-756884"/>
    <d v="2024-10-13T00:00:00"/>
    <x v="1"/>
    <s v="Q4-2024"/>
    <d v="2024-10-24T00:00:00"/>
    <s v="Valid"/>
    <n v="11"/>
    <d v="2024-10-24T00:00:00"/>
    <x v="3"/>
    <s v="Europe → France → Paris"/>
    <x v="316"/>
    <x v="7"/>
    <s v="Paris"/>
    <s v="Education"/>
    <x v="3"/>
    <x v="9"/>
    <x v="0"/>
    <x v="617"/>
    <n v="816.7"/>
    <n v="1010.75"/>
    <s v="Valid"/>
    <n v="1010.75"/>
    <s v="Medium"/>
    <n v="4.7E-2"/>
    <s v="Valid"/>
    <n v="4.7E-2"/>
    <n v="43"/>
    <n v="41419.524249999995"/>
    <n v="35118.1"/>
    <n v="6301.4242499999964"/>
    <n v="0.15213656757537472"/>
  </r>
  <r>
    <s v="ORD-2023-755337"/>
    <d v="2023-09-08T00:00:00"/>
    <x v="27"/>
    <s v="Q3-2023"/>
    <d v="2023-09-14T00:00:00"/>
    <s v="Valid"/>
    <n v="6"/>
    <d v="2023-09-14T00:00:00"/>
    <x v="0"/>
    <s v="Africa → Kenya → Nakuru"/>
    <x v="317"/>
    <x v="0"/>
    <s v="Nakuru"/>
    <s v="Education"/>
    <x v="4"/>
    <x v="2"/>
    <x v="6"/>
    <x v="618"/>
    <n v="251.03"/>
    <n v="411.48"/>
    <s v="Valid"/>
    <n v="411.48"/>
    <s v="Low"/>
    <n v="0.16500000000000001"/>
    <s v="Valid"/>
    <n v="0.16500000000000001"/>
    <n v="3"/>
    <n v="1030.7574"/>
    <n v="753.09"/>
    <n v="277.66739999999993"/>
    <n v="0.26938191275658069"/>
  </r>
  <r>
    <s v="ORD-2025-907040"/>
    <d v="2025-04-17T00:00:00"/>
    <x v="19"/>
    <s v="Q2-2025"/>
    <d v="2025-05-03T00:00:00"/>
    <s v="Valid"/>
    <n v="16"/>
    <d v="2025-05-03T00:00:00"/>
    <x v="2"/>
    <s v="Americas → Brazil → Rio de Janeiro"/>
    <x v="51"/>
    <x v="5"/>
    <s v="Rio de Janeiro"/>
    <s v="Consumer"/>
    <x v="2"/>
    <x v="1"/>
    <x v="2"/>
    <x v="619"/>
    <n v="168.68"/>
    <n v="413.34"/>
    <s v="Valid"/>
    <n v="413.34"/>
    <s v="Low"/>
    <n v="0.186"/>
    <s v="Valid"/>
    <n v="0.186"/>
    <n v="7"/>
    <n v="2355.2113199999999"/>
    <n v="1180.76"/>
    <n v="1174.4513199999999"/>
    <n v="0.49866069767361682"/>
  </r>
  <r>
    <s v="ORD-2024-817997"/>
    <d v="2024-07-28T00:00:00"/>
    <x v="14"/>
    <s v="Q3-2024"/>
    <d v="2024-08-23T00:00:00"/>
    <s v="Valid"/>
    <n v="26"/>
    <d v="2024-08-23T00:00:00"/>
    <x v="1"/>
    <s v="Asia → India → Hyderabad"/>
    <x v="318"/>
    <x v="4"/>
    <s v="Hyderabad"/>
    <s v="Corporate"/>
    <x v="0"/>
    <x v="1"/>
    <x v="2"/>
    <x v="620"/>
    <n v="1339.24"/>
    <n v="1558.89"/>
    <s v="Valid"/>
    <n v="1558.89"/>
    <s v="Medium"/>
    <n v="0.192"/>
    <s v="Valid"/>
    <n v="0.192"/>
    <n v="24"/>
    <n v="30229.994880000002"/>
    <n v="32141.760000000002"/>
    <n v="-1911.76512"/>
    <n v="-6.3240669659021781E-2"/>
  </r>
  <r>
    <s v="ORD-2025-649633"/>
    <d v="2025-07-19T00:00:00"/>
    <x v="13"/>
    <s v="Q3-2025"/>
    <d v="2025-07-31T00:00:00"/>
    <s v="Valid"/>
    <n v="12"/>
    <d v="2025-07-31T00:00:00"/>
    <x v="0"/>
    <s v="Africa → Kenya → Nairobi"/>
    <x v="305"/>
    <x v="0"/>
    <s v="Nairobi"/>
    <s v="Small Business"/>
    <x v="2"/>
    <x v="7"/>
    <x v="6"/>
    <x v="621"/>
    <n v="619.64"/>
    <n v="861.16"/>
    <s v="Valid"/>
    <n v="861.16"/>
    <s v="Medium"/>
    <n v="0.113"/>
    <s v="Valid"/>
    <n v="0.113"/>
    <n v="14"/>
    <n v="10693.88488"/>
    <n v="8674.9599999999991"/>
    <n v="2018.9248800000005"/>
    <n v="0.18879246435276761"/>
  </r>
  <r>
    <s v="ORD-2023-885216"/>
    <d v="2023-08-03T00:00:00"/>
    <x v="25"/>
    <s v="Q3-2023"/>
    <d v="2023-08-02T00:00:00"/>
    <s v="Invalid RequiredDate"/>
    <n v="-1"/>
    <d v="2023-08-29T00:00:00"/>
    <x v="1"/>
    <s v="Asia → China → Shanghai"/>
    <x v="109"/>
    <x v="9"/>
    <s v="Shanghai"/>
    <s v="Non-Profit"/>
    <x v="4"/>
    <x v="1"/>
    <x v="2"/>
    <x v="622"/>
    <n v="1021.97"/>
    <n v="2296.25"/>
    <s v="Valid"/>
    <n v="2296.25"/>
    <s v="High"/>
    <n v="0.161"/>
    <s v="Valid"/>
    <n v="0.161"/>
    <n v="26"/>
    <n v="50090.397499999999"/>
    <n v="26571.22"/>
    <n v="23519.177499999998"/>
    <n v="0.46953465482081669"/>
  </r>
  <r>
    <s v="ORD-2023-561823"/>
    <d v="2023-11-19T00:00:00"/>
    <x v="30"/>
    <s v="Q4-2023"/>
    <d v="2023-12-12T00:00:00"/>
    <s v="Valid"/>
    <n v="23"/>
    <d v="2023-12-12T00:00:00"/>
    <x v="1"/>
    <s v="Asia → India → Delhi"/>
    <x v="180"/>
    <x v="4"/>
    <s v="Delhi"/>
    <s v="Small Business"/>
    <x v="4"/>
    <x v="0"/>
    <x v="2"/>
    <x v="623"/>
    <n v="1349.04"/>
    <n v="2636.6"/>
    <s v="Valid"/>
    <n v="2636.6"/>
    <s v="High"/>
    <n v="0.114"/>
    <s v="Valid"/>
    <n v="0.114"/>
    <n v="14"/>
    <n v="32704.386400000003"/>
    <n v="18886.559999999998"/>
    <n v="13817.826400000005"/>
    <n v="0.42250682312143928"/>
  </r>
  <r>
    <s v="ORD-2023-249805"/>
    <d v="2023-12-22T00:00:00"/>
    <x v="4"/>
    <s v="Q4-2023"/>
    <d v="2024-01-16T00:00:00"/>
    <s v="Valid"/>
    <n v="25"/>
    <d v="2024-01-16T00:00:00"/>
    <x v="1"/>
    <s v="Asia → India → Hyderabad"/>
    <x v="171"/>
    <x v="4"/>
    <s v="Hyderabad"/>
    <s v="Small Business"/>
    <x v="0"/>
    <x v="8"/>
    <x v="0"/>
    <x v="624"/>
    <n v="1346.81"/>
    <n v="978.09"/>
    <s v="Valid"/>
    <n v="978.09"/>
    <s v="Medium"/>
    <n v="0.159"/>
    <s v="Valid"/>
    <n v="0.159"/>
    <n v="17"/>
    <n v="13983.752729999998"/>
    <n v="22895.77"/>
    <n v="-8912.0172700000021"/>
    <n v="-0.6373122753293996"/>
  </r>
  <r>
    <s v="ORD-2023-548934"/>
    <d v="2023-08-03T00:00:00"/>
    <x v="25"/>
    <s v="Q3-2023"/>
    <d v="2023-08-30T00:00:00"/>
    <s v="Valid"/>
    <n v="27"/>
    <d v="2023-08-30T00:00:00"/>
    <x v="1"/>
    <s v="Asia → China → Shanghai"/>
    <x v="109"/>
    <x v="9"/>
    <s v="Shanghai"/>
    <s v="Consumer"/>
    <x v="3"/>
    <x v="13"/>
    <x v="5"/>
    <x v="625"/>
    <n v="226.04"/>
    <n v="545.72"/>
    <s v="Valid"/>
    <n v="545.72"/>
    <s v="Low"/>
    <n v="0.151"/>
    <s v="Valid"/>
    <n v="0.151"/>
    <n v="11"/>
    <n v="5096.4790800000001"/>
    <n v="2486.44"/>
    <n v="2610.03908"/>
    <n v="0.51212592831834014"/>
  </r>
  <r>
    <s v="ORD-2023-921939"/>
    <d v="2023-06-23T00:00:00"/>
    <x v="23"/>
    <s v="Q2-2023"/>
    <d v="2023-07-18T00:00:00"/>
    <s v="Valid"/>
    <n v="25"/>
    <d v="2023-07-18T00:00:00"/>
    <x v="2"/>
    <s v="Americas → Canada → Vancouver"/>
    <x v="214"/>
    <x v="3"/>
    <s v="Vancouver"/>
    <s v="Enterprise"/>
    <x v="1"/>
    <x v="13"/>
    <x v="3"/>
    <x v="626"/>
    <n v="807.02"/>
    <n v="1435.54"/>
    <s v="Valid"/>
    <n v="1435.54"/>
    <s v="Medium"/>
    <n v="0"/>
    <s v="Valid"/>
    <n v="0"/>
    <n v="23"/>
    <n v="33017.42"/>
    <n v="18561.46"/>
    <n v="14455.96"/>
    <n v="0.43782827368098415"/>
  </r>
  <r>
    <s v="ORD-2023-961864"/>
    <d v="2023-12-07T00:00:00"/>
    <x v="4"/>
    <s v="Q4-2023"/>
    <d v="2024-01-02T00:00:00"/>
    <s v="Valid"/>
    <n v="26"/>
    <d v="2024-01-02T00:00:00"/>
    <x v="3"/>
    <s v="Europe → Germany → Frankfurt"/>
    <x v="235"/>
    <x v="6"/>
    <s v="Frankfurt"/>
    <s v="Enterprise"/>
    <x v="3"/>
    <x v="6"/>
    <x v="0"/>
    <x v="627"/>
    <n v="1071.99"/>
    <n v="2397.3000000000002"/>
    <s v="Valid"/>
    <n v="2397.3000000000002"/>
    <s v="High"/>
    <n v="6.2E-2"/>
    <s v="Valid"/>
    <n v="6.2E-2"/>
    <n v="18"/>
    <n v="40476.013200000001"/>
    <n v="19295.82"/>
    <n v="21180.193200000002"/>
    <n v="0.52327765324476183"/>
  </r>
  <r>
    <s v="ORD-2023-455933"/>
    <d v="2023-11-19T00:00:00"/>
    <x v="30"/>
    <s v="Q4-2023"/>
    <d v="2023-12-19T00:00:00"/>
    <s v="Valid"/>
    <n v="30"/>
    <d v="2023-12-19T00:00:00"/>
    <x v="1"/>
    <s v="Asia → Japan → Nagoya"/>
    <x v="100"/>
    <x v="2"/>
    <s v="Nagoya"/>
    <s v="Consumer"/>
    <x v="0"/>
    <x v="15"/>
    <x v="3"/>
    <x v="628"/>
    <n v="807.11"/>
    <n v="1853.86"/>
    <s v="Valid"/>
    <n v="1853.86"/>
    <s v="Medium"/>
    <n v="0.13900000000000001"/>
    <s v="Valid"/>
    <n v="0.13900000000000001"/>
    <n v="8"/>
    <n v="12769.38768"/>
    <n v="6456.88"/>
    <n v="6312.5076799999997"/>
    <n v="0.49434693645388639"/>
  </r>
  <r>
    <s v="ORD-2025-728935"/>
    <d v="2025-02-28T00:00:00"/>
    <x v="26"/>
    <s v="Q1-2025"/>
    <d v="2025-03-10T00:00:00"/>
    <s v="Valid"/>
    <n v="10"/>
    <d v="2025-03-10T00:00:00"/>
    <x v="1"/>
    <s v="Asia → Japan → Osaka"/>
    <x v="149"/>
    <x v="2"/>
    <s v="Osaka"/>
    <s v="Education"/>
    <x v="3"/>
    <x v="13"/>
    <x v="4"/>
    <x v="629"/>
    <n v="51.86"/>
    <n v="45.98"/>
    <s v="Valid"/>
    <n v="45.98"/>
    <s v="Low"/>
    <n v="0.17299999999999999"/>
    <s v="Valid"/>
    <n v="0.17299999999999999"/>
    <n v="7"/>
    <n v="266.17821999999995"/>
    <n v="363.02"/>
    <n v="-96.841780000000028"/>
    <n v="-0.3638230806412337"/>
  </r>
  <r>
    <m/>
    <m/>
    <x v="33"/>
    <m/>
    <m/>
    <m/>
    <m/>
    <m/>
    <x v="4"/>
    <m/>
    <x v="319"/>
    <x v="12"/>
    <m/>
    <m/>
    <x v="6"/>
    <x v="16"/>
    <x v="7"/>
    <x v="630"/>
    <m/>
    <m/>
    <m/>
    <m/>
    <m/>
    <m/>
    <m/>
    <m/>
    <m/>
    <m/>
    <m/>
    <m/>
    <m/>
  </r>
</pivotCacheRecords>
</file>

<file path=xl/pivotCache/pivotCacheRecords2.xml><?xml version="1.0" encoding="utf-8"?>
<pivotCacheRecords xmlns="http://schemas.openxmlformats.org/spreadsheetml/2006/main" xmlns:r="http://schemas.openxmlformats.org/officeDocument/2006/relationships" count="633">
  <r>
    <x v="0"/>
    <d v="2024-03-11T00:00:00"/>
    <s v="Mar-2024"/>
    <s v="Q1-2024"/>
    <d v="2024-04-06T00:00:00"/>
    <s v="Valid"/>
    <n v="26"/>
    <d v="2024-04-06T00:00:00"/>
    <s v="Africa"/>
    <s v="Africa → Kenya → Kisumu"/>
    <s v="Kenya-2024-03"/>
    <x v="0"/>
    <s v="Kisumu"/>
    <s v="Corporate"/>
    <s v="Retail"/>
    <s v="C. Otieno"/>
    <x v="0"/>
    <s v="CMP-8270"/>
    <n v="279.24"/>
    <n v="608.9"/>
    <s v="Valid"/>
    <n v="608.9"/>
    <s v="Low"/>
    <n v="0.112"/>
    <s v="Valid"/>
    <n v="0.112"/>
    <n v="9"/>
    <n v="4866.3287999999993"/>
    <n v="2513.16"/>
    <n v="2353.1687999999995"/>
    <n v="0.48356140670149533"/>
    <n v="0"/>
  </r>
  <r>
    <x v="1"/>
    <d v="2024-10-23T00:00:00"/>
    <s v="Oct-2024"/>
    <s v="Q4-2024"/>
    <d v="2024-10-22T00:00:00"/>
    <s v="Invalid RequiredDate"/>
    <n v="-1"/>
    <d v="2024-11-18T00:00:00"/>
    <s v="Africa"/>
    <s v="Africa → Nigeria → Port Harcourt"/>
    <s v="Nigeria-2024-10"/>
    <x v="1"/>
    <s v="Port Harcourt"/>
    <s v="Education"/>
    <s v="Online"/>
    <s v="J. Njeri"/>
    <x v="1"/>
    <s v="PRN-9322"/>
    <n v="1084.3900000000001"/>
    <n v="759.33"/>
    <s v="Valid"/>
    <n v="759.33"/>
    <s v="Medium"/>
    <n v="0.23699999999999999"/>
    <s v="Valid"/>
    <n v="0.23699999999999999"/>
    <n v="31"/>
    <n v="17960.432489999999"/>
    <n v="33616.090000000004"/>
    <n v="-15655.657510000005"/>
    <n v="-0.87167486187856302"/>
    <n v="1"/>
  </r>
  <r>
    <x v="2"/>
    <d v="2023-02-28T00:00:00"/>
    <s v="Feb-2023"/>
    <s v="Q1-2023"/>
    <d v="2023-03-25T00:00:00"/>
    <s v="Valid"/>
    <n v="25"/>
    <d v="2023-03-25T00:00:00"/>
    <s v="Africa"/>
    <s v="Africa → Kenya → Nairobi"/>
    <s v="Kenya-2023-02"/>
    <x v="0"/>
    <s v="Nairobi"/>
    <s v="Corporate"/>
    <s v="Retail"/>
    <s v="I. Johnson"/>
    <x v="2"/>
    <s v="NET-9666"/>
    <n v="1460.76"/>
    <n v="-30.66"/>
    <s v="Invalid Price"/>
    <n v="1445.2723255813949"/>
    <s v="Medium"/>
    <n v="0.13100000000000001"/>
    <s v="Valid"/>
    <n v="0.13100000000000001"/>
    <n v="12"/>
    <n v="15071.299811162788"/>
    <n v="17529.12"/>
    <n v="-2457.8201888372114"/>
    <n v="-0.16307951003779975"/>
    <n v="0"/>
  </r>
  <r>
    <x v="3"/>
    <d v="2025-03-29T00:00:00"/>
    <s v="Mar-2025"/>
    <s v="Q1-2025"/>
    <d v="2025-04-02T00:00:00"/>
    <s v="Valid"/>
    <n v="4"/>
    <d v="2025-04-02T00:00:00"/>
    <s v="Africa"/>
    <s v="Africa → Nigeria → Lagos"/>
    <s v="Nigeria-2025-03"/>
    <x v="1"/>
    <s v="Lagos"/>
    <s v="Non-Profit"/>
    <s v="Marketplace"/>
    <s v="G. Dubois"/>
    <x v="3"/>
    <s v="PHN-4556"/>
    <n v="259.93"/>
    <n v="255.94"/>
    <s v="Valid"/>
    <n v="255.94"/>
    <s v="Low"/>
    <n v="7.1999999999999995E-2"/>
    <s v="Valid"/>
    <n v="7.1999999999999995E-2"/>
    <n v="22"/>
    <n v="5225.2710400000005"/>
    <n v="5718.46"/>
    <n v="-493.1889599999995"/>
    <n v="-9.4385335463861311E-2"/>
    <n v="1"/>
  </r>
  <r>
    <x v="4"/>
    <d v="2023-12-06T00:00:00"/>
    <s v="Dec-2023"/>
    <s v="Q4-2023"/>
    <d v="2023-12-31T00:00:00"/>
    <s v="Valid"/>
    <n v="25"/>
    <d v="2023-12-31T00:00:00"/>
    <s v="Asia"/>
    <s v="Asia → Japan → Osaka"/>
    <s v="Japan-2023-12"/>
    <x v="2"/>
    <s v="Osaka"/>
    <s v="Consumer"/>
    <s v="Retail"/>
    <s v="L. Okafor"/>
    <x v="1"/>
    <s v="PRN-8041"/>
    <n v="663.03"/>
    <n v="813.51"/>
    <s v="Valid"/>
    <n v="813.51"/>
    <s v="Medium"/>
    <n v="0.10199999999999999"/>
    <s v="Valid"/>
    <n v="0.10199999999999999"/>
    <n v="15"/>
    <n v="10957.9797"/>
    <n v="9945.4499999999989"/>
    <n v="1012.529700000001"/>
    <n v="9.2401129379715952E-2"/>
    <n v="0"/>
  </r>
  <r>
    <x v="5"/>
    <d v="2023-01-02T00:00:00"/>
    <s v="Jan-2023"/>
    <s v="Q1-2023"/>
    <d v="2023-01-05T00:00:00"/>
    <s v="Valid"/>
    <n v="3"/>
    <d v="2023-01-05T00:00:00"/>
    <s v="Americas"/>
    <s v="Americas → Canada → Toronto"/>
    <s v="Canada-2023-01"/>
    <x v="3"/>
    <s v="Toronto"/>
    <s v="Corporate"/>
    <s v="Distributor"/>
    <s v="B. Chen"/>
    <x v="4"/>
    <s v="LAP-8555"/>
    <n v="315.87"/>
    <n v="591.67999999999995"/>
    <s v="Valid"/>
    <n v="591.67999999999995"/>
    <s v="Low"/>
    <n v="0"/>
    <s v="Valid"/>
    <n v="0"/>
    <n v="7"/>
    <n v="4141.7599999999993"/>
    <n v="2211.09"/>
    <n v="1930.6699999999992"/>
    <n v="0.46614724175229844"/>
    <n v="1"/>
  </r>
  <r>
    <x v="6"/>
    <d v="2024-12-27T00:00:00"/>
    <s v="Dec-2024"/>
    <s v="Q4-2024"/>
    <d v="2025-01-14T00:00:00"/>
    <s v="Valid"/>
    <n v="18"/>
    <d v="2025-01-14T00:00:00"/>
    <s v="Asia"/>
    <s v="Asia → India → Bengaluru"/>
    <s v="India-2024-12"/>
    <x v="4"/>
    <s v="Bengaluru"/>
    <s v="Small Business"/>
    <s v="Marketplace"/>
    <s v="E. Garcia"/>
    <x v="5"/>
    <s v="MON-8629"/>
    <n v="586.07000000000005"/>
    <n v="845.97"/>
    <s v="Valid"/>
    <n v="845.97"/>
    <s v="Medium"/>
    <n v="0.14699999999999999"/>
    <s v="Valid"/>
    <n v="0.14699999999999999"/>
    <n v="4"/>
    <n v="2886.4496399999998"/>
    <n v="2344.2800000000002"/>
    <n v="542.16963999999962"/>
    <n v="0.18783270370862928"/>
    <n v="0"/>
  </r>
  <r>
    <x v="7"/>
    <d v="2023-01-15T00:00:00"/>
    <s v="Jan-2023"/>
    <s v="Q1-2023"/>
    <d v="2023-01-13T00:00:00"/>
    <s v="Invalid RequiredDate"/>
    <n v="-2"/>
    <d v="2023-02-10T00:00:00"/>
    <s v="Africa"/>
    <s v="Africa → Nigeria → Abuja"/>
    <s v="Nigeria-2023-01"/>
    <x v="1"/>
    <s v="Abuja"/>
    <s v="Education"/>
    <s v="Online"/>
    <s v="O. Wang"/>
    <x v="1"/>
    <s v="PRN-6276"/>
    <n v="28.38"/>
    <n v="47.22"/>
    <s v="Valid"/>
    <n v="47.22"/>
    <s v="Low"/>
    <n v="0.19400000000000001"/>
    <s v="Valid"/>
    <n v="0.19400000000000001"/>
    <n v="18"/>
    <n v="685.06776000000002"/>
    <n v="510.84"/>
    <n v="174.22776000000005"/>
    <n v="0.25432193743871417"/>
    <n v="1"/>
  </r>
  <r>
    <x v="8"/>
    <d v="2024-05-04T00:00:00"/>
    <s v="May-2024"/>
    <s v="Q2-2024"/>
    <d v="2024-05-29T00:00:00"/>
    <s v="Valid"/>
    <n v="25"/>
    <d v="2024-05-29T00:00:00"/>
    <s v="Africa"/>
    <s v="Africa → Nigeria → Abuja"/>
    <s v="Nigeria-2024-05"/>
    <x v="1"/>
    <s v="Abuja"/>
    <s v="Non-Profit"/>
    <s v="Marketplace"/>
    <s v="O. Wang"/>
    <x v="5"/>
    <s v="MON-6892"/>
    <n v="1295.3399999999999"/>
    <n v="2530.81"/>
    <s v="Valid"/>
    <n v="2530.81"/>
    <s v="High"/>
    <n v="3.1E-2"/>
    <s v="Valid"/>
    <n v="3.1E-2"/>
    <n v="6"/>
    <n v="14714.12934"/>
    <n v="7772.0399999999991"/>
    <n v="6942.0893400000004"/>
    <n v="0.4717974933880798"/>
    <n v="0"/>
  </r>
  <r>
    <x v="9"/>
    <d v="2025-05-21T00:00:00"/>
    <s v="May-2025"/>
    <s v="Q2-2025"/>
    <d v="2025-06-09T00:00:00"/>
    <s v="Valid"/>
    <n v="19"/>
    <d v="2025-06-09T00:00:00"/>
    <s v="Americas"/>
    <s v="Americas → Brazil → São Paulo"/>
    <s v="Brazil-2025-05"/>
    <x v="5"/>
    <s v="São Paulo"/>
    <s v="Non-Profit"/>
    <s v="Online"/>
    <s v="A. Patel"/>
    <x v="0"/>
    <s v="CMP-3731"/>
    <n v="1331.38"/>
    <n v="2309.56"/>
    <s v="Valid"/>
    <n v="2309.56"/>
    <s v="High"/>
    <n v="0.14899999999999999"/>
    <s v="Valid"/>
    <n v="0.14899999999999999"/>
    <n v="31"/>
    <n v="60928.502359999999"/>
    <n v="41272.780000000006"/>
    <n v="19655.722359999992"/>
    <n v="0.32260307735553528"/>
    <n v="0"/>
  </r>
  <r>
    <x v="10"/>
    <d v="2024-01-28T00:00:00"/>
    <s v="Jan-2024"/>
    <s v="Q1-2024"/>
    <d v="2024-02-09T00:00:00"/>
    <s v="Valid"/>
    <n v="12"/>
    <d v="2024-02-09T00:00:00"/>
    <s v="Europe"/>
    <s v="Europe → Germany → Berlin"/>
    <s v="Germany-2024-01"/>
    <x v="6"/>
    <s v="Berlin"/>
    <s v="Corporate"/>
    <s v="Online"/>
    <s v="G. Dubois"/>
    <x v="6"/>
    <s v="ACC-7938"/>
    <n v="644.16999999999996"/>
    <n v="700.12"/>
    <s v="Valid"/>
    <n v="700.12"/>
    <s v="Medium"/>
    <n v="6.0000000000000001E-3"/>
    <s v="Valid"/>
    <n v="6.0000000000000001E-3"/>
    <n v="23"/>
    <n v="16006.14344"/>
    <n v="14815.91"/>
    <n v="1190.23344"/>
    <n v="7.436103796405813E-2"/>
    <n v="0"/>
  </r>
  <r>
    <x v="11"/>
    <d v="2025-01-03T00:00:00"/>
    <s v="Jan-2025"/>
    <s v="Q1-2025"/>
    <d v="2025-01-23T00:00:00"/>
    <s v="Valid"/>
    <n v="20"/>
    <d v="2025-01-23T00:00:00"/>
    <s v="Asia"/>
    <s v="Asia → Japan → Osaka"/>
    <s v="Japan-2025-01"/>
    <x v="2"/>
    <s v="Osaka"/>
    <s v="Corporate"/>
    <s v="Distributor"/>
    <s v="F. Müller"/>
    <x v="3"/>
    <s v="PHN-7019"/>
    <n v="908.6"/>
    <n v="691.37"/>
    <s v="Valid"/>
    <n v="691.37"/>
    <s v="Medium"/>
    <n v="0.25"/>
    <s v="Valid"/>
    <n v="0.25"/>
    <n v="20"/>
    <n v="10370.549999999999"/>
    <n v="18172"/>
    <n v="-7801.4500000000007"/>
    <n v="-0.75226964818645115"/>
    <n v="0"/>
  </r>
  <r>
    <x v="12"/>
    <d v="2025-03-06T00:00:00"/>
    <s v="Mar-2025"/>
    <s v="Q1-2025"/>
    <d v="2025-03-31T00:00:00"/>
    <s v="Valid"/>
    <n v="25"/>
    <d v="2025-03-31T00:00:00"/>
    <s v="Americas"/>
    <s v="Americas → Brazil → Brasília"/>
    <s v="Brazil-2025-03"/>
    <x v="5"/>
    <s v="Brasília"/>
    <s v="Non-Profit"/>
    <s v="Online"/>
    <s v="J. Njeri"/>
    <x v="0"/>
    <s v="CMP-3693"/>
    <n v="331.57"/>
    <n v="548.4"/>
    <s v="Valid"/>
    <n v="548.4"/>
    <s v="Low"/>
    <n v="9.4E-2"/>
    <s v="Valid"/>
    <n v="9.4E-2"/>
    <n v="10"/>
    <n v="4968.5039999999999"/>
    <n v="3315.7"/>
    <n v="1652.8040000000001"/>
    <n v="0.33265626836568918"/>
    <n v="0"/>
  </r>
  <r>
    <x v="13"/>
    <d v="2024-01-20T00:00:00"/>
    <s v="Jan-2024"/>
    <s v="Q1-2024"/>
    <d v="2024-02-13T00:00:00"/>
    <s v="Valid"/>
    <n v="24"/>
    <d v="2024-02-13T00:00:00"/>
    <s v="Europe"/>
    <s v="Europe → France → Marseille"/>
    <s v="France-2024-01"/>
    <x v="7"/>
    <s v="Marseille"/>
    <s v="Corporate"/>
    <s v="Retail"/>
    <s v="H. Kim"/>
    <x v="1"/>
    <s v="PRN-8392"/>
    <n v="643.53"/>
    <n v="1439.01"/>
    <s v="Valid"/>
    <n v="1439.01"/>
    <s v="Medium"/>
    <n v="0"/>
    <s v="Valid"/>
    <n v="0"/>
    <n v="15"/>
    <n v="21585.15"/>
    <n v="9652.9499999999989"/>
    <n v="11932.200000000003"/>
    <n v="0.55279671440782208"/>
    <n v="0"/>
  </r>
  <r>
    <x v="14"/>
    <d v="2025-09-01T00:00:00"/>
    <s v="Sep-2025"/>
    <s v="Q3-2025"/>
    <d v="2025-09-30T00:00:00"/>
    <s v="Valid"/>
    <n v="29"/>
    <d v="2025-09-30T00:00:00"/>
    <s v="Americas"/>
    <s v="Americas → Brazil → Brasília"/>
    <s v="Brazil-2025-09"/>
    <x v="5"/>
    <s v="Brasília"/>
    <s v="Education"/>
    <s v="Retail"/>
    <s v="K. Singh"/>
    <x v="6"/>
    <s v="ACC-1663"/>
    <n v="780.59"/>
    <n v="631.57000000000005"/>
    <s v="Valid"/>
    <n v="631.57000000000005"/>
    <s v="Medium"/>
    <n v="0"/>
    <s v="Valid"/>
    <n v="0"/>
    <n v="12"/>
    <n v="7578.84"/>
    <n v="9367.08"/>
    <n v="-1788.2399999999998"/>
    <n v="-0.23595167598207639"/>
    <n v="0"/>
  </r>
  <r>
    <x v="15"/>
    <d v="2023-04-23T00:00:00"/>
    <s v="Apr-2023"/>
    <s v="Q2-2023"/>
    <d v="2023-04-22T00:00:00"/>
    <s v="Invalid RequiredDate"/>
    <n v="-1"/>
    <d v="2023-05-19T00:00:00"/>
    <s v="Africa"/>
    <s v="Africa → Kenya → Nairobi"/>
    <s v="Kenya-2023-04"/>
    <x v="0"/>
    <s v="Nairobi"/>
    <s v="Small Business"/>
    <s v="Direct"/>
    <s v="E. Garcia"/>
    <x v="4"/>
    <s v="LAP-1698"/>
    <n v="756.51"/>
    <n v="850.8"/>
    <s v="Valid"/>
    <n v="850.8"/>
    <s v="Medium"/>
    <n v="7.3999999999999996E-2"/>
    <s v="Valid"/>
    <n v="7.3999999999999996E-2"/>
    <n v="9"/>
    <n v="7090.5672000000004"/>
    <n v="6808.59"/>
    <n v="281.97720000000027"/>
    <n v="3.9767932810791252E-2"/>
    <n v="1"/>
  </r>
  <r>
    <x v="16"/>
    <d v="2024-12-10T00:00:00"/>
    <s v="Dec-2024"/>
    <s v="Q4-2024"/>
    <d v="2025-01-08T00:00:00"/>
    <s v="Valid"/>
    <n v="29"/>
    <d v="2025-01-08T00:00:00"/>
    <s v="Europe"/>
    <s v="Europe → France → Marseille"/>
    <s v="France-2024-12"/>
    <x v="7"/>
    <s v="Marseille"/>
    <s v="Small Business"/>
    <s v="Retail"/>
    <s v="K. Singh"/>
    <x v="1"/>
    <s v="PRN-6791"/>
    <n v="891.08"/>
    <n v="1040.0999999999999"/>
    <s v="Valid"/>
    <n v="1040.0999999999999"/>
    <s v="Medium"/>
    <n v="0.109"/>
    <s v="Valid"/>
    <n v="0.109"/>
    <n v="28"/>
    <n v="25948.414799999995"/>
    <n v="24950.240000000002"/>
    <n v="998.17479999999341"/>
    <n v="3.8467660074556598E-2"/>
    <n v="0"/>
  </r>
  <r>
    <x v="17"/>
    <d v="2025-09-08T00:00:00"/>
    <s v="Sep-2025"/>
    <s v="Q3-2025"/>
    <d v="2025-09-16T00:00:00"/>
    <s v="Valid"/>
    <n v="8"/>
    <d v="2025-09-16T00:00:00"/>
    <s v="Asia"/>
    <s v="Asia → Japan → Osaka"/>
    <s v="Japan-2025-09"/>
    <x v="2"/>
    <s v="Osaka"/>
    <s v="Corporate"/>
    <s v="Distributor"/>
    <s v="C. Otieno"/>
    <x v="3"/>
    <s v="PHN-1197"/>
    <n v="1225.57"/>
    <n v="2705.57"/>
    <s v="Valid"/>
    <n v="2705.57"/>
    <s v="High"/>
    <n v="0.183"/>
    <s v="Valid"/>
    <n v="0.183"/>
    <n v="16"/>
    <n v="35367.211040000002"/>
    <n v="19609.12"/>
    <n v="15758.091040000003"/>
    <n v="0.44555650775453404"/>
    <n v="0"/>
  </r>
  <r>
    <x v="18"/>
    <d v="2025-07-20T00:00:00"/>
    <s v="Jul-2025"/>
    <s v="Q3-2025"/>
    <d v="2025-08-05T00:00:00"/>
    <s v="Valid"/>
    <n v="16"/>
    <d v="2025-08-05T00:00:00"/>
    <s v="Americas"/>
    <s v="Americas → Brazil → Brasília"/>
    <s v="Brazil-2025-07"/>
    <x v="5"/>
    <s v="Brasília"/>
    <s v="Enterprise"/>
    <s v="Marketplace"/>
    <s v="G. Dubois"/>
    <x v="6"/>
    <s v="ACC-8098"/>
    <n v="1068.17"/>
    <n v="2375.37"/>
    <s v="Valid"/>
    <n v="2375.37"/>
    <s v="High"/>
    <n v="0.109"/>
    <s v="Valid"/>
    <n v="0.109"/>
    <n v="18"/>
    <n v="38096.18406"/>
    <n v="19227.060000000001"/>
    <n v="18869.124059999998"/>
    <n v="0.49530220744108822"/>
    <n v="0"/>
  </r>
  <r>
    <x v="19"/>
    <d v="2025-05-21T00:00:00"/>
    <s v="May-2025"/>
    <s v="Q2-2025"/>
    <d v="2025-05-19T00:00:00"/>
    <s v="Invalid RequiredDate"/>
    <n v="-2"/>
    <d v="2025-06-16T00:00:00"/>
    <s v="Europe"/>
    <s v="Europe → United Kingdom → Birmingham"/>
    <s v="United Kingdom-2025-05"/>
    <x v="8"/>
    <s v="Birmingham"/>
    <s v="Enterprise"/>
    <s v="Online"/>
    <s v="M. Rossi"/>
    <x v="4"/>
    <s v="LAP-3385"/>
    <n v="1015.16"/>
    <n v="2148.14"/>
    <s v="Valid"/>
    <n v="2148.14"/>
    <s v="High"/>
    <n v="3.7999999999999999E-2"/>
    <s v="Valid"/>
    <n v="3.7999999999999999E-2"/>
    <n v="19"/>
    <n v="39263.702919999996"/>
    <n v="19288.04"/>
    <n v="19975.662919999995"/>
    <n v="0.50875647059322227"/>
    <n v="1"/>
  </r>
  <r>
    <x v="20"/>
    <d v="2024-07-25T00:00:00"/>
    <s v="Jul-2024"/>
    <s v="Q3-2024"/>
    <d v="2024-07-24T00:00:00"/>
    <s v="Invalid RequiredDate"/>
    <n v="-1"/>
    <d v="2024-08-20T00:00:00"/>
    <s v="Africa"/>
    <s v="Africa → Kenya → Mombasa"/>
    <s v="Kenya-2024-07"/>
    <x v="0"/>
    <s v="Mombasa"/>
    <s v="Non-Profit"/>
    <s v="Direct"/>
    <s v="J. Njeri"/>
    <x v="4"/>
    <s v="LAP-9815"/>
    <n v="1494.4"/>
    <n v="3661.07"/>
    <s v="Valid"/>
    <n v="3661.07"/>
    <s v="High"/>
    <n v="7.1999999999999995E-2"/>
    <s v="Valid"/>
    <n v="7.1999999999999995E-2"/>
    <n v="7"/>
    <n v="23782.310720000001"/>
    <n v="10460.800000000001"/>
    <n v="13321.51072"/>
    <n v="0.56014366630897339"/>
    <n v="1"/>
  </r>
  <r>
    <x v="21"/>
    <d v="2023-05-11T00:00:00"/>
    <s v="May-2023"/>
    <s v="Q2-2023"/>
    <d v="2023-05-28T00:00:00"/>
    <s v="Valid"/>
    <n v="17"/>
    <d v="2023-05-28T00:00:00"/>
    <s v="Asia"/>
    <s v="Asia → China → Shenzhen"/>
    <s v="China-2023-05"/>
    <x v="9"/>
    <s v="Shenzhen"/>
    <s v="Enterprise"/>
    <s v="Marketplace"/>
    <s v="E. Garcia"/>
    <x v="2"/>
    <s v="NET-3255"/>
    <n v="1331.19"/>
    <n v="2903.09"/>
    <s v="Valid"/>
    <n v="2903.09"/>
    <s v="High"/>
    <n v="0.14299999999999999"/>
    <s v="Valid"/>
    <n v="0.14299999999999999"/>
    <n v="8"/>
    <n v="19903.585040000002"/>
    <n v="10649.52"/>
    <n v="9254.0650400000013"/>
    <n v="0.46494463290920784"/>
    <n v="0"/>
  </r>
  <r>
    <x v="22"/>
    <d v="2025-06-14T00:00:00"/>
    <s v="Jun-2025"/>
    <s v="Q2-2025"/>
    <d v="2025-06-29T00:00:00"/>
    <s v="Valid"/>
    <n v="15"/>
    <d v="2025-06-29T00:00:00"/>
    <s v="Africa"/>
    <s v="Africa → Nigeria → Port Harcourt"/>
    <s v="Nigeria-2025-06"/>
    <x v="1"/>
    <s v="Port Harcourt"/>
    <s v="Consumer"/>
    <s v="Marketplace"/>
    <s v="M. Rossi"/>
    <x v="6"/>
    <s v="ACC-3961"/>
    <n v="730.99"/>
    <n v="1242.8399999999999"/>
    <s v="Valid"/>
    <n v="1242.8399999999999"/>
    <s v="Medium"/>
    <n v="0.12"/>
    <s v="Valid"/>
    <n v="0.12"/>
    <n v="10"/>
    <n v="10936.992"/>
    <n v="7309.9"/>
    <n v="3627.0920000000006"/>
    <n v="0.33163524303574515"/>
    <n v="0"/>
  </r>
  <r>
    <x v="23"/>
    <d v="2024-05-18T00:00:00"/>
    <s v="May-2024"/>
    <s v="Q2-2024"/>
    <d v="2024-05-23T00:00:00"/>
    <s v="Valid"/>
    <n v="5"/>
    <d v="2024-05-23T00:00:00"/>
    <s v="Americas"/>
    <s v="Americas → USA → Chicago"/>
    <s v="USA-2024-05"/>
    <x v="10"/>
    <s v="Chicago"/>
    <s v="Enterprise"/>
    <s v="Retail"/>
    <s v="H. Kim"/>
    <x v="4"/>
    <s v="LAP-4987"/>
    <n v="1274.5899999999999"/>
    <n v="2553.69"/>
    <s v="Valid"/>
    <n v="2553.69"/>
    <s v="High"/>
    <n v="0.01"/>
    <s v="Valid"/>
    <n v="0.01"/>
    <n v="8"/>
    <n v="20225.2248"/>
    <n v="10196.719999999999"/>
    <n v="10028.504800000001"/>
    <n v="0.49584145042481803"/>
    <n v="1"/>
  </r>
  <r>
    <x v="24"/>
    <d v="2023-02-07T00:00:00"/>
    <s v="Feb-2023"/>
    <s v="Q1-2023"/>
    <d v="2023-02-12T00:00:00"/>
    <s v="Valid"/>
    <n v="5"/>
    <d v="2023-02-12T00:00:00"/>
    <s v="Americas"/>
    <s v="Americas → Brazil → São Paulo"/>
    <s v="Brazil-2023-02"/>
    <x v="5"/>
    <s v="São Paulo"/>
    <s v="Education"/>
    <s v="Online"/>
    <s v="N. Brown"/>
    <x v="0"/>
    <s v="CMP-2693"/>
    <n v="948.55"/>
    <n v="2089.16"/>
    <s v="Valid"/>
    <n v="2089.16"/>
    <s v="High"/>
    <n v="7.0000000000000001E-3"/>
    <s v="Valid"/>
    <n v="7.0000000000000001E-3"/>
    <n v="12"/>
    <n v="24894.430559999997"/>
    <n v="11382.599999999999"/>
    <n v="13511.830559999999"/>
    <n v="0.54276519912492427"/>
    <n v="1"/>
  </r>
  <r>
    <x v="25"/>
    <d v="2024-06-30T00:00:00"/>
    <s v="Jun-2024"/>
    <s v="Q2-2024"/>
    <d v="2024-07-14T00:00:00"/>
    <s v="Valid"/>
    <n v="14"/>
    <d v="2024-07-14T00:00:00"/>
    <s v="Americas"/>
    <s v="Americas → Brazil → Brasília"/>
    <s v="Brazil-2024-06"/>
    <x v="5"/>
    <s v="Brasília"/>
    <s v="Education"/>
    <s v="Retail"/>
    <s v="C. Otieno"/>
    <x v="6"/>
    <s v="ACC-8683"/>
    <n v="1491.85"/>
    <n v="2583.02"/>
    <s v="Valid"/>
    <n v="2583.02"/>
    <s v="High"/>
    <n v="0.16800000000000001"/>
    <s v="Valid"/>
    <n v="0.16800000000000001"/>
    <n v="4"/>
    <n v="8596.2905599999995"/>
    <n v="5967.4"/>
    <n v="2628.8905599999998"/>
    <n v="0.30581685689321325"/>
    <n v="0"/>
  </r>
  <r>
    <x v="26"/>
    <d v="2024-11-30T00:00:00"/>
    <s v="Nov-2024"/>
    <s v="Q4-2024"/>
    <d v="2024-12-30T00:00:00"/>
    <s v="Valid"/>
    <n v="30"/>
    <d v="2024-12-30T00:00:00"/>
    <s v="Europe"/>
    <s v="Europe → France → Marseille"/>
    <s v="France-2024-11"/>
    <x v="7"/>
    <s v="Marseille"/>
    <s v="Consumer"/>
    <s v="Marketplace"/>
    <s v="F. Müller"/>
    <x v="1"/>
    <s v="PRN-4170"/>
    <n v="117.64"/>
    <n v="175.67"/>
    <s v="Valid"/>
    <n v="175.67"/>
    <s v="Low"/>
    <n v="0"/>
    <s v="Valid"/>
    <n v="0"/>
    <n v="10"/>
    <n v="1756.6999999999998"/>
    <n v="1176.4000000000001"/>
    <n v="580.29999999999973"/>
    <n v="0.33033528775545046"/>
    <n v="0"/>
  </r>
  <r>
    <x v="27"/>
    <d v="2024-07-19T00:00:00"/>
    <s v="Jul-2024"/>
    <s v="Q3-2024"/>
    <d v="2024-07-19T00:00:00"/>
    <s v="Valid"/>
    <n v="0"/>
    <d v="2024-07-19T00:00:00"/>
    <s v="Africa"/>
    <s v="Africa → Kenya → Kisumu"/>
    <s v="Kenya-2024-07"/>
    <x v="0"/>
    <s v="Kisumu"/>
    <s v="Small Business"/>
    <s v="Retail"/>
    <s v="A. Patel"/>
    <x v="3"/>
    <s v="PHN-6854"/>
    <n v="857.24"/>
    <n v="758.23"/>
    <s v="Valid"/>
    <n v="758.23"/>
    <s v="Medium"/>
    <n v="0.125"/>
    <s v="Valid"/>
    <n v="0.125"/>
    <n v="6"/>
    <n v="3980.7075"/>
    <n v="5143.4400000000005"/>
    <n v="-1162.7325000000005"/>
    <n v="-0.29209192084572921"/>
    <n v="1"/>
  </r>
  <r>
    <x v="28"/>
    <d v="2023-04-14T00:00:00"/>
    <s v="Apr-2023"/>
    <s v="Q2-2023"/>
    <d v="2023-05-14T00:00:00"/>
    <s v="Valid"/>
    <n v="30"/>
    <d v="2023-05-14T00:00:00"/>
    <s v="Africa"/>
    <s v="Africa → Kenya → Nakuru"/>
    <s v="Kenya-2023-04"/>
    <x v="0"/>
    <s v="Nakuru"/>
    <s v="Consumer"/>
    <s v="Marketplace"/>
    <s v="M. Rossi"/>
    <x v="3"/>
    <s v="PHN-1784"/>
    <n v="209.25"/>
    <n v="434.8"/>
    <s v="Valid"/>
    <n v="434.8"/>
    <s v="Low"/>
    <n v="0"/>
    <s v="Valid"/>
    <n v="0"/>
    <n v="9"/>
    <n v="3913.2000000000003"/>
    <n v="1883.25"/>
    <n v="2029.9500000000003"/>
    <n v="0.51874425022999082"/>
    <n v="0"/>
  </r>
  <r>
    <x v="29"/>
    <d v="2025-04-07T00:00:00"/>
    <s v="Apr-2025"/>
    <s v="Q2-2025"/>
    <d v="2025-04-11T00:00:00"/>
    <s v="Valid"/>
    <n v="4"/>
    <d v="2025-04-11T00:00:00"/>
    <s v="Europe"/>
    <s v="Europe → France → Lyon"/>
    <s v="France-2025-04"/>
    <x v="7"/>
    <s v="Lyon"/>
    <s v="Education"/>
    <s v="Retail"/>
    <s v="E. Garcia"/>
    <x v="2"/>
    <s v="NET-9716"/>
    <n v="754.77"/>
    <n v="1666.18"/>
    <s v="Valid"/>
    <n v="1666.18"/>
    <s v="Medium"/>
    <n v="0.13900000000000001"/>
    <s v="Valid"/>
    <n v="0.13900000000000001"/>
    <n v="14"/>
    <n v="20084.133720000002"/>
    <n v="10566.779999999999"/>
    <n v="9517.3537200000028"/>
    <n v="0.47387424584424653"/>
    <n v="1"/>
  </r>
  <r>
    <x v="30"/>
    <d v="2024-12-27T00:00:00"/>
    <s v="Dec-2024"/>
    <s v="Q4-2024"/>
    <d v="2025-01-15T00:00:00"/>
    <s v="Valid"/>
    <n v="19"/>
    <d v="2025-01-15T00:00:00"/>
    <s v="Asia"/>
    <s v="Asia → India → Delhi"/>
    <s v="India-2024-12"/>
    <x v="4"/>
    <s v="Delhi"/>
    <s v="Non-Profit"/>
    <s v="Distributor"/>
    <s v="G. Dubois"/>
    <x v="0"/>
    <s v="CMP-6919"/>
    <n v="495.59"/>
    <n v="631.78"/>
    <s v="Valid"/>
    <n v="631.78"/>
    <s v="Medium"/>
    <n v="8.6999999999999994E-2"/>
    <s v="Valid"/>
    <n v="8.6999999999999994E-2"/>
    <n v="17"/>
    <n v="9805.8573800000013"/>
    <n v="8425.0299999999988"/>
    <n v="1380.8273800000024"/>
    <n v="0.14081658813601899"/>
    <n v="0"/>
  </r>
  <r>
    <x v="31"/>
    <d v="2023-02-23T00:00:00"/>
    <s v="Feb-2023"/>
    <s v="Q1-2023"/>
    <d v="2023-03-25T00:00:00"/>
    <s v="Valid"/>
    <n v="30"/>
    <d v="2023-03-25T00:00:00"/>
    <s v="Americas"/>
    <s v="Americas → Canada → Montreal"/>
    <s v="Canada-2023-02"/>
    <x v="3"/>
    <s v="Montreal"/>
    <s v="Enterprise"/>
    <s v="Online"/>
    <s v="D. Smith"/>
    <x v="3"/>
    <s v="PHN-4854"/>
    <n v="1242.6600000000001"/>
    <n v="1794.07"/>
    <s v="Valid"/>
    <n v="1794.07"/>
    <s v="Medium"/>
    <n v="8.8999999999999996E-2"/>
    <s v="Valid"/>
    <n v="8.8999999999999996E-2"/>
    <n v="16"/>
    <n v="26150.364320000001"/>
    <n v="19882.560000000001"/>
    <n v="6267.8043199999993"/>
    <n v="0.23968325042440553"/>
    <n v="0"/>
  </r>
  <r>
    <x v="32"/>
    <d v="2025-07-24T00:00:00"/>
    <s v="Jul-2025"/>
    <s v="Q3-2025"/>
    <d v="2025-08-06T00:00:00"/>
    <s v="Valid"/>
    <n v="13"/>
    <d v="2025-08-06T00:00:00"/>
    <s v="Africa"/>
    <s v="Africa → South Africa → Johannesburg"/>
    <s v="South Africa-2025-07"/>
    <x v="11"/>
    <s v="Johannesburg"/>
    <s v="Education"/>
    <s v="Marketplace"/>
    <s v="D. Smith"/>
    <x v="2"/>
    <s v="NET-7966"/>
    <n v="1463.9"/>
    <n v="2633.02"/>
    <s v="Valid"/>
    <n v="2633.02"/>
    <s v="High"/>
    <n v="8.4000000000000005E-2"/>
    <s v="Valid"/>
    <n v="8.4000000000000005E-2"/>
    <n v="4"/>
    <n v="9647.3852800000004"/>
    <n v="5855.6"/>
    <n v="3791.7852800000001"/>
    <n v="0.39303761277791527"/>
    <n v="0"/>
  </r>
  <r>
    <x v="33"/>
    <d v="2024-04-18T00:00:00"/>
    <s v="Apr-2024"/>
    <s v="Q2-2024"/>
    <d v="2024-05-08T00:00:00"/>
    <s v="Valid"/>
    <n v="20"/>
    <d v="2024-05-08T00:00:00"/>
    <s v="Europe"/>
    <s v="Europe → United Kingdom → London"/>
    <s v="United Kingdom-2024-04"/>
    <x v="8"/>
    <s v="London"/>
    <s v="Non-Profit"/>
    <s v="Unknown"/>
    <s v="D. Smith"/>
    <x v="4"/>
    <s v="LAP-9932"/>
    <n v="645.33000000000004"/>
    <n v="1321.85"/>
    <s v="Valid"/>
    <n v="1321.85"/>
    <s v="Medium"/>
    <n v="0"/>
    <s v="Valid"/>
    <n v="0"/>
    <n v="10"/>
    <n v="13218.5"/>
    <n v="6453.3"/>
    <n v="6765.2"/>
    <n v="0.51179785906116426"/>
    <n v="0"/>
  </r>
  <r>
    <x v="34"/>
    <d v="2024-08-23T00:00:00"/>
    <s v="Aug-2024"/>
    <s v="Q3-2024"/>
    <d v="2024-08-21T00:00:00"/>
    <s v="Invalid RequiredDate"/>
    <n v="-2"/>
    <d v="2024-09-18T00:00:00"/>
    <s v="Africa"/>
    <s v="Africa → South Africa → Johannesburg"/>
    <s v="South Africa-2024-08"/>
    <x v="11"/>
    <s v="Johannesburg"/>
    <s v="Education"/>
    <s v="Retail"/>
    <s v="E. Garcia"/>
    <x v="0"/>
    <s v="CMP-1559"/>
    <n v="1432.52"/>
    <n v="3036.87"/>
    <s v="Valid"/>
    <n v="3036.87"/>
    <s v="High"/>
    <n v="0"/>
    <s v="Valid"/>
    <n v="0"/>
    <n v="9"/>
    <n v="27331.829999999998"/>
    <n v="12892.68"/>
    <n v="14439.149999999998"/>
    <n v="0.52829064135112791"/>
    <n v="1"/>
  </r>
  <r>
    <x v="35"/>
    <d v="2023-03-27T00:00:00"/>
    <s v="Mar-2023"/>
    <s v="Q1-2023"/>
    <d v="2023-04-22T00:00:00"/>
    <s v="Valid"/>
    <n v="26"/>
    <d v="2023-04-22T00:00:00"/>
    <s v="Asia"/>
    <s v="Asia → India → Delhi"/>
    <s v="India-2023-03"/>
    <x v="4"/>
    <s v="Delhi"/>
    <s v="Non-Profit"/>
    <s v="Marketplace"/>
    <s v="J. Njeri"/>
    <x v="1"/>
    <s v="PRN-4506"/>
    <n v="178.53"/>
    <n v="199.37"/>
    <s v="Valid"/>
    <n v="199.37"/>
    <s v="Low"/>
    <n v="0.10100000000000001"/>
    <s v="Valid"/>
    <n v="0.10100000000000001"/>
    <n v="37"/>
    <n v="6631.6443100000006"/>
    <n v="6605.61"/>
    <n v="26.034310000000914"/>
    <n v="3.9257699573457538E-3"/>
    <n v="0"/>
  </r>
  <r>
    <x v="36"/>
    <d v="2024-03-07T00:00:00"/>
    <s v="Mar-2024"/>
    <s v="Q1-2024"/>
    <d v="2024-03-25T00:00:00"/>
    <s v="Valid"/>
    <n v="18"/>
    <d v="2024-03-25T00:00:00"/>
    <s v="Europe"/>
    <s v="Europe → Germany → Munich"/>
    <s v="Germany-2024-03"/>
    <x v="6"/>
    <s v="Munich"/>
    <s v="Corporate"/>
    <s v="Online"/>
    <s v="B. Chen"/>
    <x v="0"/>
    <s v="CMP-7617"/>
    <n v="712.84"/>
    <n v="927.51"/>
    <s v="Valid"/>
    <n v="927.51"/>
    <s v="Medium"/>
    <n v="0.24299999999999999"/>
    <s v="Valid"/>
    <n v="0.24299999999999999"/>
    <n v="27"/>
    <n v="18957.37689"/>
    <n v="19246.68"/>
    <n v="-289.30311000000074"/>
    <n v="-1.5260714163076427E-2"/>
    <n v="0"/>
  </r>
  <r>
    <x v="37"/>
    <d v="2025-06-24T00:00:00"/>
    <s v="Jun-2025"/>
    <s v="Q2-2025"/>
    <d v="2025-07-10T00:00:00"/>
    <s v="Valid"/>
    <n v="16"/>
    <d v="2025-07-10T00:00:00"/>
    <s v="Asia"/>
    <s v="Asia → China → Shanghai"/>
    <s v="China-2025-06"/>
    <x v="9"/>
    <s v="Shanghai"/>
    <s v="Enterprise"/>
    <s v="Direct"/>
    <s v="N. Brown"/>
    <x v="0"/>
    <s v="CMP-8390"/>
    <n v="757.19"/>
    <n v="1735.41"/>
    <s v="Valid"/>
    <n v="1735.41"/>
    <s v="Medium"/>
    <n v="0.13600000000000001"/>
    <s v="Valid"/>
    <n v="0.13600000000000001"/>
    <n v="8"/>
    <n v="11995.153920000001"/>
    <n v="6057.52"/>
    <n v="5937.6339200000002"/>
    <n v="0.4950027285685718"/>
    <n v="0"/>
  </r>
  <r>
    <x v="38"/>
    <d v="2024-04-19T00:00:00"/>
    <s v="Apr-2024"/>
    <s v="Q2-2024"/>
    <d v="2024-05-06T00:00:00"/>
    <s v="Valid"/>
    <n v="17"/>
    <d v="2024-05-06T00:00:00"/>
    <s v="Africa"/>
    <s v="Africa → Nigeria → Port Harcourt"/>
    <s v="Nigeria-2024-04"/>
    <x v="1"/>
    <s v="Port Harcourt"/>
    <s v="Non-Profit"/>
    <s v="Online"/>
    <s v="A. Patel"/>
    <x v="1"/>
    <s v="PRN-7303"/>
    <n v="865.33"/>
    <n v="1395.64"/>
    <s v="Valid"/>
    <n v="1395.64"/>
    <s v="Medium"/>
    <n v="0.17499999999999999"/>
    <s v="Valid"/>
    <n v="0.17499999999999999"/>
    <n v="13"/>
    <n v="14968.239"/>
    <n v="11249.29"/>
    <n v="3718.9489999999987"/>
    <n v="0.24845601409758347"/>
    <n v="0"/>
  </r>
  <r>
    <x v="39"/>
    <d v="2023-06-17T00:00:00"/>
    <s v="Jun-2023"/>
    <s v="Q2-2023"/>
    <d v="2023-06-24T00:00:00"/>
    <s v="Valid"/>
    <n v="7"/>
    <d v="2023-06-24T00:00:00"/>
    <s v="Americas"/>
    <s v="Americas → USA → San Francisco"/>
    <s v="USA-2023-06"/>
    <x v="10"/>
    <s v="San Francisco"/>
    <s v="Corporate"/>
    <s v="Retail"/>
    <s v="I. Johnson"/>
    <x v="1"/>
    <s v="PRN-6536"/>
    <n v="313.99"/>
    <n v="454.42"/>
    <s v="Valid"/>
    <n v="454.42"/>
    <s v="Low"/>
    <n v="0.129"/>
    <s v="Valid"/>
    <n v="0.129"/>
    <n v="9"/>
    <n v="3562.1983800000003"/>
    <n v="2825.91"/>
    <n v="736.28838000000042"/>
    <n v="0.20669493988147858"/>
    <n v="1"/>
  </r>
  <r>
    <x v="40"/>
    <d v="2024-08-27T00:00:00"/>
    <s v="Aug-2024"/>
    <s v="Q3-2024"/>
    <d v="2024-09-19T00:00:00"/>
    <s v="Valid"/>
    <n v="23"/>
    <d v="2024-09-19T00:00:00"/>
    <s v="Europe"/>
    <s v="Europe → Germany → Berlin"/>
    <s v="Germany-2024-08"/>
    <x v="6"/>
    <s v="Berlin"/>
    <s v="Small Business"/>
    <s v="Direct"/>
    <s v="D. Smith"/>
    <x v="5"/>
    <s v="MON-9967"/>
    <n v="1024.01"/>
    <n v="1580.97"/>
    <s v="Valid"/>
    <n v="1580.97"/>
    <s v="Medium"/>
    <n v="3.6999999999999998E-2"/>
    <s v="Valid"/>
    <n v="3.6999999999999998E-2"/>
    <n v="27"/>
    <n v="41106.800970000004"/>
    <n v="27648.27"/>
    <n v="13458.530970000003"/>
    <n v="0.3274039976942531"/>
    <n v="0"/>
  </r>
  <r>
    <x v="41"/>
    <d v="2024-01-11T00:00:00"/>
    <s v="Jan-2024"/>
    <s v="Q1-2024"/>
    <d v="2024-02-02T00:00:00"/>
    <s v="Valid"/>
    <n v="22"/>
    <d v="2024-02-02T00:00:00"/>
    <s v="Africa"/>
    <s v="Africa → South Africa → Durban"/>
    <s v="South Africa-2024-01"/>
    <x v="11"/>
    <s v="Durban"/>
    <s v="Consumer"/>
    <s v="Online"/>
    <s v="K. Singh"/>
    <x v="2"/>
    <s v="NET-1412"/>
    <n v="1206.2"/>
    <n v="1759.79"/>
    <s v="Valid"/>
    <n v="1759.79"/>
    <s v="Medium"/>
    <n v="0"/>
    <s v="Valid"/>
    <n v="0"/>
    <n v="6"/>
    <n v="10558.74"/>
    <n v="7237.2000000000007"/>
    <n v="3321.5399999999991"/>
    <n v="0.31457730751964713"/>
    <n v="0"/>
  </r>
  <r>
    <x v="42"/>
    <d v="2024-10-25T00:00:00"/>
    <s v="Oct-2024"/>
    <s v="Q4-2024"/>
    <d v="2024-11-14T00:00:00"/>
    <s v="Valid"/>
    <n v="20"/>
    <d v="2024-11-14T00:00:00"/>
    <s v="Africa"/>
    <s v="Africa → Kenya → Mombasa"/>
    <s v="Kenya-2024-10"/>
    <x v="0"/>
    <s v="Mombasa"/>
    <s v="Corporate"/>
    <s v="Direct"/>
    <s v="H. Kim"/>
    <x v="1"/>
    <s v="PRN-3143"/>
    <n v="1396.48"/>
    <n v="3204.5"/>
    <s v="Valid"/>
    <n v="3204.5"/>
    <s v="High"/>
    <n v="0.318"/>
    <s v="High Discount"/>
    <n v="0.3"/>
    <n v="14"/>
    <n v="31404.1"/>
    <n v="19550.72"/>
    <n v="11853.379999999997"/>
    <n v="0.3774468938769141"/>
    <n v="0"/>
  </r>
  <r>
    <x v="43"/>
    <d v="2025-05-29T00:00:00"/>
    <s v="May-2025"/>
    <s v="Q2-2025"/>
    <d v="2025-06-20T00:00:00"/>
    <s v="Valid"/>
    <n v="22"/>
    <d v="2025-06-20T00:00:00"/>
    <s v="Europe"/>
    <s v="Europe → Germany → Berlin"/>
    <s v="Germany-2025-05"/>
    <x v="6"/>
    <s v="Berlin"/>
    <s v="Corporate"/>
    <s v="Direct"/>
    <s v="A. Patel"/>
    <x v="1"/>
    <s v="PRN-9787"/>
    <n v="483.47"/>
    <n v="1135.43"/>
    <s v="Valid"/>
    <n v="1135.43"/>
    <s v="Medium"/>
    <n v="0.14599999999999999"/>
    <s v="Valid"/>
    <n v="0.14599999999999999"/>
    <n v="11"/>
    <n v="10666.229420000001"/>
    <n v="5318.17"/>
    <n v="5348.0594200000014"/>
    <n v="0.50140112399719983"/>
    <n v="0"/>
  </r>
  <r>
    <x v="44"/>
    <d v="2024-05-20T00:00:00"/>
    <s v="May-2024"/>
    <s v="Q2-2024"/>
    <d v="2024-06-02T00:00:00"/>
    <s v="Valid"/>
    <n v="13"/>
    <d v="2024-06-02T00:00:00"/>
    <s v="Americas"/>
    <s v="Americas → Canada → Vancouver"/>
    <s v="Canada-2024-05"/>
    <x v="3"/>
    <s v="Vancouver"/>
    <s v="Enterprise"/>
    <s v="Marketplace"/>
    <s v="K. Singh"/>
    <x v="0"/>
    <s v="CMP-5946"/>
    <n v="675.43"/>
    <n v="996.36"/>
    <s v="Valid"/>
    <n v="996.36"/>
    <s v="Medium"/>
    <n v="0.182"/>
    <s v="Valid"/>
    <n v="0.182"/>
    <n v="22"/>
    <n v="17930.494560000003"/>
    <n v="14859.46"/>
    <n v="3071.0345600000037"/>
    <n v="0.17127439233332575"/>
    <n v="0"/>
  </r>
  <r>
    <x v="45"/>
    <d v="2023-04-19T00:00:00"/>
    <s v="Apr-2023"/>
    <s v="Q2-2023"/>
    <d v="2023-04-30T00:00:00"/>
    <s v="Valid"/>
    <n v="11"/>
    <d v="2023-04-30T00:00:00"/>
    <s v="Asia"/>
    <s v="Asia → India → Delhi"/>
    <s v="India-2023-04"/>
    <x v="4"/>
    <s v="Delhi"/>
    <s v="Small Business"/>
    <s v="Retail"/>
    <s v="A. Patel"/>
    <x v="2"/>
    <s v="NET-2062"/>
    <n v="826.55"/>
    <n v="1397.05"/>
    <s v="Valid"/>
    <n v="1397.05"/>
    <s v="Medium"/>
    <n v="0.16900000000000001"/>
    <s v="Valid"/>
    <n v="0.16900000000000001"/>
    <n v="28"/>
    <n v="32506.559399999998"/>
    <n v="23143.399999999998"/>
    <n v="9363.1594000000005"/>
    <n v="0.28803907804527601"/>
    <n v="0"/>
  </r>
  <r>
    <x v="46"/>
    <d v="2023-06-23T00:00:00"/>
    <s v="Jun-2023"/>
    <s v="Q2-2023"/>
    <d v="2023-07-03T00:00:00"/>
    <s v="Valid"/>
    <n v="10"/>
    <d v="2023-07-03T00:00:00"/>
    <s v="Africa"/>
    <s v="Africa → Nigeria → Abuja"/>
    <s v="Nigeria-2023-06"/>
    <x v="1"/>
    <s v="Abuja"/>
    <s v="Consumer"/>
    <s v="Online"/>
    <s v="J. Njeri"/>
    <x v="1"/>
    <s v="PRN-2542"/>
    <n v="337.75"/>
    <n v="548.89"/>
    <s v="Valid"/>
    <n v="548.89"/>
    <s v="Low"/>
    <n v="0"/>
    <s v="Valid"/>
    <n v="0"/>
    <n v="13"/>
    <n v="7135.57"/>
    <n v="4390.75"/>
    <n v="2744.8199999999997"/>
    <n v="0.38466723751571352"/>
    <n v="0"/>
  </r>
  <r>
    <x v="47"/>
    <d v="2024-05-14T00:00:00"/>
    <s v="May-2024"/>
    <s v="Q2-2024"/>
    <d v="2024-05-28T00:00:00"/>
    <s v="Valid"/>
    <n v="14"/>
    <d v="2024-05-28T00:00:00"/>
    <s v="Europe"/>
    <s v="Europe → United Kingdom → Birmingham"/>
    <s v="United Kingdom-2024-05"/>
    <x v="8"/>
    <s v="Birmingham"/>
    <s v="Consumer"/>
    <s v="Retail"/>
    <s v="B. Chen"/>
    <x v="2"/>
    <s v="NET-2365"/>
    <n v="1421.14"/>
    <n v="3524"/>
    <s v="Valid"/>
    <n v="3524"/>
    <s v="High"/>
    <n v="0"/>
    <s v="Valid"/>
    <n v="0"/>
    <n v="31"/>
    <n v="109244"/>
    <n v="44055.340000000004"/>
    <n v="65188.659999999996"/>
    <n v="0.59672531214528945"/>
    <n v="0"/>
  </r>
  <r>
    <x v="48"/>
    <d v="2024-10-14T00:00:00"/>
    <s v="Oct-2024"/>
    <s v="Q4-2024"/>
    <d v="2024-11-08T00:00:00"/>
    <s v="Valid"/>
    <n v="25"/>
    <d v="2024-11-08T00:00:00"/>
    <s v="Africa"/>
    <s v="Africa → Nigeria → Lagos"/>
    <s v="Nigeria-2024-10"/>
    <x v="1"/>
    <s v="Lagos"/>
    <s v="Enterprise"/>
    <s v="Online"/>
    <s v="O. Wang"/>
    <x v="2"/>
    <s v="NET-5268"/>
    <n v="859.35"/>
    <n v="1825.61"/>
    <s v="Valid"/>
    <n v="1825.61"/>
    <s v="Medium"/>
    <n v="0.187"/>
    <s v="Valid"/>
    <n v="0.187"/>
    <n v="24"/>
    <n v="35621.302319999995"/>
    <n v="20624.400000000001"/>
    <n v="14996.902319999994"/>
    <n v="0.42100937762681989"/>
    <n v="0"/>
  </r>
  <r>
    <x v="49"/>
    <d v="2023-07-10T00:00:00"/>
    <s v="Jul-2023"/>
    <s v="Q3-2023"/>
    <d v="2023-08-01T00:00:00"/>
    <s v="Valid"/>
    <n v="22"/>
    <d v="2023-08-01T00:00:00"/>
    <s v="Europe"/>
    <s v="Europe → France → Marseille"/>
    <s v="France-2023-07"/>
    <x v="7"/>
    <s v="Marseille"/>
    <s v="Consumer"/>
    <s v="Marketplace"/>
    <s v="B. Chen"/>
    <x v="1"/>
    <s v="PRN-1504"/>
    <n v="1303.56"/>
    <n v="1791.37"/>
    <s v="Valid"/>
    <n v="1791.37"/>
    <s v="Medium"/>
    <n v="0.126"/>
    <s v="Valid"/>
    <n v="0.126"/>
    <n v="22"/>
    <n v="34444.462359999998"/>
    <n v="28678.32"/>
    <n v="5766.142359999998"/>
    <n v="0.16740404596055358"/>
    <n v="0"/>
  </r>
  <r>
    <x v="50"/>
    <d v="2024-11-06T00:00:00"/>
    <s v="Nov-2024"/>
    <s v="Q4-2024"/>
    <d v="2024-11-22T00:00:00"/>
    <s v="Valid"/>
    <n v="16"/>
    <d v="2024-11-22T00:00:00"/>
    <s v="Americas"/>
    <s v="Americas → Canada → Toronto"/>
    <s v="Canada-2024-11"/>
    <x v="3"/>
    <s v="Toronto"/>
    <s v="Non-Profit"/>
    <s v="Distributor"/>
    <s v="D. Smith"/>
    <x v="6"/>
    <s v="ACC-6348"/>
    <n v="1454.11"/>
    <n v="2629.75"/>
    <s v="Valid"/>
    <n v="2629.75"/>
    <s v="High"/>
    <n v="0.29199999999999998"/>
    <s v="Valid"/>
    <n v="0.29199999999999998"/>
    <n v="8"/>
    <n v="14894.903999999999"/>
    <n v="11632.88"/>
    <n v="3262.0239999999994"/>
    <n v="0.21900268709351867"/>
    <n v="0"/>
  </r>
  <r>
    <x v="51"/>
    <d v="2024-10-17T00:00:00"/>
    <s v="Oct-2024"/>
    <s v="Q4-2024"/>
    <d v="2024-11-06T00:00:00"/>
    <s v="Valid"/>
    <n v="20"/>
    <d v="2024-11-06T00:00:00"/>
    <s v="Asia"/>
    <s v="Asia → India → Bengaluru"/>
    <s v="India-2024-10"/>
    <x v="4"/>
    <s v="Bengaluru"/>
    <s v="Enterprise"/>
    <s v="Distributor"/>
    <s v="O. Wang"/>
    <x v="5"/>
    <s v="MON-4330"/>
    <n v="72.94"/>
    <n v="106.3"/>
    <s v="Valid"/>
    <n v="106.3"/>
    <s v="Low"/>
    <n v="0.29499999999999998"/>
    <s v="Valid"/>
    <n v="0.29499999999999998"/>
    <n v="8"/>
    <n v="599.53200000000004"/>
    <n v="583.52"/>
    <n v="16.012000000000057"/>
    <n v="2.6707498515508857E-2"/>
    <n v="0"/>
  </r>
  <r>
    <x v="52"/>
    <d v="2023-03-31T00:00:00"/>
    <s v="Mar-2023"/>
    <s v="Q1-2023"/>
    <d v="2023-04-05T00:00:00"/>
    <s v="Valid"/>
    <n v="5"/>
    <d v="2023-04-05T00:00:00"/>
    <s v="Africa"/>
    <s v="Africa → Kenya → Nakuru"/>
    <s v="Kenya-2023-03"/>
    <x v="0"/>
    <s v="Nakuru"/>
    <s v="Education"/>
    <s v="Marketplace"/>
    <s v="B. Chen"/>
    <x v="4"/>
    <s v="LAP-7819"/>
    <n v="533.26"/>
    <n v="385.72"/>
    <s v="Valid"/>
    <n v="385.72"/>
    <s v="Low"/>
    <n v="0"/>
    <s v="Valid"/>
    <n v="0"/>
    <n v="15"/>
    <n v="5785.8"/>
    <n v="7998.9"/>
    <n v="-2213.0999999999995"/>
    <n v="-0.38250544436378708"/>
    <n v="1"/>
  </r>
  <r>
    <x v="53"/>
    <d v="2025-01-21T00:00:00"/>
    <s v="Jan-2025"/>
    <s v="Q1-2025"/>
    <d v="2025-02-16T00:00:00"/>
    <s v="Valid"/>
    <n v="26"/>
    <d v="2025-02-16T00:00:00"/>
    <s v="Europe"/>
    <s v="Europe → France → Lyon"/>
    <s v="France-2025-01"/>
    <x v="7"/>
    <s v="Lyon"/>
    <s v="Corporate"/>
    <s v="Distributor"/>
    <s v="O. Wang"/>
    <x v="4"/>
    <s v="LAP-3779"/>
    <n v="204.11"/>
    <n v="236.87"/>
    <s v="Valid"/>
    <n v="236.87"/>
    <s v="Low"/>
    <n v="0.182"/>
    <s v="Valid"/>
    <n v="0.182"/>
    <n v="13"/>
    <n v="2518.8755800000004"/>
    <n v="2653.4300000000003"/>
    <n v="-134.55441999999994"/>
    <n v="-5.3418446337075494E-2"/>
    <n v="0"/>
  </r>
  <r>
    <x v="54"/>
    <d v="2023-08-30T00:00:00"/>
    <s v="Aug-2023"/>
    <s v="Q3-2023"/>
    <d v="2023-09-01T00:00:00"/>
    <s v="Valid"/>
    <n v="2"/>
    <d v="2023-09-01T00:00:00"/>
    <s v="Europe"/>
    <s v="Europe → Germany → Munich"/>
    <s v="Germany-2023-08"/>
    <x v="6"/>
    <s v="Munich"/>
    <s v="Corporate"/>
    <s v="Direct"/>
    <s v="N. Brown"/>
    <x v="2"/>
    <s v="NET-9989"/>
    <n v="44.42"/>
    <n v="41.9"/>
    <s v="Valid"/>
    <n v="41.9"/>
    <s v="Low"/>
    <n v="0.14399999999999999"/>
    <s v="Valid"/>
    <n v="0.14399999999999999"/>
    <n v="6"/>
    <n v="215.19839999999996"/>
    <n v="266.52"/>
    <n v="-51.321600000000018"/>
    <n v="-0.23848504449847224"/>
    <n v="1"/>
  </r>
  <r>
    <x v="55"/>
    <d v="2025-04-06T00:00:00"/>
    <s v="Apr-2025"/>
    <s v="Q2-2025"/>
    <d v="2025-04-30T00:00:00"/>
    <s v="Valid"/>
    <n v="24"/>
    <d v="2025-04-30T00:00:00"/>
    <s v="Americas"/>
    <s v="Americas → Brazil → Brasília"/>
    <s v="Brazil-2025-04"/>
    <x v="5"/>
    <s v="Brasília"/>
    <s v="Education"/>
    <s v="Online"/>
    <s v="K. Singh"/>
    <x v="5"/>
    <s v="MON-4925"/>
    <n v="855.78"/>
    <n v="977.38"/>
    <s v="Valid"/>
    <n v="977.38"/>
    <s v="Medium"/>
    <n v="0.14699999999999999"/>
    <s v="Valid"/>
    <n v="0.14699999999999999"/>
    <n v="38"/>
    <n v="31680.795320000001"/>
    <n v="32519.64"/>
    <n v="-838.84467999999833"/>
    <n v="-2.6478018355506307E-2"/>
    <n v="0"/>
  </r>
  <r>
    <x v="56"/>
    <d v="2025-02-09T00:00:00"/>
    <s v="Feb-2025"/>
    <s v="Q1-2025"/>
    <d v="2025-03-01T00:00:00"/>
    <s v="Valid"/>
    <n v="20"/>
    <d v="2025-03-01T00:00:00"/>
    <s v="Americas"/>
    <s v="Americas → Brazil → São Paulo"/>
    <s v="Brazil-2025-02"/>
    <x v="5"/>
    <s v="São Paulo"/>
    <s v="Corporate"/>
    <s v="Distributor"/>
    <s v="B. Chen"/>
    <x v="4"/>
    <s v="LAP-6989"/>
    <n v="1154.6400000000001"/>
    <n v="2794.13"/>
    <s v="Valid"/>
    <n v="2794.13"/>
    <s v="High"/>
    <n v="3.5000000000000003E-2"/>
    <s v="Valid"/>
    <n v="3.5000000000000003E-2"/>
    <n v="11"/>
    <n v="29659.68995"/>
    <n v="12701.04"/>
    <n v="16958.649949999999"/>
    <n v="0.57177435025749479"/>
    <n v="0"/>
  </r>
  <r>
    <x v="57"/>
    <d v="2024-12-17T00:00:00"/>
    <s v="Dec-2024"/>
    <s v="Q4-2024"/>
    <d v="2024-12-18T00:00:00"/>
    <s v="Valid"/>
    <n v="1"/>
    <d v="2024-12-18T00:00:00"/>
    <s v="Europe"/>
    <s v="Europe → Germany → Munich"/>
    <s v="Germany-2024-12"/>
    <x v="6"/>
    <s v="Munich"/>
    <s v="Education"/>
    <s v="Retail"/>
    <s v="L. Okafor"/>
    <x v="6"/>
    <s v="ACC-5780"/>
    <n v="346.82"/>
    <n v="701.95"/>
    <s v="Valid"/>
    <n v="701.95"/>
    <s v="Medium"/>
    <n v="0.14699999999999999"/>
    <s v="Valid"/>
    <n v="0.14699999999999999"/>
    <n v="8"/>
    <n v="4790.1068000000005"/>
    <n v="2774.56"/>
    <n v="2015.5468000000005"/>
    <n v="0.42077283120284509"/>
    <n v="1"/>
  </r>
  <r>
    <x v="58"/>
    <d v="2025-06-09T00:00:00"/>
    <s v="Jun-2025"/>
    <s v="Q2-2025"/>
    <d v="2025-06-18T00:00:00"/>
    <s v="Valid"/>
    <n v="9"/>
    <d v="2025-06-18T00:00:00"/>
    <s v="Europe"/>
    <s v="Europe → France → Marseille"/>
    <s v="France-2025-06"/>
    <x v="7"/>
    <s v="Marseille"/>
    <s v="Small Business"/>
    <s v="Marketplace"/>
    <s v="H. Kim"/>
    <x v="6"/>
    <s v="ACC-1770"/>
    <n v="1225.5"/>
    <n v="-5.27"/>
    <s v="Invalid Price"/>
    <n v="1242.0129545454542"/>
    <s v="Medium"/>
    <n v="7.4999999999999997E-2"/>
    <s v="Valid"/>
    <n v="7.4999999999999997E-2"/>
    <n v="56"/>
    <n v="64336.27104545453"/>
    <n v="68628"/>
    <n v="-4291.7289545454696"/>
    <n v="-6.6707766626904738E-2"/>
    <n v="0"/>
  </r>
  <r>
    <x v="59"/>
    <d v="2025-05-02T00:00:00"/>
    <s v="May-2025"/>
    <s v="Q2-2025"/>
    <d v="2025-05-13T00:00:00"/>
    <s v="Valid"/>
    <n v="11"/>
    <d v="2025-05-13T00:00:00"/>
    <s v="Africa"/>
    <s v="Africa → Kenya → Nakuru"/>
    <s v="Kenya-2025-05"/>
    <x v="0"/>
    <s v="Nakuru"/>
    <s v="Small Business"/>
    <s v="Online"/>
    <s v="A. Patel"/>
    <x v="6"/>
    <s v="ACC-2252"/>
    <n v="1057.5999999999999"/>
    <n v="1437.06"/>
    <s v="Valid"/>
    <n v="1437.06"/>
    <s v="Medium"/>
    <n v="0.20499999999999999"/>
    <s v="Valid"/>
    <n v="0.20499999999999999"/>
    <n v="4"/>
    <n v="4569.8508000000002"/>
    <n v="4230.3999999999996"/>
    <n v="339.45080000000053"/>
    <n v="7.4280499485891424E-2"/>
    <n v="0"/>
  </r>
  <r>
    <x v="60"/>
    <d v="2024-03-10T00:00:00"/>
    <s v="Mar-2024"/>
    <s v="Q1-2024"/>
    <d v="2024-04-09T00:00:00"/>
    <s v="Valid"/>
    <n v="30"/>
    <d v="2024-04-09T00:00:00"/>
    <s v="Europe"/>
    <s v="Europe → France → Lyon"/>
    <s v="France-2024-03"/>
    <x v="7"/>
    <s v="Lyon"/>
    <s v="Corporate"/>
    <s v="Direct"/>
    <s v="I. Johnson"/>
    <x v="0"/>
    <s v="CMP-8002"/>
    <n v="1176.56"/>
    <n v="1911.89"/>
    <s v="Valid"/>
    <n v="1911.89"/>
    <s v="Medium"/>
    <n v="0.11899999999999999"/>
    <s v="Valid"/>
    <n v="0.11899999999999999"/>
    <n v="20"/>
    <n v="33687.501800000005"/>
    <n v="23531.199999999997"/>
    <n v="10156.301800000008"/>
    <n v="0.30148575160892477"/>
    <n v="0"/>
  </r>
  <r>
    <x v="61"/>
    <d v="2025-09-10T00:00:00"/>
    <s v="Sep-2025"/>
    <s v="Q3-2025"/>
    <d v="2025-09-12T00:00:00"/>
    <s v="Valid"/>
    <n v="2"/>
    <d v="2025-09-12T00:00:00"/>
    <s v="Asia"/>
    <s v="Asia → Japan → Tokyo"/>
    <s v="Japan-2025-09"/>
    <x v="2"/>
    <s v="Tokyo"/>
    <s v="Consumer"/>
    <s v="Online"/>
    <s v="O. Wang"/>
    <x v="0"/>
    <s v="CMP-6971"/>
    <n v="1470.15"/>
    <n v="2593.7800000000002"/>
    <s v="Valid"/>
    <n v="2593.7800000000002"/>
    <s v="High"/>
    <n v="0.11"/>
    <s v="Valid"/>
    <n v="0.11"/>
    <n v="12"/>
    <n v="27701.570400000001"/>
    <n v="17641.800000000003"/>
    <n v="10059.770399999998"/>
    <n v="0.36314801849645306"/>
    <n v="1"/>
  </r>
  <r>
    <x v="62"/>
    <d v="2025-04-27T00:00:00"/>
    <s v="Apr-2025"/>
    <s v="Q2-2025"/>
    <d v="2025-05-25T00:00:00"/>
    <s v="Valid"/>
    <n v="28"/>
    <d v="2025-05-25T00:00:00"/>
    <s v="Europe"/>
    <s v="Europe → France → Paris"/>
    <s v="France-2025-04"/>
    <x v="7"/>
    <s v="Paris"/>
    <s v="Small Business"/>
    <s v="Marketplace"/>
    <s v="I. Johnson"/>
    <x v="3"/>
    <s v="PHN-8350"/>
    <n v="603.45000000000005"/>
    <n v="1244.08"/>
    <s v="Valid"/>
    <n v="1244.08"/>
    <s v="Medium"/>
    <n v="0.2"/>
    <s v="Valid"/>
    <n v="0.2"/>
    <n v="11"/>
    <n v="10947.904"/>
    <n v="6637.9500000000007"/>
    <n v="4309.9539999999997"/>
    <n v="0.39367846119220623"/>
    <n v="0"/>
  </r>
  <r>
    <x v="63"/>
    <d v="2024-11-02T00:00:00"/>
    <s v="Nov-2024"/>
    <s v="Q4-2024"/>
    <d v="2024-11-18T00:00:00"/>
    <s v="Valid"/>
    <n v="16"/>
    <d v="2024-11-18T00:00:00"/>
    <s v="Asia"/>
    <s v="Asia → India → Mumbai"/>
    <s v="India-2024-11"/>
    <x v="4"/>
    <s v="Mumbai"/>
    <s v="Small Business"/>
    <s v="Distributor"/>
    <s v="O. Wang"/>
    <x v="5"/>
    <s v="MON-5188"/>
    <n v="1233.58"/>
    <n v="1912.51"/>
    <s v="Valid"/>
    <n v="1912.51"/>
    <s v="High"/>
    <n v="0.255"/>
    <s v="Valid"/>
    <n v="0.255"/>
    <n v="51"/>
    <n v="72665.817450000002"/>
    <n v="62912.579999999994"/>
    <n v="9753.2374500000078"/>
    <n v="0.134220432553601"/>
    <n v="0"/>
  </r>
  <r>
    <x v="64"/>
    <d v="2023-02-15T00:00:00"/>
    <s v="Feb-2023"/>
    <s v="Q1-2023"/>
    <d v="2023-02-26T00:00:00"/>
    <s v="Valid"/>
    <n v="11"/>
    <d v="2023-02-26T00:00:00"/>
    <s v="Africa"/>
    <s v="Africa → South Africa → Johannesburg"/>
    <s v="South Africa-2023-02"/>
    <x v="11"/>
    <s v="Johannesburg"/>
    <s v="Non-Profit"/>
    <s v="Retail"/>
    <s v="K. Singh"/>
    <x v="4"/>
    <s v="LAP-3393"/>
    <n v="498.5"/>
    <n v="755.87"/>
    <s v="Valid"/>
    <n v="755.87"/>
    <s v="Medium"/>
    <n v="0.13"/>
    <s v="Valid"/>
    <n v="0.13"/>
    <n v="40"/>
    <n v="26304.275999999998"/>
    <n v="19940"/>
    <n v="6364.275999999998"/>
    <n v="0.24194834330357537"/>
    <n v="0"/>
  </r>
  <r>
    <x v="65"/>
    <d v="2023-12-03T00:00:00"/>
    <s v="Dec-2023"/>
    <s v="Q4-2023"/>
    <d v="2023-12-26T00:00:00"/>
    <s v="Valid"/>
    <n v="23"/>
    <d v="2023-12-26T00:00:00"/>
    <s v="Americas"/>
    <s v="Americas → Brazil → Rio de Janeiro"/>
    <s v="Brazil-2023-12"/>
    <x v="5"/>
    <s v="Rio de Janeiro"/>
    <s v="Education"/>
    <s v="Retail"/>
    <s v="O. Wang"/>
    <x v="3"/>
    <s v="PHN-4644"/>
    <n v="1303.1099999999999"/>
    <n v="1145.67"/>
    <s v="Valid"/>
    <n v="1145.67"/>
    <s v="Medium"/>
    <n v="0.184"/>
    <s v="Valid"/>
    <n v="0.184"/>
    <n v="13"/>
    <n v="12153.267360000002"/>
    <n v="16940.43"/>
    <n v="-4787.1626399999986"/>
    <n v="-0.39389922875851208"/>
    <n v="0"/>
  </r>
  <r>
    <x v="66"/>
    <d v="2023-03-19T00:00:00"/>
    <s v="Mar-2023"/>
    <s v="Q1-2023"/>
    <d v="2023-04-09T00:00:00"/>
    <s v="Valid"/>
    <n v="21"/>
    <d v="2023-04-09T00:00:00"/>
    <s v="Europe"/>
    <s v="Europe → United Kingdom → Manchester"/>
    <s v="United Kingdom-2023-03"/>
    <x v="8"/>
    <s v="Manchester"/>
    <s v="Consumer"/>
    <s v="Retail"/>
    <s v="L. Okafor"/>
    <x v="6"/>
    <s v="ACC-9150"/>
    <n v="1082.17"/>
    <n v="1234.0999999999999"/>
    <s v="Valid"/>
    <n v="1234.0999999999999"/>
    <s v="Medium"/>
    <n v="0.189"/>
    <s v="Valid"/>
    <n v="0.189"/>
    <n v="16"/>
    <n v="16013.681599999998"/>
    <n v="17314.72"/>
    <n v="-1301.0384000000031"/>
    <n v="-8.124542703534228E-2"/>
    <n v="0"/>
  </r>
  <r>
    <x v="67"/>
    <d v="2024-05-22T00:00:00"/>
    <s v="May-2024"/>
    <s v="Q2-2024"/>
    <d v="2024-06-06T00:00:00"/>
    <s v="Valid"/>
    <n v="15"/>
    <d v="2024-06-06T00:00:00"/>
    <s v="Asia"/>
    <s v="Asia → Japan → Nagoya"/>
    <s v="Japan-2024-05"/>
    <x v="2"/>
    <s v="Nagoya"/>
    <s v="Corporate"/>
    <s v="Distributor"/>
    <s v="C. Otieno"/>
    <x v="5"/>
    <s v="MON-6870"/>
    <n v="673.88"/>
    <n v="1228.01"/>
    <s v="Valid"/>
    <n v="1228.01"/>
    <s v="Medium"/>
    <n v="0.105"/>
    <s v="Valid"/>
    <n v="0.105"/>
    <n v="13"/>
    <n v="14287.896349999999"/>
    <n v="8760.44"/>
    <n v="5527.4563499999986"/>
    <n v="0.38686285332689996"/>
    <n v="0"/>
  </r>
  <r>
    <x v="68"/>
    <d v="2023-08-19T00:00:00"/>
    <s v="Aug-2023"/>
    <s v="Q3-2023"/>
    <d v="2023-09-07T00:00:00"/>
    <s v="Valid"/>
    <n v="19"/>
    <d v="2023-09-07T00:00:00"/>
    <s v="Africa"/>
    <s v="Africa → South Africa → Johannesburg"/>
    <s v="South Africa-2023-08"/>
    <x v="11"/>
    <s v="Johannesburg"/>
    <s v="Enterprise"/>
    <s v="Retail"/>
    <s v="D. Smith"/>
    <x v="5"/>
    <s v="MON-2296"/>
    <n v="494.61"/>
    <n v="605.23"/>
    <s v="Valid"/>
    <n v="605.23"/>
    <s v="Low"/>
    <n v="0.20399999999999999"/>
    <s v="Valid"/>
    <n v="0.20399999999999999"/>
    <n v="18"/>
    <n v="8671.7354400000004"/>
    <n v="8902.98"/>
    <n v="-231.24455999999918"/>
    <n v="-2.6666468505639647E-2"/>
    <n v="0"/>
  </r>
  <r>
    <x v="69"/>
    <d v="2023-04-21T00:00:00"/>
    <s v="Apr-2023"/>
    <s v="Q2-2023"/>
    <d v="2023-05-10T00:00:00"/>
    <s v="Valid"/>
    <n v="19"/>
    <d v="2023-05-10T00:00:00"/>
    <s v="Asia"/>
    <s v="Asia → China → Shanghai"/>
    <s v="China-2023-04"/>
    <x v="9"/>
    <s v="Shanghai"/>
    <s v="Corporate"/>
    <s v="Retail"/>
    <s v="A. Patel"/>
    <x v="0"/>
    <s v="CMP-7371"/>
    <n v="882.33"/>
    <n v="1880.15"/>
    <s v="Valid"/>
    <n v="1880.15"/>
    <s v="Medium"/>
    <n v="0.05"/>
    <s v="Valid"/>
    <n v="0.05"/>
    <n v="5"/>
    <n v="8930.7124999999996"/>
    <n v="4411.6500000000005"/>
    <n v="4519.0624999999991"/>
    <n v="0.50601365792482955"/>
    <n v="0"/>
  </r>
  <r>
    <x v="70"/>
    <d v="2024-03-18T00:00:00"/>
    <s v="Mar-2024"/>
    <s v="Q1-2024"/>
    <d v="2024-03-21T00:00:00"/>
    <s v="Valid"/>
    <n v="3"/>
    <d v="2024-03-21T00:00:00"/>
    <s v="Europe"/>
    <s v="Europe → Germany → Munich"/>
    <s v="Germany-2024-03"/>
    <x v="6"/>
    <s v="Munich"/>
    <s v="Small Business"/>
    <s v="Online"/>
    <s v="M. Rossi"/>
    <x v="6"/>
    <s v="ACC-2761"/>
    <n v="910.63"/>
    <n v="1269.4000000000001"/>
    <s v="Valid"/>
    <n v="1269.4000000000001"/>
    <s v="Medium"/>
    <n v="6.8000000000000005E-2"/>
    <s v="Valid"/>
    <n v="6.8000000000000005E-2"/>
    <n v="9"/>
    <n v="10647.727199999999"/>
    <n v="8195.67"/>
    <n v="2452.0571999999993"/>
    <n v="0.23028925834989455"/>
    <n v="1"/>
  </r>
  <r>
    <x v="71"/>
    <d v="2025-04-09T00:00:00"/>
    <s v="Apr-2025"/>
    <s v="Q2-2025"/>
    <d v="2025-05-06T00:00:00"/>
    <s v="Valid"/>
    <n v="27"/>
    <d v="2025-05-06T00:00:00"/>
    <s v="Americas"/>
    <s v="Americas → Brazil → Brasília"/>
    <s v="Brazil-2025-04"/>
    <x v="5"/>
    <s v="Brasília"/>
    <s v="Enterprise"/>
    <s v="Marketplace"/>
    <s v="F. Müller"/>
    <x v="4"/>
    <s v="LAP-4517"/>
    <n v="264.19"/>
    <n v="620.92999999999995"/>
    <s v="Valid"/>
    <n v="620.92999999999995"/>
    <s v="Medium"/>
    <n v="0.14199999999999999"/>
    <s v="Valid"/>
    <n v="0.14199999999999999"/>
    <n v="12"/>
    <n v="6393.0952799999995"/>
    <n v="3170.2799999999997"/>
    <n v="3222.8152799999998"/>
    <n v="0.50410875152794532"/>
    <n v="0"/>
  </r>
  <r>
    <x v="72"/>
    <d v="2024-04-12T00:00:00"/>
    <s v="Apr-2024"/>
    <s v="Q2-2024"/>
    <d v="2024-05-07T00:00:00"/>
    <s v="Valid"/>
    <n v="25"/>
    <d v="2024-05-07T00:00:00"/>
    <s v="Africa"/>
    <s v="Africa → South Africa → Johannesburg"/>
    <s v="South Africa-2024-04"/>
    <x v="11"/>
    <s v="Johannesburg"/>
    <s v="Education"/>
    <s v="Distributor"/>
    <s v="A. Patel"/>
    <x v="4"/>
    <s v="LAP-8489"/>
    <n v="1376.51"/>
    <n v="1455.91"/>
    <s v="Valid"/>
    <n v="1455.91"/>
    <s v="Medium"/>
    <n v="0.185"/>
    <s v="Valid"/>
    <n v="0.185"/>
    <n v="17"/>
    <n v="20171.63305"/>
    <n v="23400.67"/>
    <n v="-3229.0369499999979"/>
    <n v="-0.1600781127634085"/>
    <n v="0"/>
  </r>
  <r>
    <x v="73"/>
    <d v="2024-12-15T00:00:00"/>
    <s v="Dec-2024"/>
    <s v="Q4-2024"/>
    <d v="2024-12-20T00:00:00"/>
    <s v="Valid"/>
    <n v="5"/>
    <d v="2024-12-20T00:00:00"/>
    <s v="Asia"/>
    <s v="Asia → China → Shenzhen"/>
    <s v="China-2024-12"/>
    <x v="9"/>
    <s v="Shenzhen"/>
    <s v="Small Business"/>
    <s v="Direct"/>
    <s v="J. Njeri"/>
    <x v="2"/>
    <s v="NET-1846"/>
    <n v="717.55"/>
    <n v="546.42999999999995"/>
    <s v="Valid"/>
    <n v="546.42999999999995"/>
    <s v="Low"/>
    <n v="4.7E-2"/>
    <s v="Valid"/>
    <n v="4.7E-2"/>
    <n v="18"/>
    <n v="9373.460219999999"/>
    <n v="12915.9"/>
    <n v="-3542.4397800000006"/>
    <n v="-0.37792231437026369"/>
    <n v="1"/>
  </r>
  <r>
    <x v="74"/>
    <d v="2023-05-20T00:00:00"/>
    <s v="May-2023"/>
    <s v="Q2-2023"/>
    <d v="2023-05-18T00:00:00"/>
    <s v="Invalid RequiredDate"/>
    <n v="-2"/>
    <d v="2023-06-15T00:00:00"/>
    <s v="Africa"/>
    <s v="Africa → South Africa → Durban"/>
    <s v="South Africa-2023-05"/>
    <x v="11"/>
    <s v="Durban"/>
    <s v="Corporate"/>
    <s v="Distributor"/>
    <s v="A. Patel"/>
    <x v="0"/>
    <s v="CMP-5208"/>
    <n v="917.88"/>
    <n v="1347.92"/>
    <s v="Valid"/>
    <n v="1347.92"/>
    <s v="Medium"/>
    <n v="0.34300000000000003"/>
    <s v="High Discount"/>
    <n v="0.3"/>
    <n v="5"/>
    <n v="4717.72"/>
    <n v="4589.3999999999996"/>
    <n v="128.32000000000062"/>
    <n v="2.7199579457873848E-2"/>
    <n v="1"/>
  </r>
  <r>
    <x v="75"/>
    <d v="2023-09-18T00:00:00"/>
    <s v="Sep-2023"/>
    <s v="Q3-2023"/>
    <d v="2023-10-08T00:00:00"/>
    <s v="Valid"/>
    <n v="20"/>
    <d v="2023-10-08T00:00:00"/>
    <s v="Asia"/>
    <s v="Asia → India → Delhi"/>
    <s v="India-2023-09"/>
    <x v="4"/>
    <s v="Delhi"/>
    <s v="Small Business"/>
    <s v="Direct"/>
    <s v="B. Chen"/>
    <x v="0"/>
    <s v="CMP-1009"/>
    <n v="825.64"/>
    <n v="1108.43"/>
    <s v="Valid"/>
    <n v="1108.43"/>
    <s v="Medium"/>
    <n v="0.114"/>
    <s v="Valid"/>
    <n v="0.114"/>
    <n v="7"/>
    <n v="6874.4828600000001"/>
    <n v="5779.48"/>
    <n v="1095.0028600000005"/>
    <n v="0.15928512475773349"/>
    <n v="0"/>
  </r>
  <r>
    <x v="76"/>
    <d v="2024-08-28T00:00:00"/>
    <s v="Aug-2024"/>
    <s v="Q3-2024"/>
    <d v="2024-09-25T00:00:00"/>
    <s v="Valid"/>
    <n v="28"/>
    <d v="2024-09-25T00:00:00"/>
    <s v="Americas"/>
    <s v="Americas → Brazil → Rio de Janeiro"/>
    <s v="Brazil-2024-08"/>
    <x v="5"/>
    <s v="Rio de Janeiro"/>
    <s v="Non-Profit"/>
    <s v="Online"/>
    <s v="Unassigned"/>
    <x v="6"/>
    <s v="ACC-4490"/>
    <n v="1394.65"/>
    <n v="3144.1"/>
    <s v="Valid"/>
    <n v="3144.1"/>
    <s v="High"/>
    <n v="0.13400000000000001"/>
    <s v="Valid"/>
    <n v="0.13400000000000001"/>
    <n v="13"/>
    <n v="35396.277799999996"/>
    <n v="18130.45"/>
    <n v="17265.827799999995"/>
    <n v="0.4877865378263021"/>
    <n v="0"/>
  </r>
  <r>
    <x v="77"/>
    <d v="2024-06-30T00:00:00"/>
    <s v="Jun-2024"/>
    <s v="Q2-2024"/>
    <d v="2024-06-28T00:00:00"/>
    <s v="Invalid RequiredDate"/>
    <n v="-2"/>
    <d v="2024-07-26T00:00:00"/>
    <s v="Americas"/>
    <s v="Americas → Brazil → Rio de Janeiro"/>
    <s v="Brazil-2024-06"/>
    <x v="5"/>
    <s v="Rio de Janeiro"/>
    <s v="Small Business"/>
    <s v="Direct"/>
    <s v="L. Okafor"/>
    <x v="6"/>
    <s v="ACC-9162"/>
    <n v="1112.98"/>
    <n v="2095.73"/>
    <s v="Valid"/>
    <n v="2095.73"/>
    <s v="High"/>
    <n v="7.1999999999999995E-2"/>
    <s v="Valid"/>
    <n v="7.1999999999999995E-2"/>
    <n v="17"/>
    <n v="33062.236480000007"/>
    <n v="18920.66"/>
    <n v="14141.576480000007"/>
    <n v="0.42772594916724777"/>
    <n v="1"/>
  </r>
  <r>
    <x v="78"/>
    <d v="2023-06-14T00:00:00"/>
    <s v="Jun-2023"/>
    <s v="Q2-2023"/>
    <d v="2023-06-16T00:00:00"/>
    <s v="Valid"/>
    <n v="2"/>
    <d v="2023-06-16T00:00:00"/>
    <s v="Europe"/>
    <s v="Europe → United Kingdom → Manchester"/>
    <s v="United Kingdom-2023-06"/>
    <x v="8"/>
    <s v="Manchester"/>
    <s v="Non-Profit"/>
    <s v="Direct"/>
    <s v="K. Singh"/>
    <x v="0"/>
    <s v="CMP-5820"/>
    <n v="357.36"/>
    <n v="703.62"/>
    <s v="Valid"/>
    <n v="703.62"/>
    <s v="Medium"/>
    <n v="0.25700000000000001"/>
    <s v="Valid"/>
    <n v="0.25700000000000001"/>
    <n v="20"/>
    <n v="10455.7932"/>
    <n v="7147.2000000000007"/>
    <n v="3308.5931999999993"/>
    <n v="0.31643636563125593"/>
    <n v="1"/>
  </r>
  <r>
    <x v="79"/>
    <d v="2024-11-21T00:00:00"/>
    <s v="Nov-2024"/>
    <s v="Q4-2024"/>
    <d v="2024-12-21T00:00:00"/>
    <s v="Valid"/>
    <n v="30"/>
    <d v="2024-12-21T00:00:00"/>
    <s v="Europe"/>
    <s v="Europe → France → Marseille"/>
    <s v="France-2024-11"/>
    <x v="7"/>
    <s v="Marseille"/>
    <s v="Small Business"/>
    <s v="Direct"/>
    <s v="I. Johnson"/>
    <x v="5"/>
    <s v="MON-7943"/>
    <n v="1122.68"/>
    <n v="1997.19"/>
    <s v="Valid"/>
    <n v="1997.19"/>
    <s v="High"/>
    <n v="0.186"/>
    <s v="Valid"/>
    <n v="0.186"/>
    <n v="3"/>
    <n v="4877.1379800000004"/>
    <n v="3368.04"/>
    <n v="1509.0979800000005"/>
    <n v="0.30942285951073306"/>
    <n v="0"/>
  </r>
  <r>
    <x v="80"/>
    <d v="2023-02-08T00:00:00"/>
    <s v="Feb-2023"/>
    <s v="Q1-2023"/>
    <d v="2023-02-11T00:00:00"/>
    <s v="Valid"/>
    <n v="3"/>
    <d v="2023-02-11T00:00:00"/>
    <s v="Africa"/>
    <s v="Africa → South Africa → Cape Town"/>
    <s v="South Africa-2023-02"/>
    <x v="11"/>
    <s v="Cape Town"/>
    <s v="Corporate"/>
    <s v="Direct"/>
    <s v="M. Rossi"/>
    <x v="2"/>
    <s v="NET-5018"/>
    <n v="1410.05"/>
    <n v="2763.95"/>
    <s v="Valid"/>
    <n v="2763.95"/>
    <s v="High"/>
    <n v="0.161"/>
    <s v="Valid"/>
    <n v="0.161"/>
    <n v="26"/>
    <n v="60292.805299999993"/>
    <n v="36661.299999999996"/>
    <n v="23631.505299999997"/>
    <n v="0.39194569206750779"/>
    <n v="1"/>
  </r>
  <r>
    <x v="81"/>
    <d v="2023-08-19T00:00:00"/>
    <s v="Aug-2023"/>
    <s v="Q3-2023"/>
    <d v="2023-09-12T00:00:00"/>
    <s v="Valid"/>
    <n v="24"/>
    <d v="2023-09-12T00:00:00"/>
    <s v="Americas"/>
    <s v="Americas → Canada → Vancouver"/>
    <s v="Canada-2023-08"/>
    <x v="3"/>
    <s v="Vancouver"/>
    <s v="Enterprise"/>
    <s v="Retail"/>
    <s v="I. Johnson"/>
    <x v="1"/>
    <s v="PRN-9669"/>
    <n v="1183.95"/>
    <n v="1503.53"/>
    <s v="Valid"/>
    <n v="1503.53"/>
    <s v="Medium"/>
    <n v="0.24099999999999999"/>
    <s v="Valid"/>
    <n v="0.24099999999999999"/>
    <n v="16"/>
    <n v="18258.868320000001"/>
    <n v="18943.2"/>
    <n v="-684.33167999999932"/>
    <n v="-3.7479413729623705E-2"/>
    <n v="0"/>
  </r>
  <r>
    <x v="82"/>
    <d v="2025-05-14T00:00:00"/>
    <s v="May-2025"/>
    <s v="Q2-2025"/>
    <d v="2025-05-24T00:00:00"/>
    <s v="Valid"/>
    <n v="10"/>
    <d v="2025-05-24T00:00:00"/>
    <s v="Europe"/>
    <s v="Europe → France → Paris"/>
    <s v="France-2025-05"/>
    <x v="7"/>
    <s v="Paris"/>
    <s v="Small Business"/>
    <s v="Marketplace"/>
    <s v="K. Singh"/>
    <x v="0"/>
    <s v="CMP-2865"/>
    <n v="170.39"/>
    <n v="388.04"/>
    <s v="Valid"/>
    <n v="388.04"/>
    <s v="Low"/>
    <n v="8.4000000000000005E-2"/>
    <s v="Valid"/>
    <n v="8.4000000000000005E-2"/>
    <n v="15"/>
    <n v="5331.6696000000002"/>
    <n v="2555.85"/>
    <n v="2775.8196000000003"/>
    <n v="0.52062858508711796"/>
    <n v="0"/>
  </r>
  <r>
    <x v="83"/>
    <d v="2025-04-23T00:00:00"/>
    <s v="Apr-2025"/>
    <s v="Q2-2025"/>
    <d v="2025-04-22T00:00:00"/>
    <s v="Invalid RequiredDate"/>
    <n v="-1"/>
    <d v="2025-05-19T00:00:00"/>
    <s v="Americas"/>
    <s v="Americas → USA → San Francisco"/>
    <s v="USA-2025-04"/>
    <x v="10"/>
    <s v="San Francisco"/>
    <s v="Non-Profit"/>
    <s v="Distributor"/>
    <s v="D. Smith"/>
    <x v="5"/>
    <s v="MON-3371"/>
    <n v="23.24"/>
    <n v="44.57"/>
    <s v="Valid"/>
    <n v="44.57"/>
    <s v="Low"/>
    <n v="0.215"/>
    <s v="Valid"/>
    <n v="0.215"/>
    <n v="15"/>
    <n v="524.81174999999996"/>
    <n v="348.59999999999997"/>
    <n v="176.21174999999999"/>
    <n v="0.33576182316802167"/>
    <n v="1"/>
  </r>
  <r>
    <x v="84"/>
    <d v="2025-03-25T00:00:00"/>
    <s v="Mar-2025"/>
    <s v="Q1-2025"/>
    <d v="2025-04-17T00:00:00"/>
    <s v="Valid"/>
    <n v="23"/>
    <d v="2025-04-17T00:00:00"/>
    <s v="Europe"/>
    <s v="Europe → United Kingdom → London"/>
    <s v="United Kingdom-2025-03"/>
    <x v="8"/>
    <s v="London"/>
    <s v="Consumer"/>
    <s v="Retail"/>
    <s v="H. Kim"/>
    <x v="2"/>
    <s v="NET-7166"/>
    <n v="1421.19"/>
    <n v="1808.26"/>
    <s v="Valid"/>
    <n v="1808.26"/>
    <s v="Medium"/>
    <n v="0.104"/>
    <s v="Valid"/>
    <n v="0.104"/>
    <n v="13"/>
    <n v="21062.61248"/>
    <n v="18475.47"/>
    <n v="2587.1424799999986"/>
    <n v="0.12283103449093123"/>
    <n v="0"/>
  </r>
  <r>
    <x v="85"/>
    <d v="2023-12-22T00:00:00"/>
    <s v="Dec-2023"/>
    <s v="Q4-2023"/>
    <d v="2023-12-23T00:00:00"/>
    <s v="Valid"/>
    <n v="1"/>
    <d v="2023-12-23T00:00:00"/>
    <s v="Africa"/>
    <s v="Africa → South Africa → Cape Town"/>
    <s v="South Africa-2023-12"/>
    <x v="11"/>
    <s v="Cape Town"/>
    <s v="Non-Profit"/>
    <s v="Marketplace"/>
    <s v="D. Smith"/>
    <x v="0"/>
    <s v="CMP-4531"/>
    <n v="1186.18"/>
    <n v="1285.0899999999999"/>
    <s v="Valid"/>
    <n v="1285.0899999999999"/>
    <s v="Medium"/>
    <n v="7.0000000000000007E-2"/>
    <s v="Valid"/>
    <n v="7.0000000000000007E-2"/>
    <n v="11"/>
    <n v="13146.470699999998"/>
    <n v="13047.980000000001"/>
    <n v="98.49069999999665"/>
    <n v="7.4917977796121861E-3"/>
    <n v="1"/>
  </r>
  <r>
    <x v="86"/>
    <d v="2024-04-06T00:00:00"/>
    <s v="Apr-2024"/>
    <s v="Q2-2024"/>
    <d v="2024-04-25T00:00:00"/>
    <s v="Valid"/>
    <n v="19"/>
    <d v="2024-04-25T00:00:00"/>
    <s v="Asia"/>
    <s v="Asia → China → Shanghai"/>
    <s v="China-2024-04"/>
    <x v="9"/>
    <s v="Shanghai"/>
    <s v="Corporate"/>
    <s v="Retail"/>
    <s v="K. Singh"/>
    <x v="0"/>
    <s v="CMP-8196"/>
    <n v="1366.48"/>
    <n v="1678.14"/>
    <s v="Valid"/>
    <n v="1678.14"/>
    <s v="Medium"/>
    <n v="0.154"/>
    <s v="Valid"/>
    <n v="0.154"/>
    <n v="10"/>
    <n v="14197.064400000001"/>
    <n v="13664.8"/>
    <n v="532.26440000000184"/>
    <n v="3.7491159087790132E-2"/>
    <n v="0"/>
  </r>
  <r>
    <x v="87"/>
    <d v="2025-08-07T00:00:00"/>
    <s v="Aug-2025"/>
    <s v="Q3-2025"/>
    <d v="2025-08-19T00:00:00"/>
    <s v="Valid"/>
    <n v="12"/>
    <d v="2025-08-19T00:00:00"/>
    <s v="Africa"/>
    <s v="Africa → Kenya → Nakuru"/>
    <s v="Kenya-2025-08"/>
    <x v="0"/>
    <s v="Nakuru"/>
    <s v="Corporate"/>
    <s v="Unknown"/>
    <s v="M. Rossi"/>
    <x v="0"/>
    <s v="CMP-2854"/>
    <n v="601.51"/>
    <n v="679.35"/>
    <s v="Valid"/>
    <n v="679.35"/>
    <s v="Medium"/>
    <n v="0.188"/>
    <s v="Valid"/>
    <n v="0.188"/>
    <n v="3"/>
    <n v="1654.8966000000003"/>
    <n v="1804.53"/>
    <n v="-149.63339999999971"/>
    <n v="-9.0418579626062243E-2"/>
    <n v="0"/>
  </r>
  <r>
    <x v="88"/>
    <d v="2024-01-21T00:00:00"/>
    <s v="Jan-2024"/>
    <s v="Q1-2024"/>
    <d v="2024-01-25T00:00:00"/>
    <s v="Valid"/>
    <n v="4"/>
    <d v="2024-01-25T00:00:00"/>
    <s v="Asia"/>
    <s v="Asia → India → Delhi"/>
    <s v="India-2024-01"/>
    <x v="4"/>
    <s v="Delhi"/>
    <s v="Consumer"/>
    <s v="Direct"/>
    <s v="C. Otieno"/>
    <x v="5"/>
    <s v="MON-8973"/>
    <n v="523.70000000000005"/>
    <n v="1109.92"/>
    <s v="Valid"/>
    <n v="1109.92"/>
    <s v="Medium"/>
    <n v="0.03"/>
    <s v="Valid"/>
    <n v="0.03"/>
    <n v="11"/>
    <n v="11842.8464"/>
    <n v="5760.7000000000007"/>
    <n v="6082.1463999999996"/>
    <n v="0.51357133197302973"/>
    <n v="1"/>
  </r>
  <r>
    <x v="89"/>
    <d v="2023-06-29T00:00:00"/>
    <s v="Jun-2023"/>
    <s v="Q2-2023"/>
    <d v="2023-07-02T00:00:00"/>
    <s v="Valid"/>
    <n v="3"/>
    <d v="2023-07-02T00:00:00"/>
    <s v="Asia"/>
    <s v="Asia → Japan → Nagoya"/>
    <s v="Japan-2023-06"/>
    <x v="2"/>
    <s v="Nagoya"/>
    <s v="Education"/>
    <s v="Marketplace"/>
    <s v="F. Müller"/>
    <x v="5"/>
    <s v="MON-2990"/>
    <n v="55.65"/>
    <n v="83.57"/>
    <s v="Valid"/>
    <n v="83.57"/>
    <s v="Low"/>
    <n v="6.6000000000000003E-2"/>
    <s v="Valid"/>
    <n v="6.6000000000000003E-2"/>
    <n v="8"/>
    <n v="624.43503999999996"/>
    <n v="445.2"/>
    <n v="179.23503999999997"/>
    <n v="0.2870355257449998"/>
    <n v="1"/>
  </r>
  <r>
    <x v="90"/>
    <d v="2025-04-28T00:00:00"/>
    <s v="Apr-2025"/>
    <s v="Q2-2025"/>
    <d v="2025-05-15T00:00:00"/>
    <s v="Valid"/>
    <n v="17"/>
    <d v="2025-05-15T00:00:00"/>
    <s v="Asia"/>
    <s v="Asia → Japan → Nagoya"/>
    <s v="Japan-2025-04"/>
    <x v="2"/>
    <s v="Nagoya"/>
    <s v="Education"/>
    <s v="Direct"/>
    <s v="N. Brown"/>
    <x v="2"/>
    <s v="NET-1966"/>
    <n v="691.19"/>
    <n v="1284.3"/>
    <s v="Valid"/>
    <n v="1284.3"/>
    <s v="Medium"/>
    <n v="7.3999999999999996E-2"/>
    <s v="Valid"/>
    <n v="7.3999999999999996E-2"/>
    <n v="7"/>
    <n v="8324.8326000000015"/>
    <n v="4838.33"/>
    <n v="3486.5026000000016"/>
    <n v="0.41880753253825198"/>
    <n v="0"/>
  </r>
  <r>
    <x v="91"/>
    <d v="2025-06-09T00:00:00"/>
    <s v="Jun-2025"/>
    <s v="Q2-2025"/>
    <d v="2025-06-25T00:00:00"/>
    <s v="Valid"/>
    <n v="16"/>
    <d v="2025-06-25T00:00:00"/>
    <s v="Asia"/>
    <s v="Asia → India → Hyderabad"/>
    <s v="India-2025-06"/>
    <x v="4"/>
    <s v="Hyderabad"/>
    <s v="Enterprise"/>
    <s v="Distributor"/>
    <s v="M. Rossi"/>
    <x v="3"/>
    <s v="PHN-3482"/>
    <n v="527.33000000000004"/>
    <n v="911.72"/>
    <s v="Valid"/>
    <n v="911.72"/>
    <s v="Medium"/>
    <n v="0.14399999999999999"/>
    <s v="Valid"/>
    <n v="0.14399999999999999"/>
    <n v="25"/>
    <n v="19510.808000000001"/>
    <n v="13183.250000000002"/>
    <n v="6327.5579999999991"/>
    <n v="0.32431040272652978"/>
    <n v="0"/>
  </r>
  <r>
    <x v="92"/>
    <d v="2023-06-24T00:00:00"/>
    <s v="Jun-2023"/>
    <s v="Q2-2023"/>
    <d v="2023-06-23T00:00:00"/>
    <s v="Invalid RequiredDate"/>
    <n v="-1"/>
    <d v="2023-07-20T00:00:00"/>
    <s v="Americas"/>
    <s v="Americas → Brazil → Rio de Janeiro"/>
    <s v="Brazil-2023-06"/>
    <x v="5"/>
    <s v="Rio de Janeiro"/>
    <s v="Non-Profit"/>
    <s v="Retail"/>
    <s v="E. Garcia"/>
    <x v="1"/>
    <s v="PRN-6490"/>
    <n v="804.01"/>
    <n v="1405.07"/>
    <s v="Valid"/>
    <n v="1405.07"/>
    <s v="Medium"/>
    <n v="9.6000000000000002E-2"/>
    <s v="Valid"/>
    <n v="9.6000000000000002E-2"/>
    <n v="8"/>
    <n v="10161.46624"/>
    <n v="6432.08"/>
    <n v="3729.3862399999998"/>
    <n v="0.36701260939287439"/>
    <n v="1"/>
  </r>
  <r>
    <x v="93"/>
    <d v="2024-10-04T00:00:00"/>
    <s v="Oct-2024"/>
    <s v="Q4-2024"/>
    <d v="2024-11-02T00:00:00"/>
    <s v="Valid"/>
    <n v="29"/>
    <d v="2024-11-02T00:00:00"/>
    <s v="Africa"/>
    <s v="Africa → Nigeria → Abuja"/>
    <s v="Nigeria-2024-10"/>
    <x v="1"/>
    <s v="Abuja"/>
    <s v="Corporate"/>
    <s v="Distributor"/>
    <s v="F. Müller"/>
    <x v="6"/>
    <s v="ACC-9038"/>
    <n v="412.09"/>
    <n v="968.94"/>
    <s v="Valid"/>
    <n v="968.94"/>
    <s v="Medium"/>
    <n v="9.9000000000000005E-2"/>
    <s v="Valid"/>
    <n v="9.9000000000000005E-2"/>
    <n v="23"/>
    <n v="20079.343620000003"/>
    <n v="9478.07"/>
    <n v="10601.273620000004"/>
    <n v="0.52796913189137418"/>
    <n v="0"/>
  </r>
  <r>
    <x v="94"/>
    <d v="2025-09-10T00:00:00"/>
    <s v="Sep-2025"/>
    <s v="Q3-2025"/>
    <d v="2025-09-30T00:00:00"/>
    <s v="Valid"/>
    <n v="20"/>
    <d v="2025-09-30T00:00:00"/>
    <s v="Africa"/>
    <s v="Africa → Kenya → Mombasa"/>
    <s v="Kenya-2025-09"/>
    <x v="0"/>
    <s v="Mombasa"/>
    <s v="Corporate"/>
    <s v="Direct"/>
    <s v="L. Okafor"/>
    <x v="3"/>
    <s v="PHN-6954"/>
    <n v="1009.48"/>
    <n v="1088.81"/>
    <s v="Valid"/>
    <n v="1088.81"/>
    <s v="Medium"/>
    <n v="0.16"/>
    <s v="Valid"/>
    <n v="0.16"/>
    <n v="6"/>
    <n v="5487.6023999999998"/>
    <n v="6056.88"/>
    <n v="-569.27760000000035"/>
    <n v="-0.10373885688219693"/>
    <n v="0"/>
  </r>
  <r>
    <x v="95"/>
    <d v="2023-04-06T00:00:00"/>
    <s v="Apr-2023"/>
    <s v="Q2-2023"/>
    <d v="2023-04-27T00:00:00"/>
    <s v="Valid"/>
    <n v="21"/>
    <d v="2023-04-27T00:00:00"/>
    <s v="Europe"/>
    <s v="Europe → United Kingdom → Manchester"/>
    <s v="United Kingdom-2023-04"/>
    <x v="8"/>
    <s v="Manchester"/>
    <s v="Enterprise"/>
    <s v="Distributor"/>
    <s v="I. Johnson"/>
    <x v="1"/>
    <s v="PRN-8970"/>
    <n v="1084.79"/>
    <n v="2484.9899999999998"/>
    <s v="Valid"/>
    <n v="2484.9899999999998"/>
    <s v="High"/>
    <n v="3.4000000000000002E-2"/>
    <s v="Valid"/>
    <n v="3.4000000000000002E-2"/>
    <n v="18"/>
    <n v="43209.006119999991"/>
    <n v="19526.22"/>
    <n v="23682.78611999999"/>
    <n v="0.54809837685755114"/>
    <n v="0"/>
  </r>
  <r>
    <x v="96"/>
    <d v="2025-08-01T00:00:00"/>
    <s v="Aug-2025"/>
    <s v="Q3-2025"/>
    <d v="2025-08-16T00:00:00"/>
    <s v="Valid"/>
    <n v="15"/>
    <d v="2025-08-16T00:00:00"/>
    <s v="Asia"/>
    <s v="Asia → India → unknown"/>
    <s v="India-2025-08"/>
    <x v="4"/>
    <s v="unknown"/>
    <s v="Enterprise"/>
    <s v="Direct"/>
    <s v="O. Wang"/>
    <x v="5"/>
    <s v="MON-1822"/>
    <n v="24.44"/>
    <n v="28.69"/>
    <s v="Valid"/>
    <n v="28.69"/>
    <s v="Low"/>
    <n v="0.14599999999999999"/>
    <s v="Valid"/>
    <n v="0.14599999999999999"/>
    <n v="6"/>
    <n v="147.00756000000001"/>
    <n v="146.64000000000001"/>
    <n v="0.36755999999999744"/>
    <n v="2.5002795774584476E-3"/>
    <n v="0"/>
  </r>
  <r>
    <x v="97"/>
    <d v="2024-05-28T00:00:00"/>
    <s v="May-2024"/>
    <s v="Q2-2024"/>
    <d v="2024-05-26T00:00:00"/>
    <s v="Invalid RequiredDate"/>
    <n v="-2"/>
    <d v="2024-06-23T00:00:00"/>
    <s v="Africa"/>
    <s v="Africa → Nigeria → Abuja"/>
    <s v="Nigeria-2024-05"/>
    <x v="1"/>
    <s v="Abuja"/>
    <s v="Enterprise"/>
    <s v="Online"/>
    <s v="F. Müller"/>
    <x v="6"/>
    <s v="ACC-5177"/>
    <n v="1227.08"/>
    <n v="1896.62"/>
    <s v="Valid"/>
    <n v="1896.62"/>
    <s v="Medium"/>
    <n v="0"/>
    <s v="Valid"/>
    <n v="0"/>
    <n v="18"/>
    <n v="34139.159999999996"/>
    <n v="22087.439999999999"/>
    <n v="12051.719999999998"/>
    <n v="0.353017473189147"/>
    <n v="1"/>
  </r>
  <r>
    <x v="98"/>
    <d v="2025-07-22T00:00:00"/>
    <s v="Jul-2025"/>
    <s v="Q3-2025"/>
    <d v="2025-08-18T00:00:00"/>
    <s v="Valid"/>
    <n v="27"/>
    <d v="2025-08-18T00:00:00"/>
    <s v="Asia"/>
    <s v="Asia → China → Shenzhen"/>
    <s v="China-2025-07"/>
    <x v="9"/>
    <s v="Shenzhen"/>
    <s v="Non-Profit"/>
    <s v="Marketplace"/>
    <s v="M. Rossi"/>
    <x v="2"/>
    <s v="NET-1804"/>
    <n v="547.32000000000005"/>
    <n v="419.17"/>
    <s v="Valid"/>
    <n v="419.17"/>
    <s v="Low"/>
    <n v="9.1999999999999998E-2"/>
    <s v="Valid"/>
    <n v="9.1999999999999998E-2"/>
    <n v="14"/>
    <n v="5328.4890400000004"/>
    <n v="7662.4800000000005"/>
    <n v="-2333.9909600000001"/>
    <n v="-0.43802116181137907"/>
    <n v="0"/>
  </r>
  <r>
    <x v="99"/>
    <d v="2023-02-28T00:00:00"/>
    <s v="Feb-2023"/>
    <s v="Q1-2023"/>
    <d v="2023-03-20T00:00:00"/>
    <s v="Valid"/>
    <n v="20"/>
    <d v="2023-03-20T00:00:00"/>
    <s v="Europe"/>
    <s v="Europe → Germany → Berlin"/>
    <s v="Germany-2023-02"/>
    <x v="6"/>
    <s v="Berlin"/>
    <s v="Small Business"/>
    <s v="Direct"/>
    <s v="H. Kim"/>
    <x v="4"/>
    <s v="LAP-3679"/>
    <n v="1200.78"/>
    <n v="2001.17"/>
    <s v="Valid"/>
    <n v="2001.17"/>
    <s v="High"/>
    <n v="0.29199999999999998"/>
    <s v="Valid"/>
    <n v="0.29199999999999998"/>
    <n v="18"/>
    <n v="25502.910479999999"/>
    <n v="21614.04"/>
    <n v="3888.8704799999978"/>
    <n v="0.15248732034132906"/>
    <n v="0"/>
  </r>
  <r>
    <x v="100"/>
    <d v="2025-01-27T00:00:00"/>
    <s v="Jan-2025"/>
    <s v="Q1-2025"/>
    <d v="2025-02-15T00:00:00"/>
    <s v="Valid"/>
    <n v="19"/>
    <d v="2025-02-15T00:00:00"/>
    <s v="Asia"/>
    <s v="Asia → China → Shenzhen"/>
    <s v="China-2025-01"/>
    <x v="9"/>
    <s v="Shenzhen"/>
    <s v="Non-Profit"/>
    <s v="Direct"/>
    <s v="L. Okafor"/>
    <x v="3"/>
    <s v="PHN-8368"/>
    <n v="1253.22"/>
    <n v="3104.71"/>
    <s v="Valid"/>
    <n v="3104.71"/>
    <s v="High"/>
    <n v="0"/>
    <s v="Valid"/>
    <n v="0"/>
    <n v="17"/>
    <n v="52780.07"/>
    <n v="21304.74"/>
    <n v="31475.329999999998"/>
    <n v="0.59634877331538205"/>
    <n v="0"/>
  </r>
  <r>
    <x v="101"/>
    <d v="2024-01-13T00:00:00"/>
    <s v="Jan-2024"/>
    <s v="Q1-2024"/>
    <d v="2024-01-22T00:00:00"/>
    <s v="Valid"/>
    <n v="9"/>
    <d v="2024-01-22T00:00:00"/>
    <s v="Asia"/>
    <s v="Asia → India → Mumbai"/>
    <s v="India-2024-01"/>
    <x v="4"/>
    <s v="Mumbai"/>
    <s v="Enterprise"/>
    <s v="Marketplace"/>
    <s v="J. Njeri"/>
    <x v="0"/>
    <s v="CMP-8141"/>
    <n v="313.60000000000002"/>
    <n v="334.28"/>
    <s v="Valid"/>
    <n v="334.28"/>
    <s v="Low"/>
    <n v="0.14000000000000001"/>
    <s v="Valid"/>
    <n v="0.14000000000000001"/>
    <n v="22"/>
    <n v="6324.5775999999996"/>
    <n v="6899.2000000000007"/>
    <n v="-574.62240000000111"/>
    <n v="-9.0855458868905517E-2"/>
    <n v="0"/>
  </r>
  <r>
    <x v="102"/>
    <d v="2025-03-31T00:00:00"/>
    <s v="Mar-2025"/>
    <s v="Q1-2025"/>
    <d v="2025-04-04T00:00:00"/>
    <s v="Valid"/>
    <n v="4"/>
    <d v="2025-04-04T00:00:00"/>
    <s v="Africa"/>
    <s v="Africa → Kenya → Nakuru"/>
    <s v="Kenya-2025-03"/>
    <x v="0"/>
    <s v="Nakuru"/>
    <s v="Corporate"/>
    <s v="Direct"/>
    <s v="C. Otieno"/>
    <x v="4"/>
    <s v="LAP-7136"/>
    <n v="862.08"/>
    <n v="1952.83"/>
    <s v="Valid"/>
    <n v="1952.83"/>
    <s v="High"/>
    <n v="0"/>
    <s v="Valid"/>
    <n v="0"/>
    <n v="7"/>
    <n v="13669.81"/>
    <n v="6034.56"/>
    <n v="7635.2499999999991"/>
    <n v="0.5585483631447693"/>
    <n v="1"/>
  </r>
  <r>
    <x v="103"/>
    <d v="2024-12-05T00:00:00"/>
    <s v="Dec-2024"/>
    <s v="Q4-2024"/>
    <d v="2024-12-28T00:00:00"/>
    <s v="Valid"/>
    <n v="23"/>
    <d v="2024-12-28T00:00:00"/>
    <s v="Americas"/>
    <s v="Americas → Canada → Vancouver"/>
    <s v="Canada-2024-12"/>
    <x v="3"/>
    <s v="Vancouver"/>
    <s v="Corporate"/>
    <s v="Direct"/>
    <s v="F. Müller"/>
    <x v="6"/>
    <s v="ACC-2386"/>
    <n v="107.03"/>
    <n v="242.29"/>
    <s v="Valid"/>
    <n v="242.29"/>
    <s v="Low"/>
    <n v="0.18"/>
    <s v="Valid"/>
    <n v="0.18"/>
    <n v="30"/>
    <n v="5960.3340000000007"/>
    <n v="3210.9"/>
    <n v="2749.4340000000007"/>
    <n v="0.46128857879440988"/>
    <n v="0"/>
  </r>
  <r>
    <x v="104"/>
    <d v="2024-09-14T00:00:00"/>
    <s v="Sep-2024"/>
    <s v="Q3-2024"/>
    <d v="2024-10-05T00:00:00"/>
    <s v="Valid"/>
    <n v="21"/>
    <d v="2024-10-05T00:00:00"/>
    <s v="Asia"/>
    <s v="Asia → China → Shanghai"/>
    <s v="China-2024-09"/>
    <x v="9"/>
    <s v="Shanghai"/>
    <s v="Small Business"/>
    <s v="Online"/>
    <s v="H. Kim"/>
    <x v="4"/>
    <s v="LAP-5150"/>
    <n v="1405.56"/>
    <n v="2968.87"/>
    <s v="Valid"/>
    <n v="2968.87"/>
    <s v="High"/>
    <n v="0.16900000000000001"/>
    <s v="Valid"/>
    <n v="0.16900000000000001"/>
    <n v="5"/>
    <n v="12335.654849999999"/>
    <n v="7027.7999999999993"/>
    <n v="5307.8548499999997"/>
    <n v="0.4302856163327235"/>
    <n v="0"/>
  </r>
  <r>
    <x v="105"/>
    <d v="2024-05-21T00:00:00"/>
    <s v="May-2024"/>
    <s v="Q2-2024"/>
    <d v="2024-05-27T00:00:00"/>
    <s v="Valid"/>
    <n v="6"/>
    <d v="2024-05-27T00:00:00"/>
    <s v="Africa"/>
    <s v="Africa → South Africa → Johannesburg"/>
    <s v="South Africa-2024-05"/>
    <x v="11"/>
    <s v="Johannesburg"/>
    <s v="Non-Profit"/>
    <s v="Online"/>
    <s v="M. Rossi"/>
    <x v="0"/>
    <s v="CMP-8101"/>
    <n v="1157.51"/>
    <n v="1394.3"/>
    <s v="Valid"/>
    <n v="1394.3"/>
    <s v="Medium"/>
    <n v="0.27800000000000002"/>
    <s v="Valid"/>
    <n v="0.27800000000000002"/>
    <n v="12"/>
    <n v="12080.215199999999"/>
    <n v="13890.119999999999"/>
    <n v="-1809.9048000000003"/>
    <n v="-0.14982388724333326"/>
    <n v="1"/>
  </r>
  <r>
    <x v="106"/>
    <d v="2023-05-11T00:00:00"/>
    <s v="May-2023"/>
    <s v="Q2-2023"/>
    <d v="2023-06-07T00:00:00"/>
    <s v="Valid"/>
    <n v="27"/>
    <d v="2023-06-07T00:00:00"/>
    <s v="Africa"/>
    <s v="Africa → Kenya → Mombasa"/>
    <s v="Kenya-2023-05"/>
    <x v="0"/>
    <s v="Mombasa"/>
    <s v="Corporate"/>
    <s v="Online"/>
    <s v="J. Njeri"/>
    <x v="3"/>
    <s v="PHN-8970"/>
    <n v="12.85"/>
    <n v="15.41"/>
    <s v="Valid"/>
    <n v="15.41"/>
    <s v="Low"/>
    <n v="0.13700000000000001"/>
    <s v="Valid"/>
    <n v="0.13700000000000001"/>
    <n v="39"/>
    <n v="518.65436999999997"/>
    <n v="501.15"/>
    <n v="17.504369999999994"/>
    <n v="3.3749585489851353E-2"/>
    <n v="0"/>
  </r>
  <r>
    <x v="107"/>
    <d v="2024-08-14T00:00:00"/>
    <s v="Aug-2024"/>
    <s v="Q3-2024"/>
    <d v="2024-09-04T00:00:00"/>
    <s v="Valid"/>
    <n v="21"/>
    <d v="2024-09-04T00:00:00"/>
    <s v="Europe"/>
    <s v="Europe → United Kingdom → Manchester"/>
    <s v="United Kingdom-2024-08"/>
    <x v="8"/>
    <s v="Manchester"/>
    <s v="Non-Profit"/>
    <s v="Online"/>
    <s v="J. Njeri"/>
    <x v="3"/>
    <s v="PHN-2341"/>
    <n v="1138.8"/>
    <n v="2250.81"/>
    <s v="Valid"/>
    <n v="2250.81"/>
    <s v="High"/>
    <n v="0.123"/>
    <s v="Valid"/>
    <n v="0.123"/>
    <n v="12"/>
    <n v="23687.524440000001"/>
    <n v="13665.599999999999"/>
    <n v="10021.924440000003"/>
    <n v="0.42308872188756258"/>
    <n v="0"/>
  </r>
  <r>
    <x v="108"/>
    <d v="2024-10-16T00:00:00"/>
    <s v="Oct-2024"/>
    <s v="Q4-2024"/>
    <d v="2024-11-08T00:00:00"/>
    <s v="Valid"/>
    <n v="23"/>
    <d v="2024-11-08T00:00:00"/>
    <s v="Asia"/>
    <s v="Asia → Japan → Osaka"/>
    <s v="Japan-2024-10"/>
    <x v="2"/>
    <s v="Osaka"/>
    <s v="Small Business"/>
    <s v="Retail"/>
    <s v="J. Njeri"/>
    <x v="2"/>
    <s v="NET-6387"/>
    <n v="82.14"/>
    <n v="166.04"/>
    <s v="Valid"/>
    <n v="166.04"/>
    <s v="Low"/>
    <n v="0"/>
    <s v="Valid"/>
    <n v="0"/>
    <n v="10"/>
    <n v="1660.3999999999999"/>
    <n v="821.4"/>
    <n v="838.99999999999989"/>
    <n v="0.50529992772825827"/>
    <n v="0"/>
  </r>
  <r>
    <x v="109"/>
    <d v="2024-06-02T00:00:00"/>
    <s v="Jun-2024"/>
    <s v="Q2-2024"/>
    <d v="2024-06-08T00:00:00"/>
    <s v="Valid"/>
    <n v="6"/>
    <d v="2024-06-08T00:00:00"/>
    <s v="Africa"/>
    <s v="Africa → Kenya → Kisumu"/>
    <s v="Kenya-2024-06"/>
    <x v="0"/>
    <s v="Kisumu"/>
    <s v="Consumer"/>
    <s v="Marketplace"/>
    <s v="A. Patel"/>
    <x v="6"/>
    <s v="ACC-9820"/>
    <n v="292.94"/>
    <n v="356.55"/>
    <s v="Valid"/>
    <n v="356.55"/>
    <s v="Low"/>
    <n v="0.22900000000000001"/>
    <s v="Valid"/>
    <n v="0.22900000000000001"/>
    <n v="2"/>
    <n v="549.80010000000004"/>
    <n v="585.88"/>
    <n v="-36.079899999999952"/>
    <n v="-6.5623669402751925E-2"/>
    <n v="1"/>
  </r>
  <r>
    <x v="110"/>
    <d v="2024-06-09T00:00:00"/>
    <s v="Jun-2024"/>
    <s v="Q2-2024"/>
    <d v="2024-07-07T00:00:00"/>
    <s v="Valid"/>
    <n v="28"/>
    <d v="2024-07-07T00:00:00"/>
    <s v="Asia"/>
    <s v="Asia → China → Shenzhen"/>
    <s v="China-2024-06"/>
    <x v="9"/>
    <s v="Shenzhen"/>
    <s v="Corporate"/>
    <s v="Online"/>
    <s v="J. Njeri"/>
    <x v="0"/>
    <s v="CMP-6392"/>
    <n v="550.22"/>
    <n v="1025.05"/>
    <s v="Valid"/>
    <n v="1025.05"/>
    <s v="Medium"/>
    <n v="0"/>
    <s v="Valid"/>
    <n v="0"/>
    <n v="27"/>
    <n v="27676.35"/>
    <n v="14855.94"/>
    <n v="12820.409999999998"/>
    <n v="0.46322618408858102"/>
    <n v="0"/>
  </r>
  <r>
    <x v="111"/>
    <d v="2024-06-10T00:00:00"/>
    <s v="Jun-2024"/>
    <s v="Q2-2024"/>
    <d v="2024-06-11T00:00:00"/>
    <s v="Valid"/>
    <n v="1"/>
    <d v="2024-06-11T00:00:00"/>
    <s v="Europe"/>
    <s v="Europe → United Kingdom → Birmingham"/>
    <s v="United Kingdom-2024-06"/>
    <x v="8"/>
    <s v="Birmingham"/>
    <s v="Small Business"/>
    <s v="Marketplace"/>
    <s v="M. Rossi"/>
    <x v="4"/>
    <s v="LAP-9230"/>
    <n v="1187.1300000000001"/>
    <n v="1795.17"/>
    <s v="Valid"/>
    <n v="1795.17"/>
    <s v="Medium"/>
    <n v="1.2E-2"/>
    <s v="Valid"/>
    <n v="1.2E-2"/>
    <n v="17"/>
    <n v="30151.675319999998"/>
    <n v="20181.210000000003"/>
    <n v="9970.4653199999957"/>
    <n v="0.33067699271046663"/>
    <n v="1"/>
  </r>
  <r>
    <x v="112"/>
    <d v="2024-06-29T00:00:00"/>
    <s v="Jun-2024"/>
    <s v="Q2-2024"/>
    <d v="2024-07-26T00:00:00"/>
    <s v="Valid"/>
    <n v="27"/>
    <d v="2024-07-26T00:00:00"/>
    <s v="Africa"/>
    <s v="Africa → South Africa → Durban"/>
    <s v="South Africa-2024-06"/>
    <x v="11"/>
    <s v="Durban"/>
    <s v="Enterprise"/>
    <s v="Distributor"/>
    <s v="B. Chen"/>
    <x v="2"/>
    <s v="NET-4241"/>
    <n v="5.36"/>
    <n v="4.37"/>
    <s v="Valid"/>
    <n v="4.37"/>
    <s v="Low"/>
    <n v="0.11799999999999999"/>
    <s v="Valid"/>
    <n v="0.11799999999999999"/>
    <n v="9"/>
    <n v="34.689059999999998"/>
    <n v="48.24"/>
    <n v="-13.550940000000004"/>
    <n v="-0.39064016148030545"/>
    <n v="0"/>
  </r>
  <r>
    <x v="113"/>
    <d v="2025-01-17T00:00:00"/>
    <s v="Jan-2025"/>
    <s v="Q1-2025"/>
    <d v="2025-01-24T00:00:00"/>
    <s v="Valid"/>
    <n v="7"/>
    <d v="2025-01-24T00:00:00"/>
    <s v="Americas"/>
    <s v="Americas → USA → Austin"/>
    <s v="USA-2025-01"/>
    <x v="10"/>
    <s v="Austin"/>
    <s v="Enterprise"/>
    <s v="Online"/>
    <s v="G. Dubois"/>
    <x v="6"/>
    <s v="ACC-4511"/>
    <n v="142.09"/>
    <n v="218.5"/>
    <s v="Valid"/>
    <n v="218.5"/>
    <s v="Low"/>
    <n v="0.11899999999999999"/>
    <s v="Valid"/>
    <n v="0.11899999999999999"/>
    <n v="11"/>
    <n v="2117.4834999999998"/>
    <n v="1562.99"/>
    <n v="554.49349999999981"/>
    <n v="0.26186437816398561"/>
    <n v="1"/>
  </r>
  <r>
    <x v="114"/>
    <d v="2023-11-20T00:00:00"/>
    <s v="Nov-2023"/>
    <s v="Q4-2023"/>
    <d v="2023-12-05T00:00:00"/>
    <s v="Valid"/>
    <n v="15"/>
    <d v="2023-12-05T00:00:00"/>
    <s v="Asia"/>
    <s v="Asia → Japan → Tokyo"/>
    <s v="Japan-2023-11"/>
    <x v="2"/>
    <s v="Tokyo"/>
    <s v="Enterprise"/>
    <s v="Retail"/>
    <s v="L. Okafor"/>
    <x v="2"/>
    <s v="NET-3033"/>
    <n v="354.24"/>
    <n v="249.87"/>
    <s v="Valid"/>
    <n v="249.87"/>
    <s v="Low"/>
    <n v="0"/>
    <s v="Valid"/>
    <n v="0"/>
    <n v="6"/>
    <n v="1499.22"/>
    <n v="2125.44"/>
    <n v="-626.22"/>
    <n v="-0.41769720254532355"/>
    <n v="0"/>
  </r>
  <r>
    <x v="115"/>
    <d v="2023-03-02T00:00:00"/>
    <s v="Mar-2023"/>
    <s v="Q1-2023"/>
    <d v="2023-03-05T00:00:00"/>
    <s v="Valid"/>
    <n v="3"/>
    <d v="2023-03-05T00:00:00"/>
    <s v="Americas"/>
    <s v="Americas → Brazil → Brasília"/>
    <s v="Brazil-2023-03"/>
    <x v="5"/>
    <s v="Brasília"/>
    <s v="Enterprise"/>
    <s v="Direct"/>
    <s v="G. Dubois"/>
    <x v="5"/>
    <s v="MON-2828"/>
    <n v="1473.58"/>
    <n v="3436.52"/>
    <s v="Valid"/>
    <n v="3436.52"/>
    <s v="High"/>
    <n v="0.108"/>
    <s v="Valid"/>
    <n v="0.108"/>
    <n v="8"/>
    <n v="24523.006720000001"/>
    <n v="11788.64"/>
    <n v="12734.366720000002"/>
    <n v="0.51928243813652564"/>
    <n v="1"/>
  </r>
  <r>
    <x v="116"/>
    <d v="2025-06-03T00:00:00"/>
    <s v="Jun-2025"/>
    <s v="Q2-2025"/>
    <d v="2025-06-10T00:00:00"/>
    <s v="Valid"/>
    <n v="7"/>
    <d v="2025-06-10T00:00:00"/>
    <s v="Americas"/>
    <s v="Americas → Canada → Toronto"/>
    <s v="Canada-2025-06"/>
    <x v="3"/>
    <s v="Toronto"/>
    <s v="Consumer"/>
    <s v="Distributor"/>
    <s v="O. Wang"/>
    <x v="1"/>
    <s v="PRN-6429"/>
    <n v="75.180000000000007"/>
    <n v="53.45"/>
    <s v="Valid"/>
    <n v="53.45"/>
    <s v="Low"/>
    <n v="0.157"/>
    <s v="Valid"/>
    <n v="0.157"/>
    <n v="17"/>
    <n v="765.99195000000009"/>
    <n v="1278.0600000000002"/>
    <n v="-512.06805000000008"/>
    <n v="-0.66850317421743144"/>
    <n v="1"/>
  </r>
  <r>
    <x v="117"/>
    <d v="2024-12-27T00:00:00"/>
    <s v="Dec-2024"/>
    <s v="Q4-2024"/>
    <d v="2025-01-02T00:00:00"/>
    <s v="Valid"/>
    <n v="6"/>
    <d v="2025-01-02T00:00:00"/>
    <s v="Europe"/>
    <s v="Europe → Germany → Frankfurt"/>
    <s v="Germany-2024-12"/>
    <x v="6"/>
    <s v="Frankfurt"/>
    <s v="Education"/>
    <s v="Direct"/>
    <s v="F. Müller"/>
    <x v="4"/>
    <s v="LAP-8214"/>
    <n v="1391.99"/>
    <n v="3469.7"/>
    <s v="Valid"/>
    <n v="3469.7"/>
    <s v="High"/>
    <n v="0.184"/>
    <s v="Valid"/>
    <n v="0.184"/>
    <n v="23"/>
    <n v="65119.329599999997"/>
    <n v="32015.77"/>
    <n v="33103.559599999993"/>
    <n v="0.50835227886006973"/>
    <n v="1"/>
  </r>
  <r>
    <x v="118"/>
    <d v="2023-06-09T00:00:00"/>
    <s v="Jun-2023"/>
    <s v="Q2-2023"/>
    <d v="2023-06-19T00:00:00"/>
    <s v="Valid"/>
    <n v="10"/>
    <d v="2023-06-19T00:00:00"/>
    <s v="Asia"/>
    <s v="Asia → China → Beijing"/>
    <s v="China-2023-06"/>
    <x v="9"/>
    <s v="Beijing"/>
    <s v="Enterprise"/>
    <s v="Retail"/>
    <s v="F. Müller"/>
    <x v="5"/>
    <s v="MON-9194"/>
    <n v="339.61"/>
    <n v="621.02"/>
    <s v="Valid"/>
    <n v="621.02"/>
    <s v="Medium"/>
    <n v="7.0999999999999994E-2"/>
    <s v="Valid"/>
    <n v="7.0999999999999994E-2"/>
    <n v="10"/>
    <n v="5769.2758000000003"/>
    <n v="3396.1000000000004"/>
    <n v="2373.1758"/>
    <n v="0.41134726129750981"/>
    <n v="0"/>
  </r>
  <r>
    <x v="119"/>
    <d v="2025-07-09T00:00:00"/>
    <s v="Jul-2025"/>
    <s v="Q3-2025"/>
    <d v="2025-07-18T00:00:00"/>
    <s v="Valid"/>
    <n v="9"/>
    <d v="2025-07-18T00:00:00"/>
    <s v="Americas"/>
    <s v="Americas → Canada → Vancouver"/>
    <s v="Canada-2025-07"/>
    <x v="3"/>
    <s v="Vancouver"/>
    <s v="Education"/>
    <s v="Distributor"/>
    <s v="I. Johnson"/>
    <x v="4"/>
    <s v="LAP-2218"/>
    <n v="57.96"/>
    <n v="88.51"/>
    <s v="Valid"/>
    <n v="88.51"/>
    <s v="Low"/>
    <n v="4.2999999999999997E-2"/>
    <s v="Valid"/>
    <n v="4.2999999999999997E-2"/>
    <n v="7"/>
    <n v="592.92849000000001"/>
    <n v="405.72"/>
    <n v="187.20848999999998"/>
    <n v="0.3157353595877978"/>
    <n v="0"/>
  </r>
  <r>
    <x v="120"/>
    <d v="2025-06-19T00:00:00"/>
    <s v="Jun-2025"/>
    <s v="Q2-2025"/>
    <d v="2025-07-12T00:00:00"/>
    <s v="Valid"/>
    <n v="23"/>
    <d v="2025-07-12T00:00:00"/>
    <s v="Europe"/>
    <s v="Europe → United Kingdom → unknown"/>
    <s v="United Kingdom-2025-06"/>
    <x v="8"/>
    <s v="unknown"/>
    <s v="Non-Profit"/>
    <s v="Direct"/>
    <s v="Unassigned"/>
    <x v="2"/>
    <s v="NET-6370"/>
    <n v="801.24"/>
    <n v="1959.09"/>
    <s v="Valid"/>
    <n v="1959.09"/>
    <s v="High"/>
    <n v="0.123"/>
    <s v="Valid"/>
    <n v="0.123"/>
    <n v="23"/>
    <n v="39516.804389999998"/>
    <n v="18428.52"/>
    <n v="21088.284389999997"/>
    <n v="0.53365358650651762"/>
    <n v="0"/>
  </r>
  <r>
    <x v="121"/>
    <d v="2023-11-19T00:00:00"/>
    <s v="Nov-2023"/>
    <s v="Q4-2023"/>
    <d v="2023-12-13T00:00:00"/>
    <s v="Valid"/>
    <n v="24"/>
    <d v="2023-12-13T00:00:00"/>
    <s v="Europe"/>
    <s v="Europe → France → Lyon"/>
    <s v="France-2023-11"/>
    <x v="7"/>
    <s v="Lyon"/>
    <s v="Non-Profit"/>
    <s v="Direct"/>
    <s v="H. Kim"/>
    <x v="5"/>
    <s v="MON-3745"/>
    <n v="1297.42"/>
    <n v="2742.97"/>
    <s v="Valid"/>
    <n v="2742.97"/>
    <s v="High"/>
    <n v="6.9000000000000006E-2"/>
    <s v="Valid"/>
    <n v="6.9000000000000006E-2"/>
    <n v="9"/>
    <n v="22983.34563"/>
    <n v="11676.78"/>
    <n v="11306.565629999999"/>
    <n v="0.49194602961727291"/>
    <n v="0"/>
  </r>
  <r>
    <x v="122"/>
    <d v="2023-12-29T00:00:00"/>
    <s v="Dec-2023"/>
    <s v="Q4-2023"/>
    <d v="2024-01-20T00:00:00"/>
    <s v="Valid"/>
    <n v="22"/>
    <d v="2024-01-20T00:00:00"/>
    <s v="Africa"/>
    <s v="Africa → Kenya → Kisumu"/>
    <s v="Kenya-2023-12"/>
    <x v="0"/>
    <s v="Kisumu"/>
    <s v="Corporate"/>
    <s v="Direct"/>
    <s v="L. Okafor"/>
    <x v="3"/>
    <s v="PHN-7924"/>
    <n v="1395.49"/>
    <n v="1679.42"/>
    <s v="Valid"/>
    <n v="1679.42"/>
    <s v="Medium"/>
    <n v="0.20300000000000001"/>
    <s v="Valid"/>
    <n v="0.20300000000000001"/>
    <n v="12"/>
    <n v="16061.972879999999"/>
    <n v="16745.88"/>
    <n v="-683.90712000000167"/>
    <n v="-4.2579272490964493E-2"/>
    <n v="0"/>
  </r>
  <r>
    <x v="123"/>
    <d v="2024-11-02T00:00:00"/>
    <s v="Nov-2024"/>
    <s v="Q4-2024"/>
    <d v="2024-11-29T00:00:00"/>
    <s v="Valid"/>
    <n v="27"/>
    <d v="2024-11-29T00:00:00"/>
    <s v="Americas"/>
    <s v="Americas → Brazil → Brasília"/>
    <s v="Brazil-2024-11"/>
    <x v="5"/>
    <s v="Brasília"/>
    <s v="Small Business"/>
    <s v="Direct"/>
    <s v="I. Johnson"/>
    <x v="2"/>
    <s v="NET-8561"/>
    <n v="1363.51"/>
    <n v="1433.9"/>
    <s v="Valid"/>
    <n v="1433.9"/>
    <s v="Medium"/>
    <n v="5.7000000000000002E-2"/>
    <s v="Valid"/>
    <n v="5.7000000000000002E-2"/>
    <n v="8"/>
    <n v="10817.3416"/>
    <n v="10908.08"/>
    <n v="-90.738400000000183"/>
    <n v="-8.3882346842037592E-3"/>
    <n v="0"/>
  </r>
  <r>
    <x v="124"/>
    <d v="2023-08-21T00:00:00"/>
    <s v="Aug-2023"/>
    <s v="Q3-2023"/>
    <d v="2023-09-04T00:00:00"/>
    <s v="Valid"/>
    <n v="14"/>
    <d v="2023-09-04T00:00:00"/>
    <s v="Americas"/>
    <s v="Americas → Canada → Montreal"/>
    <s v="Canada-2023-08"/>
    <x v="3"/>
    <s v="Montreal"/>
    <s v="Education"/>
    <s v="Distributor"/>
    <s v="F. Müller"/>
    <x v="0"/>
    <s v="CMP-2136"/>
    <n v="178.19"/>
    <n v="284.43"/>
    <s v="Valid"/>
    <n v="284.43"/>
    <s v="Low"/>
    <n v="8.8999999999999996E-2"/>
    <s v="Valid"/>
    <n v="8.8999999999999996E-2"/>
    <n v="8"/>
    <n v="2072.9258400000003"/>
    <n v="1425.52"/>
    <n v="647.40584000000035"/>
    <n v="0.31231500302972742"/>
    <n v="0"/>
  </r>
  <r>
    <x v="125"/>
    <d v="2023-08-12T00:00:00"/>
    <s v="Aug-2023"/>
    <s v="Q3-2023"/>
    <d v="2023-09-06T00:00:00"/>
    <s v="Valid"/>
    <n v="25"/>
    <d v="2023-09-06T00:00:00"/>
    <s v="Asia"/>
    <s v="Asia → China → Shanghai"/>
    <s v="China-2023-08"/>
    <x v="9"/>
    <s v="Shanghai"/>
    <s v="Small Business"/>
    <s v="Retail"/>
    <s v="B. Chen"/>
    <x v="0"/>
    <s v="CMP-6352"/>
    <n v="950.77"/>
    <n v="694.78"/>
    <s v="Valid"/>
    <n v="694.78"/>
    <s v="Medium"/>
    <n v="8.4000000000000005E-2"/>
    <s v="Valid"/>
    <n v="8.4000000000000005E-2"/>
    <n v="14"/>
    <n v="8909.8587200000002"/>
    <n v="13310.779999999999"/>
    <n v="-4400.9212799999987"/>
    <n v="-0.49393839097821279"/>
    <n v="0"/>
  </r>
  <r>
    <x v="126"/>
    <d v="2024-06-07T00:00:00"/>
    <s v="Jun-2024"/>
    <s v="Q2-2024"/>
    <d v="2024-06-26T00:00:00"/>
    <s v="Valid"/>
    <n v="19"/>
    <d v="2024-06-26T00:00:00"/>
    <s v="Europe"/>
    <s v="Europe → Germany → Berlin"/>
    <s v="Germany-2024-06"/>
    <x v="6"/>
    <s v="Berlin"/>
    <s v="Non-Profit"/>
    <s v="Marketplace"/>
    <s v="M. Rossi"/>
    <x v="0"/>
    <s v="CMP-2040"/>
    <n v="1064.32"/>
    <n v="1848.39"/>
    <s v="Valid"/>
    <n v="1848.39"/>
    <s v="Medium"/>
    <n v="7.2999999999999995E-2"/>
    <s v="Valid"/>
    <n v="7.2999999999999995E-2"/>
    <n v="38"/>
    <n v="65111.38614000001"/>
    <n v="40444.159999999996"/>
    <n v="24667.226140000013"/>
    <n v="0.3788465827921631"/>
    <n v="0"/>
  </r>
  <r>
    <x v="127"/>
    <d v="2025-08-05T00:00:00"/>
    <s v="Aug-2025"/>
    <s v="Q3-2025"/>
    <d v="2025-08-14T00:00:00"/>
    <s v="Valid"/>
    <n v="9"/>
    <d v="2025-08-14T00:00:00"/>
    <s v="Europe"/>
    <s v="Europe → United Kingdom → London"/>
    <s v="United Kingdom-2025-08"/>
    <x v="8"/>
    <s v="London"/>
    <s v="Non-Profit"/>
    <s v="Direct"/>
    <s v="E. Garcia"/>
    <x v="0"/>
    <s v="CMP-6346"/>
    <n v="41.76"/>
    <n v="45.19"/>
    <s v="Valid"/>
    <n v="45.19"/>
    <s v="Low"/>
    <n v="0.17899999999999999"/>
    <s v="Valid"/>
    <n v="0.17899999999999999"/>
    <n v="23"/>
    <n v="853.32276999999988"/>
    <n v="960.4799999999999"/>
    <n v="-107.15723000000003"/>
    <n v="-0.12557643340514638"/>
    <n v="0"/>
  </r>
  <r>
    <x v="128"/>
    <d v="2024-05-30T00:00:00"/>
    <s v="May-2024"/>
    <s v="Q2-2024"/>
    <d v="2024-06-13T00:00:00"/>
    <s v="Valid"/>
    <n v="14"/>
    <d v="2024-06-13T00:00:00"/>
    <s v="Americas"/>
    <s v="Americas → USA → San Francisco"/>
    <s v="USA-2024-05"/>
    <x v="10"/>
    <s v="San Francisco"/>
    <s v="Small Business"/>
    <s v="Retail"/>
    <s v="F. Müller"/>
    <x v="3"/>
    <s v="PHN-4356"/>
    <n v="157.78"/>
    <n v="361.1"/>
    <s v="Valid"/>
    <n v="361.1"/>
    <s v="Low"/>
    <n v="0.187"/>
    <s v="Valid"/>
    <n v="0.187"/>
    <n v="9"/>
    <n v="2642.1686999999997"/>
    <n v="1420.02"/>
    <n v="1222.1486999999997"/>
    <n v="0.46255513510549112"/>
    <n v="0"/>
  </r>
  <r>
    <x v="129"/>
    <d v="2023-01-22T00:00:00"/>
    <s v="Jan-2023"/>
    <s v="Q1-2023"/>
    <d v="2023-01-30T00:00:00"/>
    <s v="Valid"/>
    <n v="8"/>
    <d v="2023-01-30T00:00:00"/>
    <s v="Americas"/>
    <s v="Americas → USA → San Francisco"/>
    <s v="USA-2023-01"/>
    <x v="10"/>
    <s v="San Francisco"/>
    <s v="Small Business"/>
    <s v="Online"/>
    <s v="A. Patel"/>
    <x v="2"/>
    <s v="NET-4155"/>
    <n v="413.52"/>
    <n v="1004.34"/>
    <s v="Valid"/>
    <n v="1004.34"/>
    <s v="Medium"/>
    <n v="0.111"/>
    <s v="Valid"/>
    <n v="0.111"/>
    <n v="18"/>
    <n v="16071.44868"/>
    <n v="7443.36"/>
    <n v="8628.0886800000007"/>
    <n v="0.53685817948304593"/>
    <n v="0"/>
  </r>
  <r>
    <x v="130"/>
    <d v="2025-02-12T00:00:00"/>
    <s v="Feb-2025"/>
    <s v="Q1-2025"/>
    <d v="2025-02-28T00:00:00"/>
    <s v="Valid"/>
    <n v="16"/>
    <d v="2025-02-28T00:00:00"/>
    <s v="Americas"/>
    <s v="Americas → Brazil → São Paulo"/>
    <s v="Brazil-2025-02"/>
    <x v="5"/>
    <s v="São Paulo"/>
    <s v="Non-Profit"/>
    <s v="Direct"/>
    <s v="B. Chen"/>
    <x v="5"/>
    <s v="MON-5179"/>
    <n v="414.95"/>
    <n v="1027.73"/>
    <s v="Valid"/>
    <n v="1027.73"/>
    <s v="Medium"/>
    <n v="6.3E-2"/>
    <s v="Valid"/>
    <n v="6.3E-2"/>
    <n v="8"/>
    <n v="7703.8640800000003"/>
    <n v="3319.6"/>
    <n v="4384.2640800000008"/>
    <n v="0.56909935513815568"/>
    <n v="0"/>
  </r>
  <r>
    <x v="131"/>
    <d v="2025-03-03T00:00:00"/>
    <s v="Mar-2025"/>
    <s v="Q1-2025"/>
    <d v="2025-03-24T00:00:00"/>
    <s v="Valid"/>
    <n v="21"/>
    <d v="2025-03-24T00:00:00"/>
    <s v="Africa"/>
    <s v="Africa → Nigeria → Abuja"/>
    <s v="Nigeria-2025-03"/>
    <x v="1"/>
    <s v="Abuja"/>
    <s v="Enterprise"/>
    <s v="Direct"/>
    <s v="H. Kim"/>
    <x v="6"/>
    <s v="ACC-4056"/>
    <n v="555.95000000000005"/>
    <n v="468.09"/>
    <s v="Valid"/>
    <n v="468.09"/>
    <s v="Low"/>
    <n v="0.14199999999999999"/>
    <s v="Valid"/>
    <n v="0.14199999999999999"/>
    <n v="11"/>
    <n v="4417.8334199999999"/>
    <n v="6115.4500000000007"/>
    <n v="-1697.6165800000008"/>
    <n v="-0.38426450674095375"/>
    <n v="0"/>
  </r>
  <r>
    <x v="132"/>
    <d v="2023-01-27T00:00:00"/>
    <s v="Jan-2023"/>
    <s v="Q1-2023"/>
    <d v="2023-01-31T00:00:00"/>
    <s v="Valid"/>
    <n v="4"/>
    <d v="2023-01-31T00:00:00"/>
    <s v="Europe"/>
    <s v="Europe → United Kingdom → Manchester"/>
    <s v="United Kingdom-2023-01"/>
    <x v="8"/>
    <s v="Manchester"/>
    <s v="Enterprise"/>
    <s v="Online"/>
    <s v="N. Brown"/>
    <x v="4"/>
    <s v="LAP-9782"/>
    <n v="941.2"/>
    <n v="668.02"/>
    <s v="Valid"/>
    <n v="668.02"/>
    <s v="Medium"/>
    <n v="0.22"/>
    <s v="Valid"/>
    <n v="0.22"/>
    <n v="16"/>
    <n v="8336.8896000000004"/>
    <n v="15059.2"/>
    <n v="-6722.3104000000003"/>
    <n v="-0.80633314371825193"/>
    <n v="1"/>
  </r>
  <r>
    <x v="133"/>
    <d v="2025-01-09T00:00:00"/>
    <s v="Jan-2025"/>
    <s v="Q1-2025"/>
    <d v="2025-01-15T00:00:00"/>
    <s v="Valid"/>
    <n v="6"/>
    <d v="2025-01-15T00:00:00"/>
    <s v="Asia"/>
    <s v="Asia → China → Beijing"/>
    <s v="China-2025-01"/>
    <x v="9"/>
    <s v="Beijing"/>
    <s v="Education"/>
    <s v="Online"/>
    <s v="C. Otieno"/>
    <x v="3"/>
    <s v="PHN-2875"/>
    <n v="304.77999999999997"/>
    <n v="537.27"/>
    <s v="Valid"/>
    <n v="537.27"/>
    <s v="Low"/>
    <n v="0.187"/>
    <s v="Valid"/>
    <n v="0.187"/>
    <n v="8"/>
    <n v="3494.4040799999998"/>
    <n v="2438.2399999999998"/>
    <n v="1056.16408"/>
    <n v="0.3022444044307549"/>
    <n v="1"/>
  </r>
  <r>
    <x v="134"/>
    <d v="2024-12-21T00:00:00"/>
    <s v="Dec-2024"/>
    <s v="Q4-2024"/>
    <d v="2024-12-26T00:00:00"/>
    <s v="Valid"/>
    <n v="5"/>
    <d v="2024-12-26T00:00:00"/>
    <s v="Americas"/>
    <s v="Americas → USA → San Francisco"/>
    <s v="USA-2024-12"/>
    <x v="10"/>
    <s v="San Francisco"/>
    <s v="Consumer"/>
    <s v="Marketplace"/>
    <s v="M. Rossi"/>
    <x v="1"/>
    <s v="PRN-4788"/>
    <n v="699.57"/>
    <n v="572.71"/>
    <s v="Valid"/>
    <n v="572.71"/>
    <s v="Low"/>
    <n v="0.192"/>
    <s v="Valid"/>
    <n v="0.192"/>
    <n v="26"/>
    <n v="12031.491680000001"/>
    <n v="18188.82"/>
    <n v="-6157.3283199999987"/>
    <n v="-0.51176765805651114"/>
    <n v="1"/>
  </r>
  <r>
    <x v="135"/>
    <d v="2023-04-12T00:00:00"/>
    <s v="Apr-2023"/>
    <s v="Q2-2023"/>
    <d v="2023-04-17T00:00:00"/>
    <s v="Valid"/>
    <n v="5"/>
    <d v="2023-04-17T00:00:00"/>
    <s v="Europe"/>
    <s v="Europe → France → Lyon"/>
    <s v="France-2023-04"/>
    <x v="7"/>
    <s v="Lyon"/>
    <s v="Enterprise"/>
    <s v="Direct"/>
    <s v="E. Garcia"/>
    <x v="5"/>
    <s v="MON-3043"/>
    <n v="1087.81"/>
    <n v="2323.87"/>
    <s v="Valid"/>
    <n v="2323.87"/>
    <s v="High"/>
    <n v="9.4E-2"/>
    <s v="Valid"/>
    <n v="9.4E-2"/>
    <n v="13"/>
    <n v="27370.540859999997"/>
    <n v="14141.529999999999"/>
    <n v="13229.010859999999"/>
    <n v="0.48333026839572651"/>
    <n v="1"/>
  </r>
  <r>
    <x v="136"/>
    <d v="2024-12-14T00:00:00"/>
    <s v="Dec-2024"/>
    <s v="Q4-2024"/>
    <d v="2025-01-12T00:00:00"/>
    <s v="Valid"/>
    <n v="29"/>
    <d v="2025-01-12T00:00:00"/>
    <s v="Asia"/>
    <s v="Asia → China → Shenzhen"/>
    <s v="China-2024-12"/>
    <x v="9"/>
    <s v="Shenzhen"/>
    <s v="Education"/>
    <s v="Online"/>
    <s v="J. Njeri"/>
    <x v="0"/>
    <s v="CMP-3720"/>
    <n v="1412.15"/>
    <n v="1631.04"/>
    <s v="Valid"/>
    <n v="1631.04"/>
    <s v="Medium"/>
    <n v="8.9999999999999993E-3"/>
    <s v="Valid"/>
    <n v="8.9999999999999993E-3"/>
    <n v="6"/>
    <n v="9698.1638399999993"/>
    <n v="8472.9000000000015"/>
    <n v="1225.2638399999978"/>
    <n v="0.12633977526203535"/>
    <n v="0"/>
  </r>
  <r>
    <x v="137"/>
    <d v="2023-03-31T00:00:00"/>
    <s v="Mar-2023"/>
    <s v="Q1-2023"/>
    <d v="2023-04-12T00:00:00"/>
    <s v="Valid"/>
    <n v="12"/>
    <d v="2023-04-12T00:00:00"/>
    <s v="Africa"/>
    <s v="Africa → Kenya → Mombasa"/>
    <s v="Kenya-2023-03"/>
    <x v="0"/>
    <s v="Mombasa"/>
    <s v="Small Business"/>
    <s v="Online"/>
    <s v="C. Otieno"/>
    <x v="3"/>
    <s v="PHN-8014"/>
    <n v="304.22000000000003"/>
    <n v="393.31"/>
    <s v="Valid"/>
    <n v="393.31"/>
    <s v="Low"/>
    <n v="0.26500000000000001"/>
    <s v="Valid"/>
    <n v="0.26500000000000001"/>
    <n v="15"/>
    <n v="4336.2427499999994"/>
    <n v="4563.3"/>
    <n v="-227.05725000000075"/>
    <n v="-5.2362670424759034E-2"/>
    <n v="0"/>
  </r>
  <r>
    <x v="138"/>
    <d v="2024-11-20T00:00:00"/>
    <s v="Nov-2024"/>
    <s v="Q4-2024"/>
    <d v="2024-12-15T00:00:00"/>
    <s v="Valid"/>
    <n v="25"/>
    <d v="2024-12-15T00:00:00"/>
    <s v="Europe"/>
    <s v="Europe → France → Paris"/>
    <s v="France-2024-11"/>
    <x v="7"/>
    <s v="Paris"/>
    <s v="Corporate"/>
    <s v="Online"/>
    <s v="G. Dubois"/>
    <x v="1"/>
    <s v="PRN-4911"/>
    <n v="1203.58"/>
    <n v="1856.16"/>
    <s v="Valid"/>
    <n v="1856.16"/>
    <s v="Medium"/>
    <n v="0.129"/>
    <s v="Valid"/>
    <n v="0.129"/>
    <n v="22"/>
    <n v="35567.737920000007"/>
    <n v="26478.76"/>
    <n v="9088.9779200000085"/>
    <n v="0.25553994860295032"/>
    <n v="0"/>
  </r>
  <r>
    <x v="139"/>
    <d v="2024-02-14T00:00:00"/>
    <s v="Feb-2024"/>
    <s v="Q1-2024"/>
    <d v="2024-02-14T00:00:00"/>
    <s v="Valid"/>
    <n v="0"/>
    <d v="2024-02-14T00:00:00"/>
    <s v="Asia"/>
    <s v="Asia → China → Beijing"/>
    <s v="China-2024-02"/>
    <x v="9"/>
    <s v="Beijing"/>
    <s v="Corporate"/>
    <s v="Distributor"/>
    <s v="L. Okafor"/>
    <x v="6"/>
    <s v="ACC-1021"/>
    <n v="65.930000000000007"/>
    <n v="84.9"/>
    <s v="Valid"/>
    <n v="84.9"/>
    <s v="Low"/>
    <n v="0.25900000000000001"/>
    <s v="Valid"/>
    <n v="0.25900000000000001"/>
    <n v="23"/>
    <n v="1446.9507000000001"/>
    <n v="1516.39"/>
    <n v="-69.439300000000003"/>
    <n v="-4.7990093926489688E-2"/>
    <n v="1"/>
  </r>
  <r>
    <x v="140"/>
    <d v="2023-05-02T00:00:00"/>
    <s v="May-2023"/>
    <s v="Q2-2023"/>
    <d v="2023-05-18T00:00:00"/>
    <s v="Valid"/>
    <n v="16"/>
    <d v="2023-05-18T00:00:00"/>
    <s v="Asia"/>
    <s v="Asia → India → Delhi"/>
    <s v="India-2023-05"/>
    <x v="4"/>
    <s v="Delhi"/>
    <s v="Small Business"/>
    <s v="Marketplace"/>
    <s v="K. Singh"/>
    <x v="5"/>
    <s v="MON-2266"/>
    <n v="1463.92"/>
    <n v="2252.2399999999998"/>
    <s v="Valid"/>
    <n v="2252.2399999999998"/>
    <s v="High"/>
    <n v="0.11799999999999999"/>
    <s v="Valid"/>
    <n v="0.11799999999999999"/>
    <n v="44"/>
    <n v="87404.929919999995"/>
    <n v="64412.480000000003"/>
    <n v="22992.449919999992"/>
    <n v="0.26305667130040061"/>
    <n v="0"/>
  </r>
  <r>
    <x v="141"/>
    <d v="2024-12-23T00:00:00"/>
    <s v="Dec-2024"/>
    <s v="Q4-2024"/>
    <d v="2025-01-11T00:00:00"/>
    <s v="Valid"/>
    <n v="19"/>
    <d v="2025-01-11T00:00:00"/>
    <s v="Europe"/>
    <s v="Europe → Germany → Berlin"/>
    <s v="Germany-2024-12"/>
    <x v="6"/>
    <s v="Berlin"/>
    <s v="Education"/>
    <s v="Retail"/>
    <s v="K. Singh"/>
    <x v="3"/>
    <s v="PHN-8057"/>
    <n v="501.81"/>
    <n v="921.62"/>
    <s v="Valid"/>
    <n v="921.62"/>
    <s v="Medium"/>
    <n v="0.01"/>
    <s v="Valid"/>
    <n v="0.01"/>
    <n v="9"/>
    <n v="8211.6342000000004"/>
    <n v="4516.29"/>
    <n v="3695.3442000000005"/>
    <n v="0.45001325071202031"/>
    <n v="0"/>
  </r>
  <r>
    <x v="142"/>
    <d v="2023-07-26T00:00:00"/>
    <s v="Jul-2023"/>
    <s v="Q3-2023"/>
    <d v="2023-08-25T00:00:00"/>
    <s v="Valid"/>
    <n v="30"/>
    <d v="2023-08-25T00:00:00"/>
    <s v="Americas"/>
    <s v="Americas → USA → New York"/>
    <s v="USA-2023-07"/>
    <x v="10"/>
    <s v="New York"/>
    <s v="Consumer"/>
    <s v="Retail"/>
    <s v="M. Rossi"/>
    <x v="6"/>
    <s v="ACC-7078"/>
    <n v="1261.48"/>
    <n v="1643.18"/>
    <s v="Valid"/>
    <n v="1643.18"/>
    <s v="Medium"/>
    <n v="0.151"/>
    <s v="Valid"/>
    <n v="0.151"/>
    <n v="23"/>
    <n v="32086.37586"/>
    <n v="29014.04"/>
    <n v="3072.3358599999992"/>
    <n v="9.5752037357079045E-2"/>
    <n v="0"/>
  </r>
  <r>
    <x v="143"/>
    <d v="2024-06-15T00:00:00"/>
    <s v="Jun-2024"/>
    <s v="Q2-2024"/>
    <d v="2024-07-06T00:00:00"/>
    <s v="Valid"/>
    <n v="21"/>
    <d v="2024-07-06T00:00:00"/>
    <s v="Americas"/>
    <s v="Americas → Canada → Toronto"/>
    <s v="Canada-2024-06"/>
    <x v="3"/>
    <s v="Toronto"/>
    <s v="Enterprise"/>
    <s v="Distributor"/>
    <s v="L. Okafor"/>
    <x v="1"/>
    <s v="PRN-4453"/>
    <n v="817.23"/>
    <n v="1467.17"/>
    <s v="Valid"/>
    <n v="1467.17"/>
    <s v="Medium"/>
    <n v="0.245"/>
    <s v="Valid"/>
    <n v="0.245"/>
    <n v="9"/>
    <n v="9969.4201499999999"/>
    <n v="7355.07"/>
    <n v="2614.3501500000002"/>
    <n v="0.26223693160328893"/>
    <n v="0"/>
  </r>
  <r>
    <x v="144"/>
    <d v="2023-07-05T00:00:00"/>
    <s v="Jul-2023"/>
    <s v="Q3-2023"/>
    <d v="2023-07-14T00:00:00"/>
    <s v="Valid"/>
    <n v="9"/>
    <d v="2023-07-14T00:00:00"/>
    <s v="Americas"/>
    <s v="Americas → Brazil → Brasília"/>
    <s v="Brazil-2023-07"/>
    <x v="5"/>
    <s v="Brasília"/>
    <s v="Enterprise"/>
    <s v="Direct"/>
    <s v="B. Chen"/>
    <x v="2"/>
    <s v="NET-2394"/>
    <n v="578.85"/>
    <n v="998.76"/>
    <s v="Valid"/>
    <n v="998.76"/>
    <s v="Medium"/>
    <n v="8.2000000000000003E-2"/>
    <s v="Valid"/>
    <n v="8.2000000000000003E-2"/>
    <n v="28"/>
    <n v="25672.127039999999"/>
    <n v="16207.800000000001"/>
    <n v="9464.3270399999983"/>
    <n v="0.36866158480960831"/>
    <n v="0"/>
  </r>
  <r>
    <x v="145"/>
    <d v="2023-11-30T00:00:00"/>
    <s v="Nov-2023"/>
    <s v="Q4-2023"/>
    <d v="2023-11-29T00:00:00"/>
    <s v="Invalid RequiredDate"/>
    <n v="-1"/>
    <d v="2023-12-26T00:00:00"/>
    <s v="Africa"/>
    <s v="Africa → South Africa → Durban"/>
    <s v="South Africa-2023-11"/>
    <x v="11"/>
    <s v="Durban"/>
    <s v="Small Business"/>
    <s v="Marketplace"/>
    <s v="E. Garcia"/>
    <x v="4"/>
    <s v="LAP-1525"/>
    <n v="275.56"/>
    <n v="630.72"/>
    <s v="Valid"/>
    <n v="630.72"/>
    <s v="Medium"/>
    <n v="0.107"/>
    <s v="Valid"/>
    <n v="0.107"/>
    <n v="23"/>
    <n v="12954.358080000002"/>
    <n v="6337.88"/>
    <n v="6616.4780800000017"/>
    <n v="0.5107530638831933"/>
    <n v="1"/>
  </r>
  <r>
    <x v="146"/>
    <d v="2025-09-11T00:00:00"/>
    <s v="Sep-2025"/>
    <s v="Q3-2025"/>
    <d v="2025-09-28T00:00:00"/>
    <s v="Valid"/>
    <n v="17"/>
    <d v="2025-09-28T00:00:00"/>
    <s v="Africa"/>
    <s v="Africa → Kenya → Nairobi"/>
    <s v="Kenya-2025-09"/>
    <x v="0"/>
    <s v="Nairobi"/>
    <s v="Non-Profit"/>
    <s v="Distributor"/>
    <s v="J. Njeri"/>
    <x v="4"/>
    <s v="LAP-3278"/>
    <n v="891.46"/>
    <n v="728.61"/>
    <s v="Valid"/>
    <n v="728.61"/>
    <s v="Medium"/>
    <n v="0.185"/>
    <s v="Valid"/>
    <n v="0.185"/>
    <n v="6"/>
    <n v="3562.9028999999996"/>
    <n v="5348.76"/>
    <n v="-1785.8571000000006"/>
    <n v="-0.50123653383874167"/>
    <n v="0"/>
  </r>
  <r>
    <x v="147"/>
    <d v="2024-04-04T00:00:00"/>
    <s v="Apr-2024"/>
    <s v="Q2-2024"/>
    <d v="2024-04-24T00:00:00"/>
    <s v="Valid"/>
    <n v="20"/>
    <d v="2024-04-24T00:00:00"/>
    <s v="Europe"/>
    <s v="Europe → Germany → Frankfurt"/>
    <s v="Germany-2024-04"/>
    <x v="6"/>
    <s v="Frankfurt"/>
    <s v="Non-Profit"/>
    <s v="Direct"/>
    <s v="O. Wang"/>
    <x v="6"/>
    <s v="ACC-6543"/>
    <n v="683.42"/>
    <n v="951.51"/>
    <s v="Valid"/>
    <n v="951.51"/>
    <s v="Medium"/>
    <n v="0"/>
    <s v="Valid"/>
    <n v="0"/>
    <n v="14"/>
    <n v="13321.14"/>
    <n v="9567.8799999999992"/>
    <n v="3753.26"/>
    <n v="0.28175216235247136"/>
    <n v="0"/>
  </r>
  <r>
    <x v="148"/>
    <d v="2023-09-14T00:00:00"/>
    <s v="Sep-2023"/>
    <s v="Q3-2023"/>
    <d v="2023-09-16T00:00:00"/>
    <s v="Valid"/>
    <n v="2"/>
    <d v="2023-09-16T00:00:00"/>
    <s v="Europe"/>
    <s v="Europe → France → Lyon"/>
    <s v="France-2023-09"/>
    <x v="7"/>
    <s v="Lyon"/>
    <s v="Non-Profit"/>
    <s v="Direct"/>
    <s v="B. Chen"/>
    <x v="1"/>
    <s v="PRN-4432"/>
    <n v="376.83"/>
    <n v="732.88"/>
    <s v="Valid"/>
    <n v="732.88"/>
    <s v="Medium"/>
    <n v="0.188"/>
    <s v="Valid"/>
    <n v="0.188"/>
    <n v="25"/>
    <n v="14877.464000000002"/>
    <n v="9420.75"/>
    <n v="5456.7140000000018"/>
    <n v="0.36677716040852132"/>
    <n v="1"/>
  </r>
  <r>
    <x v="149"/>
    <d v="2024-09-23T00:00:00"/>
    <s v="Sep-2024"/>
    <s v="Q3-2024"/>
    <d v="2024-10-18T00:00:00"/>
    <s v="Valid"/>
    <n v="25"/>
    <d v="2024-10-18T00:00:00"/>
    <s v="Americas"/>
    <s v="Americas → Canada → Vancouver"/>
    <s v="Canada-2024-09"/>
    <x v="3"/>
    <s v="Vancouver"/>
    <s v="Small Business"/>
    <s v="Online"/>
    <s v="N. Brown"/>
    <x v="3"/>
    <s v="PHN-4568"/>
    <n v="1297"/>
    <n v="2411.52"/>
    <s v="Valid"/>
    <n v="2411.52"/>
    <s v="High"/>
    <n v="2.1000000000000001E-2"/>
    <s v="Valid"/>
    <n v="2.1000000000000001E-2"/>
    <n v="18"/>
    <n v="42495.805439999996"/>
    <n v="23346"/>
    <n v="19149.805439999996"/>
    <n v="0.45062813239385913"/>
    <n v="0"/>
  </r>
  <r>
    <x v="150"/>
    <d v="2025-04-16T00:00:00"/>
    <s v="Apr-2025"/>
    <s v="Q2-2025"/>
    <d v="2025-05-16T00:00:00"/>
    <s v="Valid"/>
    <n v="30"/>
    <d v="2025-05-16T00:00:00"/>
    <s v="Americas"/>
    <s v="Americas → Canada → Montreal"/>
    <s v="Canada-2025-04"/>
    <x v="3"/>
    <s v="Montreal"/>
    <s v="Enterprise"/>
    <s v="Distributor"/>
    <s v="K. Singh"/>
    <x v="1"/>
    <s v="PRN-6178"/>
    <n v="763.32"/>
    <n v="568.29"/>
    <s v="Valid"/>
    <n v="568.29"/>
    <s v="Low"/>
    <n v="0.13100000000000001"/>
    <s v="Valid"/>
    <n v="0.13100000000000001"/>
    <n v="16"/>
    <n v="7901.5041599999995"/>
    <n v="12213.12"/>
    <n v="-4311.6158400000013"/>
    <n v="-0.54567026134426555"/>
    <n v="0"/>
  </r>
  <r>
    <x v="151"/>
    <d v="2023-07-03T00:00:00"/>
    <s v="Jul-2023"/>
    <s v="Q3-2023"/>
    <d v="2023-07-23T00:00:00"/>
    <s v="Valid"/>
    <n v="20"/>
    <d v="2023-07-23T00:00:00"/>
    <s v="Africa"/>
    <s v="Africa → South Africa → Johannesburg"/>
    <s v="South Africa-2023-07"/>
    <x v="11"/>
    <s v="Johannesburg"/>
    <s v="Small Business"/>
    <s v="Distributor"/>
    <s v="F. Müller"/>
    <x v="4"/>
    <s v="LAP-6342"/>
    <n v="1001.96"/>
    <n v="1254.95"/>
    <s v="Valid"/>
    <n v="1254.95"/>
    <s v="Medium"/>
    <n v="4.4999999999999998E-2"/>
    <s v="Valid"/>
    <n v="4.4999999999999998E-2"/>
    <n v="18"/>
    <n v="21572.590500000002"/>
    <n v="18035.28"/>
    <n v="3537.3105000000032"/>
    <n v="0.16397244920585699"/>
    <n v="0"/>
  </r>
  <r>
    <x v="152"/>
    <d v="2023-12-07T00:00:00"/>
    <s v="Dec-2023"/>
    <s v="Q4-2023"/>
    <d v="2023-12-05T00:00:00"/>
    <s v="Invalid RequiredDate"/>
    <n v="-2"/>
    <d v="2024-01-02T00:00:00"/>
    <s v="Asia"/>
    <s v="Asia → Japan → Tokyo"/>
    <s v="Japan-2023-12"/>
    <x v="2"/>
    <s v="Tokyo"/>
    <s v="Non-Profit"/>
    <s v="Marketplace"/>
    <s v="H. Kim"/>
    <x v="1"/>
    <s v="PRN-8175"/>
    <n v="1097.5899999999999"/>
    <n v="845.55"/>
    <s v="Valid"/>
    <n v="845.55"/>
    <s v="Medium"/>
    <n v="0.184"/>
    <s v="Valid"/>
    <n v="0.184"/>
    <n v="6"/>
    <n v="4139.8127999999997"/>
    <n v="6585.5399999999991"/>
    <n v="-2445.7271999999994"/>
    <n v="-0.59078207594314402"/>
    <n v="1"/>
  </r>
  <r>
    <x v="153"/>
    <d v="2024-02-18T00:00:00"/>
    <s v="Feb-2024"/>
    <s v="Q1-2024"/>
    <d v="2024-03-04T00:00:00"/>
    <s v="Valid"/>
    <n v="15"/>
    <d v="2024-03-04T00:00:00"/>
    <s v="Africa"/>
    <s v="Africa → Kenya → Kisumu"/>
    <s v="Kenya-2024-02"/>
    <x v="0"/>
    <s v="Kisumu"/>
    <s v="Education"/>
    <s v="Direct"/>
    <s v="K. Singh"/>
    <x v="1"/>
    <s v="PRN-7089"/>
    <n v="928.68"/>
    <n v="2145.17"/>
    <s v="Valid"/>
    <n v="2145.17"/>
    <s v="High"/>
    <n v="0.13600000000000001"/>
    <s v="Valid"/>
    <n v="0.13600000000000001"/>
    <n v="16"/>
    <n v="29654.83008"/>
    <n v="14858.88"/>
    <n v="14795.950080000001"/>
    <n v="0.49893896003062177"/>
    <n v="0"/>
  </r>
  <r>
    <x v="154"/>
    <d v="2023-10-31T00:00:00"/>
    <s v="Oct-2023"/>
    <s v="Q4-2023"/>
    <d v="2023-11-02T00:00:00"/>
    <s v="Valid"/>
    <n v="2"/>
    <d v="2023-11-02T00:00:00"/>
    <s v="Africa"/>
    <s v="Africa → Kenya → Kisumu"/>
    <s v="Kenya-2023-10"/>
    <x v="0"/>
    <s v="Kisumu"/>
    <s v="Education"/>
    <s v="Retail"/>
    <s v="O. Wang"/>
    <x v="6"/>
    <s v="ACC-4124"/>
    <n v="867.89"/>
    <n v="1349.94"/>
    <s v="Valid"/>
    <n v="1349.94"/>
    <s v="Medium"/>
    <n v="0.184"/>
    <s v="Valid"/>
    <n v="0.184"/>
    <n v="10"/>
    <n v="11015.510400000003"/>
    <n v="8678.9"/>
    <n v="2336.6104000000032"/>
    <n v="0.21212003031652557"/>
    <n v="1"/>
  </r>
  <r>
    <x v="155"/>
    <d v="2024-08-07T00:00:00"/>
    <s v="Aug-2024"/>
    <s v="Q3-2024"/>
    <d v="2024-08-17T00:00:00"/>
    <s v="Valid"/>
    <n v="10"/>
    <d v="2024-08-17T00:00:00"/>
    <s v="Asia"/>
    <s v="Asia → Japan → Osaka"/>
    <s v="Japan-2024-08"/>
    <x v="2"/>
    <s v="Osaka"/>
    <s v="Consumer"/>
    <s v="Online"/>
    <s v="K. Singh"/>
    <x v="2"/>
    <s v="NET-7924"/>
    <n v="436.58"/>
    <n v="527.48"/>
    <s v="Valid"/>
    <n v="527.48"/>
    <s v="Low"/>
    <n v="0.111"/>
    <s v="Valid"/>
    <n v="0.111"/>
    <n v="19"/>
    <n v="8909.6646800000017"/>
    <n v="8295.02"/>
    <n v="614.64468000000124"/>
    <n v="6.8986286473802644E-2"/>
    <n v="0"/>
  </r>
  <r>
    <x v="156"/>
    <d v="2024-02-01T00:00:00"/>
    <s v="Feb-2024"/>
    <s v="Q1-2024"/>
    <d v="2024-02-21T00:00:00"/>
    <s v="Valid"/>
    <n v="20"/>
    <d v="2024-02-21T00:00:00"/>
    <s v="Europe"/>
    <s v="Europe → France → Paris"/>
    <s v="France-2024-02"/>
    <x v="7"/>
    <s v="Paris"/>
    <s v="Small Business"/>
    <s v="Marketplace"/>
    <s v="A. Patel"/>
    <x v="2"/>
    <s v="NET-8761"/>
    <n v="656.2"/>
    <n v="1467.17"/>
    <s v="Valid"/>
    <n v="1467.17"/>
    <s v="Medium"/>
    <n v="1.7999999999999999E-2"/>
    <s v="Valid"/>
    <n v="1.7999999999999999E-2"/>
    <n v="5"/>
    <n v="7203.8047000000006"/>
    <n v="3281"/>
    <n v="3922.8047000000006"/>
    <n v="0.54454623124360946"/>
    <n v="0"/>
  </r>
  <r>
    <x v="157"/>
    <d v="2024-08-27T00:00:00"/>
    <s v="Aug-2024"/>
    <s v="Q3-2024"/>
    <d v="2024-09-18T00:00:00"/>
    <s v="Valid"/>
    <n v="22"/>
    <d v="2024-09-18T00:00:00"/>
    <s v="Asia"/>
    <s v="Asia → India → Delhi"/>
    <s v="India-2024-08"/>
    <x v="4"/>
    <s v="Delhi"/>
    <s v="Consumer"/>
    <s v="Direct"/>
    <s v="B. Chen"/>
    <x v="0"/>
    <s v="CMP-3875"/>
    <n v="896.75"/>
    <n v="1651.14"/>
    <s v="Valid"/>
    <n v="1651.14"/>
    <s v="Medium"/>
    <n v="2.5000000000000001E-2"/>
    <s v="Valid"/>
    <n v="2.5000000000000001E-2"/>
    <n v="15"/>
    <n v="24147.922500000001"/>
    <n v="13451.25"/>
    <n v="10696.672500000001"/>
    <n v="0.44296450346815552"/>
    <n v="0"/>
  </r>
  <r>
    <x v="158"/>
    <d v="2025-02-15T00:00:00"/>
    <s v="Feb-2025"/>
    <s v="Q1-2025"/>
    <d v="2025-02-15T00:00:00"/>
    <s v="Valid"/>
    <n v="0"/>
    <d v="2025-02-15T00:00:00"/>
    <s v="Europe"/>
    <s v="Europe → Germany → Frankfurt"/>
    <s v="Germany-2025-02"/>
    <x v="6"/>
    <s v="Frankfurt"/>
    <s v="Small Business"/>
    <s v="Marketplace"/>
    <s v="L. Okafor"/>
    <x v="6"/>
    <s v="ACC-3989"/>
    <n v="815.83"/>
    <n v="1982.18"/>
    <s v="Valid"/>
    <n v="1982.18"/>
    <s v="High"/>
    <n v="0.127"/>
    <s v="Valid"/>
    <n v="0.127"/>
    <n v="6"/>
    <n v="10382.65884"/>
    <n v="4894.9800000000005"/>
    <n v="5487.6788399999996"/>
    <n v="0.52854272923408507"/>
    <n v="1"/>
  </r>
  <r>
    <x v="159"/>
    <d v="2025-08-01T00:00:00"/>
    <s v="Aug-2025"/>
    <s v="Q3-2025"/>
    <d v="2025-08-21T00:00:00"/>
    <s v="Valid"/>
    <n v="20"/>
    <d v="2025-08-21T00:00:00"/>
    <s v="Asia"/>
    <s v="Asia → China → Shanghai"/>
    <s v="China-2025-08"/>
    <x v="9"/>
    <s v="Shanghai"/>
    <s v="Corporate"/>
    <s v="Direct"/>
    <s v="I. Johnson"/>
    <x v="3"/>
    <s v="PHN-9234"/>
    <n v="1220.4100000000001"/>
    <n v="2552.2199999999998"/>
    <s v="Valid"/>
    <n v="2552.2199999999998"/>
    <s v="High"/>
    <n v="0.18099999999999999"/>
    <s v="Valid"/>
    <n v="0.18099999999999999"/>
    <n v="14"/>
    <n v="29263.754519999995"/>
    <n v="17085.740000000002"/>
    <n v="12178.014519999993"/>
    <n v="0.41614668793360271"/>
    <n v="0"/>
  </r>
  <r>
    <x v="160"/>
    <d v="2023-02-20T00:00:00"/>
    <s v="Feb-2023"/>
    <s v="Q1-2023"/>
    <d v="2023-03-04T00:00:00"/>
    <s v="Valid"/>
    <n v="12"/>
    <d v="2023-03-04T00:00:00"/>
    <s v="Asia"/>
    <s v="Asia → India → Delhi"/>
    <s v="India-2023-02"/>
    <x v="4"/>
    <s v="Delhi"/>
    <s v="Consumer"/>
    <s v="Distributor"/>
    <s v="M. Rossi"/>
    <x v="5"/>
    <s v="MON-9906"/>
    <n v="299.75"/>
    <n v="523.01"/>
    <s v="Valid"/>
    <n v="523.01"/>
    <s v="Low"/>
    <n v="0.157"/>
    <s v="Valid"/>
    <n v="0.157"/>
    <n v="50"/>
    <n v="22044.871499999997"/>
    <n v="14987.5"/>
    <n v="7057.3714999999975"/>
    <n v="0.32013665854210122"/>
    <n v="0"/>
  </r>
  <r>
    <x v="161"/>
    <d v="2024-10-30T00:00:00"/>
    <s v="Oct-2024"/>
    <s v="Q4-2024"/>
    <d v="2024-11-24T00:00:00"/>
    <s v="Valid"/>
    <n v="25"/>
    <d v="2024-11-24T00:00:00"/>
    <s v="Asia"/>
    <s v="Asia → China → Shenzhen"/>
    <s v="China-2024-10"/>
    <x v="9"/>
    <s v="Shenzhen"/>
    <s v="Small Business"/>
    <s v="Online"/>
    <s v="E. Garcia"/>
    <x v="0"/>
    <s v="CMP-4610"/>
    <n v="811.05"/>
    <n v="1217.71"/>
    <s v="Valid"/>
    <n v="1217.71"/>
    <s v="Medium"/>
    <n v="7.1999999999999995E-2"/>
    <s v="Valid"/>
    <n v="7.1999999999999995E-2"/>
    <n v="5"/>
    <n v="5650.1744000000008"/>
    <n v="4055.25"/>
    <n v="1594.9244000000008"/>
    <n v="0.28227879125288602"/>
    <n v="0"/>
  </r>
  <r>
    <x v="162"/>
    <d v="2024-04-03T00:00:00"/>
    <s v="Apr-2024"/>
    <s v="Q2-2024"/>
    <d v="2024-04-07T00:00:00"/>
    <s v="Valid"/>
    <n v="4"/>
    <d v="2024-04-07T00:00:00"/>
    <s v="Americas"/>
    <s v="Americas → Brazil → Brasília"/>
    <s v="Brazil-2024-04"/>
    <x v="5"/>
    <s v="Brasília"/>
    <s v="Non-Profit"/>
    <s v="Direct"/>
    <s v="N. Brown"/>
    <x v="3"/>
    <s v="PHN-5445"/>
    <n v="1023.27"/>
    <n v="1343.64"/>
    <s v="Valid"/>
    <n v="1343.64"/>
    <s v="Medium"/>
    <n v="0.13300000000000001"/>
    <s v="Valid"/>
    <n v="0.13300000000000001"/>
    <n v="7"/>
    <n v="8154.5511600000009"/>
    <n v="7162.8899999999994"/>
    <n v="991.66116000000147"/>
    <n v="0.12160830688810116"/>
    <n v="1"/>
  </r>
  <r>
    <x v="163"/>
    <d v="2023-03-25T00:00:00"/>
    <s v="Mar-2023"/>
    <s v="Q1-2023"/>
    <d v="2023-03-26T00:00:00"/>
    <s v="Valid"/>
    <n v="1"/>
    <d v="2023-03-26T00:00:00"/>
    <s v="Asia"/>
    <s v="Asia → Japan → Osaka"/>
    <s v="Japan-2023-03"/>
    <x v="2"/>
    <s v="Osaka"/>
    <s v="Small Business"/>
    <s v="Distributor"/>
    <s v="I. Johnson"/>
    <x v="5"/>
    <s v="MON-9227"/>
    <n v="135.12"/>
    <n v="301.7"/>
    <s v="Valid"/>
    <n v="301.7"/>
    <s v="Low"/>
    <n v="0.14000000000000001"/>
    <s v="Valid"/>
    <n v="0.14000000000000001"/>
    <n v="47"/>
    <n v="12194.714"/>
    <n v="6350.64"/>
    <n v="5844.0739999999996"/>
    <n v="0.47923009920527859"/>
    <n v="1"/>
  </r>
  <r>
    <x v="164"/>
    <d v="2024-06-04T00:00:00"/>
    <s v="Jun-2024"/>
    <s v="Q2-2024"/>
    <d v="2024-06-16T00:00:00"/>
    <s v="Valid"/>
    <n v="12"/>
    <d v="2024-06-16T00:00:00"/>
    <s v="Asia"/>
    <s v="Asia → China → Shanghai"/>
    <s v="China-2024-06"/>
    <x v="9"/>
    <s v="Shanghai"/>
    <s v="Corporate"/>
    <s v="Retail"/>
    <s v="J. Njeri"/>
    <x v="1"/>
    <s v="PRN-4097"/>
    <n v="918.42"/>
    <n v="1511.71"/>
    <s v="Valid"/>
    <n v="1511.71"/>
    <s v="Medium"/>
    <n v="0.02"/>
    <s v="Valid"/>
    <n v="0.02"/>
    <n v="8"/>
    <n v="11851.806399999999"/>
    <n v="7347.36"/>
    <n v="4504.4463999999998"/>
    <n v="0.38006412254590999"/>
    <n v="0"/>
  </r>
  <r>
    <x v="165"/>
    <d v="2023-02-19T00:00:00"/>
    <s v="Feb-2023"/>
    <s v="Q1-2023"/>
    <d v="2023-03-12T00:00:00"/>
    <s v="Valid"/>
    <n v="21"/>
    <d v="2023-03-12T00:00:00"/>
    <s v="Europe"/>
    <s v="Europe → Germany → Berlin"/>
    <s v="Germany-2023-02"/>
    <x v="6"/>
    <s v="Berlin"/>
    <s v="Small Business"/>
    <s v="Direct"/>
    <s v="L. Okafor"/>
    <x v="5"/>
    <s v="MON-6699"/>
    <n v="1234.81"/>
    <n v="2055.2399999999998"/>
    <s v="Valid"/>
    <n v="2055.2399999999998"/>
    <s v="High"/>
    <n v="5.2999999999999999E-2"/>
    <s v="Valid"/>
    <n v="5.2999999999999999E-2"/>
    <n v="44"/>
    <n v="85637.740319999997"/>
    <n v="54331.64"/>
    <n v="31306.100319999998"/>
    <n v="0.36556429680441616"/>
    <n v="0"/>
  </r>
  <r>
    <x v="166"/>
    <d v="2023-04-18T00:00:00"/>
    <s v="Apr-2023"/>
    <s v="Q2-2023"/>
    <d v="2023-05-18T00:00:00"/>
    <s v="Valid"/>
    <n v="30"/>
    <d v="2023-05-18T00:00:00"/>
    <s v="Asia"/>
    <s v="Asia → China → Shenzhen"/>
    <s v="China-2023-04"/>
    <x v="9"/>
    <s v="Shenzhen"/>
    <s v="Non-Profit"/>
    <s v="Retail"/>
    <s v="H. Kim"/>
    <x v="4"/>
    <s v="LAP-1482"/>
    <n v="329.03"/>
    <n v="391.15"/>
    <s v="Valid"/>
    <n v="391.15"/>
    <s v="Low"/>
    <n v="0.19700000000000001"/>
    <s v="Valid"/>
    <n v="0.19700000000000001"/>
    <n v="46"/>
    <n v="14448.298699999998"/>
    <n v="15135.38"/>
    <n v="-687.08130000000165"/>
    <n v="-4.7554477815440081E-2"/>
    <n v="0"/>
  </r>
  <r>
    <x v="167"/>
    <d v="2024-05-23T00:00:00"/>
    <s v="May-2024"/>
    <s v="Q2-2024"/>
    <d v="2024-06-14T00:00:00"/>
    <s v="Valid"/>
    <n v="22"/>
    <d v="2024-06-14T00:00:00"/>
    <s v="Europe"/>
    <s v="Europe → France → Marseille"/>
    <s v="France-2024-05"/>
    <x v="7"/>
    <s v="Marseille"/>
    <s v="Small Business"/>
    <s v="Online"/>
    <s v="N. Brown"/>
    <x v="5"/>
    <s v="MON-2100"/>
    <n v="1481.74"/>
    <n v="1848.97"/>
    <s v="Valid"/>
    <n v="1848.97"/>
    <s v="Medium"/>
    <n v="0.254"/>
    <s v="Valid"/>
    <n v="0.254"/>
    <n v="9"/>
    <n v="12413.98458"/>
    <n v="13335.66"/>
    <n v="-921.67541999999958"/>
    <n v="-7.4244930309072407E-2"/>
    <n v="0"/>
  </r>
  <r>
    <x v="168"/>
    <d v="2023-10-07T00:00:00"/>
    <s v="Oct-2023"/>
    <s v="Q4-2023"/>
    <d v="2023-10-23T00:00:00"/>
    <s v="Valid"/>
    <n v="16"/>
    <d v="2023-10-23T00:00:00"/>
    <s v="Asia"/>
    <s v="Asia → India → Hyderabad"/>
    <s v="India-2023-10"/>
    <x v="4"/>
    <s v="Hyderabad"/>
    <s v="Consumer"/>
    <s v="Retail"/>
    <s v="G. Dubois"/>
    <x v="5"/>
    <s v="MON-7602"/>
    <n v="906.81"/>
    <n v="1395.56"/>
    <s v="Valid"/>
    <n v="1395.56"/>
    <s v="Medium"/>
    <n v="0.185"/>
    <s v="Valid"/>
    <n v="0.185"/>
    <n v="6"/>
    <n v="6824.2884000000004"/>
    <n v="5440.86"/>
    <n v="1383.4284000000007"/>
    <n v="0.20272126834498974"/>
    <n v="0"/>
  </r>
  <r>
    <x v="169"/>
    <d v="2024-10-09T00:00:00"/>
    <s v="Oct-2024"/>
    <s v="Q4-2024"/>
    <d v="2024-11-08T00:00:00"/>
    <s v="Valid"/>
    <n v="30"/>
    <d v="2024-11-08T00:00:00"/>
    <s v="Europe"/>
    <s v="Europe → United Kingdom → Manchester"/>
    <s v="United Kingdom-2024-10"/>
    <x v="8"/>
    <s v="Manchester"/>
    <s v="Small Business"/>
    <s v="Distributor"/>
    <s v="J. Njeri"/>
    <x v="0"/>
    <s v="CMP-1072"/>
    <n v="343.85"/>
    <n v="538.04"/>
    <s v="Valid"/>
    <n v="538.04"/>
    <s v="Low"/>
    <n v="0.13900000000000001"/>
    <s v="Valid"/>
    <n v="0.13900000000000001"/>
    <n v="5"/>
    <n v="2316.2621999999997"/>
    <n v="1719.25"/>
    <n v="597.01219999999967"/>
    <n v="0.25774810813732563"/>
    <n v="0"/>
  </r>
  <r>
    <x v="170"/>
    <d v="2024-07-15T00:00:00"/>
    <s v="Jul-2024"/>
    <s v="Q3-2024"/>
    <d v="2024-07-15T00:00:00"/>
    <s v="Valid"/>
    <n v="0"/>
    <d v="2024-07-15T00:00:00"/>
    <s v="Asia"/>
    <s v="Asia → Japan → Tokyo"/>
    <s v="Japan-2024-07"/>
    <x v="2"/>
    <s v="Tokyo"/>
    <s v="Small Business"/>
    <s v="Marketplace"/>
    <s v="G. Dubois"/>
    <x v="6"/>
    <s v="ACC-2735"/>
    <n v="801.77"/>
    <n v="1218.92"/>
    <s v="Valid"/>
    <n v="1218.92"/>
    <s v="Medium"/>
    <n v="0.254"/>
    <s v="Valid"/>
    <n v="0.254"/>
    <n v="16"/>
    <n v="14549.029120000001"/>
    <n v="12828.32"/>
    <n v="1720.7091200000013"/>
    <n v="0.11826968698788344"/>
    <n v="1"/>
  </r>
  <r>
    <x v="171"/>
    <d v="2023-09-21T00:00:00"/>
    <s v="Sep-2023"/>
    <s v="Q3-2023"/>
    <d v="2023-10-10T00:00:00"/>
    <s v="Valid"/>
    <n v="19"/>
    <d v="2023-10-10T00:00:00"/>
    <s v="Asia"/>
    <s v="Asia → Japan → Tokyo"/>
    <s v="Japan-2023-09"/>
    <x v="2"/>
    <s v="Tokyo"/>
    <s v="Education"/>
    <s v="Online"/>
    <s v="D. Smith"/>
    <x v="0"/>
    <s v="CMP-5211"/>
    <n v="845.63"/>
    <n v="2062.12"/>
    <s v="Valid"/>
    <n v="2062.12"/>
    <s v="High"/>
    <n v="0.13400000000000001"/>
    <s v="Valid"/>
    <n v="0.13400000000000001"/>
    <n v="5"/>
    <n v="8928.9795999999988"/>
    <n v="4228.1499999999996"/>
    <n v="4700.8295999999991"/>
    <n v="0.52646884757133949"/>
    <n v="0"/>
  </r>
  <r>
    <x v="172"/>
    <d v="2023-02-24T00:00:00"/>
    <s v="Feb-2023"/>
    <s v="Q1-2023"/>
    <d v="2023-03-09T00:00:00"/>
    <s v="Valid"/>
    <n v="13"/>
    <d v="2023-03-09T00:00:00"/>
    <s v="Americas"/>
    <s v="Americas → USA → New York"/>
    <s v="USA-2023-02"/>
    <x v="10"/>
    <s v="New York"/>
    <s v="Enterprise"/>
    <s v="Online"/>
    <s v="M. Rossi"/>
    <x v="0"/>
    <s v="CMP-1632"/>
    <n v="6.85"/>
    <n v="10.18"/>
    <s v="Valid"/>
    <n v="10.18"/>
    <s v="Low"/>
    <n v="4.7E-2"/>
    <s v="Valid"/>
    <n v="4.7E-2"/>
    <n v="10"/>
    <n v="97.0154"/>
    <n v="68.5"/>
    <n v="28.5154"/>
    <n v="0.2939265312517394"/>
    <n v="0"/>
  </r>
  <r>
    <x v="173"/>
    <d v="2025-05-21T00:00:00"/>
    <s v="May-2025"/>
    <s v="Q2-2025"/>
    <d v="2025-05-19T00:00:00"/>
    <s v="Invalid RequiredDate"/>
    <n v="-2"/>
    <d v="2025-06-16T00:00:00"/>
    <s v="Africa"/>
    <s v="Africa → South Africa → Johannesburg"/>
    <s v="South Africa-2025-05"/>
    <x v="11"/>
    <s v="Johannesburg"/>
    <s v="Non-Profit"/>
    <s v="Distributor"/>
    <s v="O. Wang"/>
    <x v="4"/>
    <s v="LAP-7099"/>
    <n v="1263.8399999999999"/>
    <n v="2281.7199999999998"/>
    <s v="Valid"/>
    <n v="2281.7199999999998"/>
    <s v="High"/>
    <n v="7.8E-2"/>
    <s v="Valid"/>
    <n v="7.8E-2"/>
    <n v="15"/>
    <n v="31556.187599999997"/>
    <n v="18957.599999999999"/>
    <n v="12598.587599999999"/>
    <n v="0.39924301882398494"/>
    <n v="1"/>
  </r>
  <r>
    <x v="174"/>
    <d v="2024-05-23T00:00:00"/>
    <s v="May-2024"/>
    <s v="Q2-2024"/>
    <d v="2024-06-03T00:00:00"/>
    <s v="Valid"/>
    <n v="11"/>
    <d v="2024-06-03T00:00:00"/>
    <s v="Africa"/>
    <s v="Africa → South Africa → Johannesburg"/>
    <s v="South Africa-2024-05"/>
    <x v="11"/>
    <s v="Johannesburg"/>
    <s v="Small Business"/>
    <s v="Distributor"/>
    <s v="F. Müller"/>
    <x v="1"/>
    <s v="PRN-3785"/>
    <n v="180.89"/>
    <n v="249.57"/>
    <s v="Valid"/>
    <n v="249.57"/>
    <s v="Low"/>
    <n v="2.1999999999999999E-2"/>
    <s v="Valid"/>
    <n v="2.1999999999999999E-2"/>
    <n v="8"/>
    <n v="1952.6356799999999"/>
    <n v="1447.12"/>
    <n v="505.51567999999997"/>
    <n v="0.25888888806948362"/>
    <n v="0"/>
  </r>
  <r>
    <x v="175"/>
    <d v="2025-04-14T00:00:00"/>
    <s v="Apr-2025"/>
    <s v="Q2-2025"/>
    <d v="2025-05-04T00:00:00"/>
    <s v="Valid"/>
    <n v="20"/>
    <d v="2025-05-04T00:00:00"/>
    <s v="Europe"/>
    <s v="Europe → United Kingdom → Birmingham"/>
    <s v="United Kingdom-2025-04"/>
    <x v="8"/>
    <s v="Birmingham"/>
    <s v="Enterprise"/>
    <s v="Marketplace"/>
    <s v="K. Singh"/>
    <x v="5"/>
    <s v="MON-6962"/>
    <n v="1413.87"/>
    <n v="3275"/>
    <s v="Valid"/>
    <n v="3275"/>
    <s v="High"/>
    <n v="0.255"/>
    <s v="Valid"/>
    <n v="0.255"/>
    <n v="38"/>
    <n v="92715.25"/>
    <n v="53727.06"/>
    <n v="38988.19"/>
    <n v="0.42051539525590453"/>
    <n v="0"/>
  </r>
  <r>
    <x v="176"/>
    <d v="2023-08-27T00:00:00"/>
    <s v="Aug-2023"/>
    <s v="Q3-2023"/>
    <d v="2023-09-11T00:00:00"/>
    <s v="Valid"/>
    <n v="15"/>
    <d v="2023-09-11T00:00:00"/>
    <s v="Europe"/>
    <s v="Europe → United Kingdom → London"/>
    <s v="United Kingdom-2023-08"/>
    <x v="8"/>
    <s v="London"/>
    <s v="Consumer"/>
    <s v="Marketplace"/>
    <s v="N. Brown"/>
    <x v="1"/>
    <s v="PRN-5107"/>
    <n v="943.79"/>
    <n v="1913.76"/>
    <s v="Valid"/>
    <n v="1913.76"/>
    <s v="High"/>
    <n v="9.0999999999999998E-2"/>
    <s v="Valid"/>
    <n v="9.0999999999999998E-2"/>
    <n v="9"/>
    <n v="15656.47056"/>
    <n v="8494.11"/>
    <n v="7162.3605599999992"/>
    <n v="0.45746967891338081"/>
    <n v="0"/>
  </r>
  <r>
    <x v="177"/>
    <d v="2024-02-03T00:00:00"/>
    <s v="Feb-2024"/>
    <s v="Q1-2024"/>
    <d v="2024-02-21T00:00:00"/>
    <s v="Valid"/>
    <n v="18"/>
    <d v="2024-02-21T00:00:00"/>
    <s v="Europe"/>
    <s v="Europe → Germany → Frankfurt"/>
    <s v="Germany-2024-02"/>
    <x v="6"/>
    <s v="Frankfurt"/>
    <s v="Corporate"/>
    <s v="Retail"/>
    <s v="H. Kim"/>
    <x v="0"/>
    <s v="CMP-9264"/>
    <n v="39.229999999999997"/>
    <n v="30.09"/>
    <s v="Valid"/>
    <n v="30.09"/>
    <s v="Low"/>
    <n v="0.17699999999999999"/>
    <s v="Valid"/>
    <n v="0.17699999999999999"/>
    <n v="13"/>
    <n v="321.93290999999999"/>
    <n v="509.98999999999995"/>
    <n v="-188.05708999999996"/>
    <n v="-0.58414993981199359"/>
    <n v="0"/>
  </r>
  <r>
    <x v="178"/>
    <d v="2023-04-05T00:00:00"/>
    <s v="Apr-2023"/>
    <s v="Q2-2023"/>
    <d v="2023-04-16T00:00:00"/>
    <s v="Valid"/>
    <n v="11"/>
    <d v="2023-04-16T00:00:00"/>
    <s v="Americas"/>
    <s v="Americas → Canada → Vancouver"/>
    <s v="Canada-2023-04"/>
    <x v="3"/>
    <s v="Vancouver"/>
    <s v="Non-Profit"/>
    <s v="Online"/>
    <s v="O. Wang"/>
    <x v="5"/>
    <s v="MON-5259"/>
    <n v="213.1"/>
    <n v="501.31"/>
    <s v="Valid"/>
    <n v="501.31"/>
    <s v="Low"/>
    <n v="5.6000000000000001E-2"/>
    <s v="Valid"/>
    <n v="5.6000000000000001E-2"/>
    <n v="15"/>
    <n v="7098.5495999999994"/>
    <n v="3196.5"/>
    <n v="3902.0495999999994"/>
    <n v="0.54969674368409005"/>
    <n v="0"/>
  </r>
  <r>
    <x v="179"/>
    <d v="2025-08-21T00:00:00"/>
    <s v="Aug-2025"/>
    <s v="Q3-2025"/>
    <d v="2025-09-12T00:00:00"/>
    <s v="Valid"/>
    <n v="22"/>
    <d v="2025-09-12T00:00:00"/>
    <s v="Asia"/>
    <s v="Asia → China → Shenzhen"/>
    <s v="China-2025-08"/>
    <x v="9"/>
    <s v="Shenzhen"/>
    <s v="Education"/>
    <s v="Retail"/>
    <s v="B. Chen"/>
    <x v="1"/>
    <s v="PRN-8137"/>
    <n v="352.66"/>
    <n v="411.18"/>
    <s v="Valid"/>
    <n v="411.18"/>
    <s v="Low"/>
    <n v="0.17299999999999999"/>
    <s v="Valid"/>
    <n v="0.17299999999999999"/>
    <n v="13"/>
    <n v="4420.5961799999995"/>
    <n v="4584.58"/>
    <n v="-163.98382000000038"/>
    <n v="-3.7095408248758066E-2"/>
    <n v="0"/>
  </r>
  <r>
    <x v="180"/>
    <d v="2025-09-15T00:00:00"/>
    <s v="Sep-2025"/>
    <s v="Q3-2025"/>
    <d v="2025-09-18T00:00:00"/>
    <s v="Valid"/>
    <n v="3"/>
    <d v="2025-09-18T00:00:00"/>
    <s v="Americas"/>
    <s v="Americas → Brazil → Rio de Janeiro"/>
    <s v="Brazil-2025-09"/>
    <x v="5"/>
    <s v="Rio de Janeiro"/>
    <s v="Non-Profit"/>
    <s v="Direct"/>
    <s v="L. Okafor"/>
    <x v="6"/>
    <s v="ACC-6777"/>
    <n v="5.5"/>
    <n v="5.92"/>
    <s v="Valid"/>
    <n v="5.92"/>
    <s v="Low"/>
    <n v="0.21199999999999999"/>
    <s v="Valid"/>
    <n v="0.21199999999999999"/>
    <n v="4"/>
    <n v="18.659839999999999"/>
    <n v="22"/>
    <n v="-3.3401600000000009"/>
    <n v="-0.17900260666758133"/>
    <n v="1"/>
  </r>
  <r>
    <x v="181"/>
    <d v="2024-10-03T00:00:00"/>
    <s v="Oct-2024"/>
    <s v="Q4-2024"/>
    <d v="2024-10-11T00:00:00"/>
    <s v="Valid"/>
    <n v="8"/>
    <d v="2024-10-11T00:00:00"/>
    <s v="Asia"/>
    <s v="Asia → China → Beijing"/>
    <s v="China-2024-10"/>
    <x v="9"/>
    <s v="Beijing"/>
    <s v="Enterprise"/>
    <s v="Direct"/>
    <s v="B. Chen"/>
    <x v="3"/>
    <s v="PHN-7488"/>
    <n v="1132.6099999999999"/>
    <n v="2206.63"/>
    <s v="Valid"/>
    <n v="2206.63"/>
    <s v="High"/>
    <n v="6.3E-2"/>
    <s v="Valid"/>
    <n v="6.3E-2"/>
    <n v="20"/>
    <n v="41352.246200000009"/>
    <n v="22652.199999999997"/>
    <n v="18700.046200000012"/>
    <n v="0.45221355351671338"/>
    <n v="0"/>
  </r>
  <r>
    <x v="182"/>
    <d v="2025-02-02T00:00:00"/>
    <s v="Feb-2025"/>
    <s v="Q1-2025"/>
    <d v="2025-03-04T00:00:00"/>
    <s v="Valid"/>
    <n v="30"/>
    <d v="2025-03-04T00:00:00"/>
    <s v="Asia"/>
    <s v="Asia → Japan → Osaka"/>
    <s v="Japan-2025-02"/>
    <x v="2"/>
    <s v="Osaka"/>
    <s v="Education"/>
    <s v="Distributor"/>
    <s v="L. Okafor"/>
    <x v="6"/>
    <s v="ACC-9591"/>
    <n v="766.59"/>
    <n v="1912.8"/>
    <s v="Valid"/>
    <n v="1912.8"/>
    <s v="High"/>
    <n v="0.19600000000000001"/>
    <s v="Valid"/>
    <n v="0.19600000000000001"/>
    <n v="5"/>
    <n v="7689.4560000000001"/>
    <n v="3832.9500000000003"/>
    <n v="3856.5059999999999"/>
    <n v="0.50153170783472845"/>
    <n v="0"/>
  </r>
  <r>
    <x v="183"/>
    <d v="2023-08-19T00:00:00"/>
    <s v="Aug-2023"/>
    <s v="Q3-2023"/>
    <d v="2023-08-23T00:00:00"/>
    <s v="Valid"/>
    <n v="4"/>
    <d v="2023-08-23T00:00:00"/>
    <s v="Africa"/>
    <s v="Africa → Nigeria → Abuja"/>
    <s v="Nigeria-2023-08"/>
    <x v="1"/>
    <s v="Abuja"/>
    <s v="Small Business"/>
    <s v="Online"/>
    <s v="J. Njeri"/>
    <x v="5"/>
    <s v="MON-5517"/>
    <n v="790.63"/>
    <n v="1382.31"/>
    <s v="Valid"/>
    <n v="1382.31"/>
    <s v="Medium"/>
    <n v="0.10100000000000001"/>
    <s v="Valid"/>
    <n v="0.10100000000000001"/>
    <n v="7"/>
    <n v="8698.8768300000011"/>
    <n v="5534.41"/>
    <n v="3164.4668300000012"/>
    <n v="0.36377878338116448"/>
    <n v="1"/>
  </r>
  <r>
    <x v="184"/>
    <d v="2024-10-22T00:00:00"/>
    <s v="Oct-2024"/>
    <s v="Q4-2024"/>
    <d v="2024-10-29T00:00:00"/>
    <s v="Valid"/>
    <n v="7"/>
    <d v="2024-10-29T00:00:00"/>
    <s v="Africa"/>
    <s v="Africa → Nigeria → Port Harcourt"/>
    <s v="Nigeria-2024-10"/>
    <x v="1"/>
    <s v="Port Harcourt"/>
    <s v="Enterprise"/>
    <s v="Distributor"/>
    <s v="M. Rossi"/>
    <x v="5"/>
    <s v="MON-8758"/>
    <n v="1023.06"/>
    <n v="1355.61"/>
    <s v="Valid"/>
    <n v="1355.61"/>
    <s v="Medium"/>
    <n v="0.153"/>
    <s v="Valid"/>
    <n v="0.153"/>
    <n v="23"/>
    <n v="26408.63841"/>
    <n v="23530.379999999997"/>
    <n v="2878.2584100000022"/>
    <n v="0.10898927711888809"/>
    <n v="1"/>
  </r>
  <r>
    <x v="185"/>
    <d v="2023-06-22T00:00:00"/>
    <s v="Jun-2023"/>
    <s v="Q2-2023"/>
    <d v="2023-07-21T00:00:00"/>
    <s v="Valid"/>
    <n v="29"/>
    <d v="2023-07-21T00:00:00"/>
    <s v="Europe"/>
    <s v="Europe → France → Lyon"/>
    <s v="France-2023-06"/>
    <x v="7"/>
    <s v="Lyon"/>
    <s v="Corporate"/>
    <s v="Retail"/>
    <s v="J. Njeri"/>
    <x v="6"/>
    <s v="ACC-3385"/>
    <n v="734.34"/>
    <n v="887.9"/>
    <s v="Valid"/>
    <n v="887.9"/>
    <s v="Medium"/>
    <n v="2.5000000000000001E-2"/>
    <s v="Valid"/>
    <n v="2.5000000000000001E-2"/>
    <n v="12"/>
    <n v="10388.429999999998"/>
    <n v="8812.08"/>
    <n v="1576.3499999999985"/>
    <n v="0.15174092716608753"/>
    <n v="0"/>
  </r>
  <r>
    <x v="186"/>
    <d v="2025-01-13T00:00:00"/>
    <s v="Jan-2025"/>
    <s v="Q1-2025"/>
    <d v="2025-02-08T00:00:00"/>
    <s v="Valid"/>
    <n v="26"/>
    <d v="2025-02-08T00:00:00"/>
    <s v="Europe"/>
    <s v="Europe → France → Paris"/>
    <s v="France-2025-01"/>
    <x v="7"/>
    <s v="Paris"/>
    <s v="Non-Profit"/>
    <s v="Unknown"/>
    <s v="E. Garcia"/>
    <x v="5"/>
    <s v="MON-1593"/>
    <n v="594.74"/>
    <n v="1020.69"/>
    <s v="Valid"/>
    <n v="1020.69"/>
    <s v="Medium"/>
    <n v="0.21099999999999999"/>
    <s v="Valid"/>
    <n v="0.21099999999999999"/>
    <n v="6"/>
    <n v="4831.9464600000001"/>
    <n v="3568.44"/>
    <n v="1263.5064600000001"/>
    <n v="0.26149016146176424"/>
    <n v="0"/>
  </r>
  <r>
    <x v="129"/>
    <d v="2023-01-29T00:00:00"/>
    <s v="Jan-2023"/>
    <s v="Q1-2023"/>
    <d v="2023-02-28T00:00:00"/>
    <s v="Valid"/>
    <n v="30"/>
    <d v="2023-02-28T00:00:00"/>
    <s v="Asia"/>
    <s v="Asia → India → Bengaluru"/>
    <s v="India-2023-01"/>
    <x v="4"/>
    <s v="Bengaluru"/>
    <s v="Non-Profit"/>
    <s v="Retail"/>
    <s v="B. Chen"/>
    <x v="6"/>
    <s v="ACC-4631"/>
    <n v="1262.0999999999999"/>
    <n v="1395.53"/>
    <s v="Valid"/>
    <n v="1395.53"/>
    <s v="Medium"/>
    <n v="0.23300000000000001"/>
    <s v="Valid"/>
    <n v="0.23300000000000001"/>
    <n v="25"/>
    <n v="26759.28775"/>
    <n v="31552.499999999996"/>
    <n v="-4793.2122499999969"/>
    <n v="-0.17912331205452198"/>
    <n v="0"/>
  </r>
  <r>
    <x v="187"/>
    <d v="2023-07-19T00:00:00"/>
    <s v="Jul-2023"/>
    <s v="Q3-2023"/>
    <d v="2023-07-31T00:00:00"/>
    <s v="Valid"/>
    <n v="12"/>
    <d v="2023-07-31T00:00:00"/>
    <s v="Americas"/>
    <s v="Americas → Brazil → Rio de Janeiro"/>
    <s v="Brazil-2023-07"/>
    <x v="5"/>
    <s v="Rio de Janeiro"/>
    <s v="Corporate"/>
    <s v="Retail"/>
    <s v="C. Otieno"/>
    <x v="5"/>
    <s v="MON-7869"/>
    <n v="1334.64"/>
    <n v="2273.42"/>
    <s v="Valid"/>
    <n v="2273.42"/>
    <s v="High"/>
    <n v="0.11799999999999999"/>
    <s v="Valid"/>
    <n v="0.11799999999999999"/>
    <n v="14"/>
    <n v="28072.190160000002"/>
    <n v="18684.960000000003"/>
    <n v="9387.2301599999992"/>
    <n v="0.33439607335575267"/>
    <n v="0"/>
  </r>
  <r>
    <x v="188"/>
    <d v="2024-05-19T00:00:00"/>
    <s v="May-2024"/>
    <s v="Q2-2024"/>
    <d v="2024-06-08T00:00:00"/>
    <s v="Valid"/>
    <n v="20"/>
    <d v="2024-06-08T00:00:00"/>
    <s v="Americas"/>
    <s v="Americas → Brazil → Brasília"/>
    <s v="Brazil-2024-05"/>
    <x v="5"/>
    <s v="Brasília"/>
    <s v="Small Business"/>
    <s v="Retail"/>
    <s v="E. Garcia"/>
    <x v="5"/>
    <s v="MON-4271"/>
    <n v="1075.9000000000001"/>
    <n v="1242.1500000000001"/>
    <s v="Valid"/>
    <n v="1242.1500000000001"/>
    <s v="Medium"/>
    <n v="1.2E-2"/>
    <s v="Valid"/>
    <n v="1.2E-2"/>
    <n v="7"/>
    <n v="8590.7094000000016"/>
    <n v="7531.3000000000011"/>
    <n v="1059.4094000000005"/>
    <n v="0.12332036280961853"/>
    <n v="0"/>
  </r>
  <r>
    <x v="189"/>
    <d v="2024-02-03T00:00:00"/>
    <s v="Feb-2024"/>
    <s v="Q1-2024"/>
    <d v="2024-02-19T00:00:00"/>
    <s v="Valid"/>
    <n v="16"/>
    <d v="2024-02-19T00:00:00"/>
    <s v="Asia"/>
    <s v="Asia → China → Shenzhen"/>
    <s v="China-2024-02"/>
    <x v="9"/>
    <s v="Shenzhen"/>
    <s v="Small Business"/>
    <s v="Online"/>
    <s v="H. Kim"/>
    <x v="4"/>
    <s v="LAP-5531"/>
    <n v="993.75"/>
    <n v="1310.29"/>
    <s v="Valid"/>
    <n v="1310.29"/>
    <s v="Medium"/>
    <n v="0.215"/>
    <s v="Valid"/>
    <n v="0.215"/>
    <n v="19"/>
    <n v="19542.975350000001"/>
    <n v="18881.25"/>
    <n v="661.72535000000062"/>
    <n v="3.3860010471742245E-2"/>
    <n v="0"/>
  </r>
  <r>
    <x v="190"/>
    <d v="2023-08-08T00:00:00"/>
    <s v="Aug-2023"/>
    <s v="Q3-2023"/>
    <d v="2023-08-22T00:00:00"/>
    <s v="Valid"/>
    <n v="14"/>
    <d v="2023-08-22T00:00:00"/>
    <s v="Europe"/>
    <s v="Europe → United Kingdom → Birmingham"/>
    <s v="United Kingdom-2023-08"/>
    <x v="8"/>
    <s v="Birmingham"/>
    <s v="Non-Profit"/>
    <s v="Direct"/>
    <s v="N. Brown"/>
    <x v="5"/>
    <s v="MON-7511"/>
    <n v="446.69"/>
    <n v="967.25"/>
    <s v="Valid"/>
    <n v="967.25"/>
    <s v="Medium"/>
    <n v="9.4E-2"/>
    <s v="Valid"/>
    <n v="9.4E-2"/>
    <n v="10"/>
    <n v="8763.2849999999999"/>
    <n v="4466.8999999999996"/>
    <n v="4296.3850000000002"/>
    <n v="0.49027105702941309"/>
    <n v="0"/>
  </r>
  <r>
    <x v="191"/>
    <d v="2024-08-12T00:00:00"/>
    <s v="Aug-2024"/>
    <s v="Q3-2024"/>
    <d v="2024-09-03T00:00:00"/>
    <s v="Valid"/>
    <n v="22"/>
    <d v="2024-09-03T00:00:00"/>
    <s v="Americas"/>
    <s v="Americas → USA → Austin"/>
    <s v="USA-2024-08"/>
    <x v="10"/>
    <s v="Austin"/>
    <s v="Consumer"/>
    <s v="Distributor"/>
    <s v="I. Johnson"/>
    <x v="4"/>
    <s v="LAP-7979"/>
    <n v="797.8"/>
    <n v="886.22"/>
    <s v="Valid"/>
    <n v="886.22"/>
    <s v="Medium"/>
    <n v="0.23599999999999999"/>
    <s v="Valid"/>
    <n v="0.23599999999999999"/>
    <n v="36"/>
    <n v="24374.594880000001"/>
    <n v="28720.799999999999"/>
    <n v="-4346.2051199999987"/>
    <n v="-0.17830881462428633"/>
    <n v="0"/>
  </r>
  <r>
    <x v="192"/>
    <d v="2023-10-15T00:00:00"/>
    <s v="Oct-2023"/>
    <s v="Q4-2023"/>
    <d v="2023-11-13T00:00:00"/>
    <s v="Valid"/>
    <n v="29"/>
    <d v="2023-11-13T00:00:00"/>
    <s v="Asia"/>
    <s v="Asia → China → Shenzhen"/>
    <s v="China-2023-10"/>
    <x v="9"/>
    <s v="Shenzhen"/>
    <s v="Non-Profit"/>
    <s v="Distributor"/>
    <s v="J. Njeri"/>
    <x v="1"/>
    <s v="PRN-4983"/>
    <n v="986.44"/>
    <n v="790.61"/>
    <s v="Valid"/>
    <n v="790.61"/>
    <s v="Medium"/>
    <n v="7.1999999999999995E-2"/>
    <s v="Valid"/>
    <n v="7.1999999999999995E-2"/>
    <n v="6"/>
    <n v="4402.1164799999997"/>
    <n v="5918.64"/>
    <n v="-1516.5235200000006"/>
    <n v="-0.34449872621271499"/>
    <n v="0"/>
  </r>
  <r>
    <x v="193"/>
    <d v="2023-05-04T00:00:00"/>
    <s v="May-2023"/>
    <s v="Q2-2023"/>
    <d v="2023-05-26T00:00:00"/>
    <s v="Valid"/>
    <n v="22"/>
    <d v="2023-05-26T00:00:00"/>
    <s v="Americas"/>
    <s v="Americas → USA → San Francisco"/>
    <s v="USA-2023-05"/>
    <x v="10"/>
    <s v="San Francisco"/>
    <s v="Enterprise"/>
    <s v="Online"/>
    <s v="J. Njeri"/>
    <x v="2"/>
    <s v="NET-5941"/>
    <n v="249.71"/>
    <n v="361.33"/>
    <s v="Valid"/>
    <n v="361.33"/>
    <s v="Low"/>
    <n v="9.4E-2"/>
    <s v="Valid"/>
    <n v="9.4E-2"/>
    <n v="12"/>
    <n v="3928.3797600000003"/>
    <n v="2996.52"/>
    <n v="931.85976000000028"/>
    <n v="0.23721223937881206"/>
    <n v="0"/>
  </r>
  <r>
    <x v="194"/>
    <d v="2024-09-22T00:00:00"/>
    <s v="Sep-2024"/>
    <s v="Q3-2024"/>
    <d v="2024-10-01T00:00:00"/>
    <s v="Valid"/>
    <n v="9"/>
    <d v="2024-10-01T00:00:00"/>
    <s v="Americas"/>
    <s v="Americas → Brazil → São Paulo"/>
    <s v="Brazil-2024-09"/>
    <x v="5"/>
    <s v="São Paulo"/>
    <s v="Non-Profit"/>
    <s v="Online"/>
    <s v="K. Singh"/>
    <x v="5"/>
    <s v="MON-6341"/>
    <n v="1378.8"/>
    <n v="1952.04"/>
    <s v="Valid"/>
    <n v="1952.04"/>
    <s v="High"/>
    <n v="0.159"/>
    <s v="Valid"/>
    <n v="0.159"/>
    <n v="19"/>
    <n v="31191.64716"/>
    <n v="26197.200000000001"/>
    <n v="4994.4471599999997"/>
    <n v="0.16012130216723058"/>
    <n v="0"/>
  </r>
  <r>
    <x v="195"/>
    <d v="2024-10-23T00:00:00"/>
    <s v="Oct-2024"/>
    <s v="Q4-2024"/>
    <d v="2024-11-14T00:00:00"/>
    <s v="Valid"/>
    <n v="22"/>
    <d v="2024-11-14T00:00:00"/>
    <s v="Asia"/>
    <s v="Asia → Japan → Osaka"/>
    <s v="Japan-2024-10"/>
    <x v="2"/>
    <s v="Osaka"/>
    <s v="Non-Profit"/>
    <s v="Direct"/>
    <s v="B. Chen"/>
    <x v="3"/>
    <s v="PHN-9789"/>
    <n v="1406.4"/>
    <n v="1564.76"/>
    <s v="Valid"/>
    <n v="1564.76"/>
    <s v="Medium"/>
    <n v="0.185"/>
    <s v="Valid"/>
    <n v="0.185"/>
    <n v="17"/>
    <n v="21679.749799999998"/>
    <n v="23908.800000000003"/>
    <n v="-2229.0502000000051"/>
    <n v="-0.10281715520536151"/>
    <n v="0"/>
  </r>
  <r>
    <x v="196"/>
    <d v="2024-02-11T00:00:00"/>
    <s v="Feb-2024"/>
    <s v="Q1-2024"/>
    <d v="2024-03-03T00:00:00"/>
    <s v="Valid"/>
    <n v="21"/>
    <d v="2024-03-03T00:00:00"/>
    <s v="Africa"/>
    <s v="Africa → Kenya → Kisumu"/>
    <s v="Kenya-2024-02"/>
    <x v="0"/>
    <s v="Kisumu"/>
    <s v="Enterprise"/>
    <s v="Online"/>
    <s v="B. Chen"/>
    <x v="3"/>
    <s v="PHN-5082"/>
    <n v="516.86"/>
    <n v="852.54"/>
    <s v="Valid"/>
    <n v="852.54"/>
    <s v="Medium"/>
    <n v="5.0999999999999997E-2"/>
    <s v="Valid"/>
    <n v="5.0999999999999997E-2"/>
    <n v="14"/>
    <n v="11326.846439999999"/>
    <n v="7236.04"/>
    <n v="4090.8064399999994"/>
    <n v="0.36116022775355994"/>
    <n v="0"/>
  </r>
  <r>
    <x v="197"/>
    <d v="2023-01-30T00:00:00"/>
    <s v="Jan-2023"/>
    <s v="Q1-2023"/>
    <d v="2023-02-21T00:00:00"/>
    <s v="Valid"/>
    <n v="22"/>
    <d v="2023-02-21T00:00:00"/>
    <s v="Europe"/>
    <s v="Europe → Germany → Munich"/>
    <s v="Germany-2023-01"/>
    <x v="6"/>
    <s v="Munich"/>
    <s v="Small Business"/>
    <s v="Marketplace"/>
    <s v="G. Dubois"/>
    <x v="2"/>
    <s v="NET-3460"/>
    <n v="1142.8800000000001"/>
    <n v="1465.29"/>
    <s v="Valid"/>
    <n v="1465.29"/>
    <s v="Medium"/>
    <n v="0.186"/>
    <s v="Valid"/>
    <n v="0.186"/>
    <n v="7"/>
    <n v="8349.2224200000001"/>
    <n v="8000.1600000000008"/>
    <n v="349.06241999999929"/>
    <n v="4.1807775915017401E-2"/>
    <n v="0"/>
  </r>
  <r>
    <x v="198"/>
    <d v="2023-04-14T00:00:00"/>
    <s v="Apr-2023"/>
    <s v="Q2-2023"/>
    <d v="2023-05-13T00:00:00"/>
    <s v="Valid"/>
    <n v="29"/>
    <d v="2023-05-13T00:00:00"/>
    <s v="Europe"/>
    <s v="Europe → Germany → Frankfurt"/>
    <s v="Germany-2023-04"/>
    <x v="6"/>
    <s v="Frankfurt"/>
    <s v="Consumer"/>
    <s v="Direct"/>
    <s v="J. Njeri"/>
    <x v="1"/>
    <s v="PRN-7019"/>
    <n v="1320.33"/>
    <n v="2645.23"/>
    <s v="Valid"/>
    <n v="2645.23"/>
    <s v="High"/>
    <n v="0.155"/>
    <s v="Valid"/>
    <n v="0.155"/>
    <n v="25"/>
    <n v="55880.483749999999"/>
    <n v="33008.25"/>
    <n v="22872.233749999999"/>
    <n v="0.40930629470436536"/>
    <n v="0"/>
  </r>
  <r>
    <x v="199"/>
    <d v="2023-01-13T00:00:00"/>
    <s v="Jan-2023"/>
    <s v="Q1-2023"/>
    <d v="2023-01-19T00:00:00"/>
    <s v="Valid"/>
    <n v="6"/>
    <d v="2023-01-19T00:00:00"/>
    <s v="Americas"/>
    <s v="Americas → USA → Chicago"/>
    <s v="USA-2023-01"/>
    <x v="10"/>
    <s v="Chicago"/>
    <s v="Corporate"/>
    <s v="Direct"/>
    <s v="H. Kim"/>
    <x v="3"/>
    <s v="PHN-3159"/>
    <n v="833.57"/>
    <n v="881.57"/>
    <s v="Valid"/>
    <n v="881.57"/>
    <s v="Medium"/>
    <n v="5.7000000000000002E-2"/>
    <s v="Valid"/>
    <n v="5.7000000000000002E-2"/>
    <n v="18"/>
    <n v="14963.769179999999"/>
    <n v="15004.26"/>
    <n v="-40.490820000000895"/>
    <n v="-2.7059238560107821E-3"/>
    <n v="1"/>
  </r>
  <r>
    <x v="200"/>
    <d v="2024-01-12T00:00:00"/>
    <s v="Jan-2024"/>
    <s v="Q1-2024"/>
    <d v="2024-01-29T00:00:00"/>
    <s v="Valid"/>
    <n v="17"/>
    <d v="2024-01-29T00:00:00"/>
    <s v="Americas"/>
    <s v="Americas → USA → Chicago"/>
    <s v="USA-2024-01"/>
    <x v="10"/>
    <s v="Chicago"/>
    <s v="Education"/>
    <s v="Distributor"/>
    <s v="A. Patel"/>
    <x v="1"/>
    <s v="PRN-8604"/>
    <n v="493.76"/>
    <n v="625.04"/>
    <s v="Valid"/>
    <n v="625.04"/>
    <s v="Medium"/>
    <n v="0.25800000000000001"/>
    <s v="Valid"/>
    <n v="0.25800000000000001"/>
    <n v="10"/>
    <n v="4637.7968000000001"/>
    <n v="4937.6000000000004"/>
    <n v="-299.80320000000029"/>
    <n v="-6.464345311549663E-2"/>
    <n v="0"/>
  </r>
  <r>
    <x v="201"/>
    <d v="2023-08-15T00:00:00"/>
    <s v="Aug-2023"/>
    <s v="Q3-2023"/>
    <d v="2023-09-07T00:00:00"/>
    <s v="Valid"/>
    <n v="23"/>
    <d v="2023-09-07T00:00:00"/>
    <s v="Americas"/>
    <s v="Americas → USA → New York"/>
    <s v="USA-2023-08"/>
    <x v="10"/>
    <s v="New York"/>
    <s v="Enterprise"/>
    <s v="Online"/>
    <s v="K. Singh"/>
    <x v="3"/>
    <s v="PHN-2013"/>
    <n v="590.33000000000004"/>
    <n v="973.04"/>
    <s v="Valid"/>
    <n v="973.04"/>
    <s v="Medium"/>
    <n v="0"/>
    <s v="Valid"/>
    <n v="0"/>
    <n v="26"/>
    <n v="25299.040000000001"/>
    <n v="15348.580000000002"/>
    <n v="9950.4599999999991"/>
    <n v="0.39331373838691108"/>
    <n v="0"/>
  </r>
  <r>
    <x v="202"/>
    <d v="2023-01-20T00:00:00"/>
    <s v="Jan-2023"/>
    <s v="Q1-2023"/>
    <d v="2023-02-03T00:00:00"/>
    <s v="Valid"/>
    <n v="14"/>
    <d v="2023-02-03T00:00:00"/>
    <s v="Africa"/>
    <s v="Africa → Kenya → Kisumu"/>
    <s v="Kenya-2023-01"/>
    <x v="0"/>
    <s v="Kisumu"/>
    <s v="Corporate"/>
    <s v="Retail"/>
    <s v="M. Rossi"/>
    <x v="2"/>
    <s v="NET-6036"/>
    <n v="884.36"/>
    <n v="1545.34"/>
    <s v="Valid"/>
    <n v="1545.34"/>
    <s v="Medium"/>
    <n v="0.24299999999999999"/>
    <s v="Valid"/>
    <n v="0.24299999999999999"/>
    <n v="41"/>
    <n v="47962.717579999997"/>
    <n v="36258.76"/>
    <n v="11703.957579999995"/>
    <n v="0.24402198562827965"/>
    <n v="0"/>
  </r>
  <r>
    <x v="203"/>
    <d v="2025-02-04T00:00:00"/>
    <s v="Feb-2025"/>
    <s v="Q1-2025"/>
    <d v="2025-02-25T00:00:00"/>
    <s v="Valid"/>
    <n v="21"/>
    <d v="2025-02-25T00:00:00"/>
    <s v="Europe"/>
    <s v="Europe → United Kingdom → Birmingham"/>
    <s v="United Kingdom-2025-02"/>
    <x v="8"/>
    <s v="Birmingham"/>
    <s v="Corporate"/>
    <s v="Marketplace"/>
    <s v="D. Smith"/>
    <x v="5"/>
    <s v="MON-4959"/>
    <n v="1016.32"/>
    <n v="2253.42"/>
    <s v="Valid"/>
    <n v="2253.42"/>
    <s v="High"/>
    <n v="5.5E-2"/>
    <s v="Valid"/>
    <n v="5.5E-2"/>
    <n v="12"/>
    <n v="25553.782800000001"/>
    <n v="12195.84"/>
    <n v="13357.942800000001"/>
    <n v="0.52273837124419797"/>
    <n v="0"/>
  </r>
  <r>
    <x v="204"/>
    <d v="2023-04-19T00:00:00"/>
    <s v="Apr-2023"/>
    <s v="Q2-2023"/>
    <d v="2023-04-28T00:00:00"/>
    <s v="Valid"/>
    <n v="9"/>
    <d v="2023-04-28T00:00:00"/>
    <s v="Europe"/>
    <s v="Europe → Germany → Berlin"/>
    <s v="Germany-2023-04"/>
    <x v="6"/>
    <s v="Berlin"/>
    <s v="Education"/>
    <s v="Online"/>
    <s v="E. Garcia"/>
    <x v="5"/>
    <s v="MON-1663"/>
    <n v="1178.42"/>
    <n v="2446.56"/>
    <s v="Valid"/>
    <n v="2446.56"/>
    <s v="High"/>
    <n v="2.9000000000000001E-2"/>
    <s v="Valid"/>
    <n v="2.9000000000000001E-2"/>
    <n v="11"/>
    <n v="26131.70736"/>
    <n v="12962.62"/>
    <n v="13169.08736"/>
    <n v="0.5039505141618883"/>
    <n v="0"/>
  </r>
  <r>
    <x v="205"/>
    <d v="2023-07-02T00:00:00"/>
    <s v="Jul-2023"/>
    <s v="Q3-2023"/>
    <d v="2023-08-01T00:00:00"/>
    <s v="Valid"/>
    <n v="30"/>
    <d v="2023-08-01T00:00:00"/>
    <s v="Europe"/>
    <s v="Europe → United Kingdom → Birmingham"/>
    <s v="United Kingdom-2023-07"/>
    <x v="8"/>
    <s v="Birmingham"/>
    <s v="Small Business"/>
    <s v="Retail"/>
    <s v="B. Chen"/>
    <x v="0"/>
    <s v="CMP-7256"/>
    <n v="137.46"/>
    <n v="188.3"/>
    <s v="Valid"/>
    <n v="188.3"/>
    <s v="Low"/>
    <n v="3.7999999999999999E-2"/>
    <s v="Valid"/>
    <n v="3.7999999999999999E-2"/>
    <n v="37"/>
    <n v="6702.3501999999999"/>
    <n v="5086.0200000000004"/>
    <n v="1616.3301999999994"/>
    <n v="0.24115872071262398"/>
    <n v="0"/>
  </r>
  <r>
    <x v="206"/>
    <d v="2025-01-21T00:00:00"/>
    <s v="Jan-2025"/>
    <s v="Q1-2025"/>
    <d v="2025-02-14T00:00:00"/>
    <s v="Valid"/>
    <n v="24"/>
    <d v="2025-02-14T00:00:00"/>
    <s v="Africa"/>
    <s v="Africa → Kenya → Nairobi"/>
    <s v="Kenya-2025-01"/>
    <x v="0"/>
    <s v="Nairobi"/>
    <s v="Small Business"/>
    <s v="Retail"/>
    <s v="J. Njeri"/>
    <x v="6"/>
    <s v="ACC-1659"/>
    <n v="1030.44"/>
    <n v="2562.84"/>
    <s v="Valid"/>
    <n v="2562.84"/>
    <s v="High"/>
    <n v="0.14799999999999999"/>
    <s v="Valid"/>
    <n v="0.14799999999999999"/>
    <n v="13"/>
    <n v="28386.015839999996"/>
    <n v="13395.720000000001"/>
    <n v="14990.295839999995"/>
    <n v="0.52808734852027039"/>
    <n v="0"/>
  </r>
  <r>
    <x v="207"/>
    <d v="2024-09-10T00:00:00"/>
    <s v="Sep-2024"/>
    <s v="Q3-2024"/>
    <d v="2024-10-07T00:00:00"/>
    <s v="Valid"/>
    <n v="27"/>
    <d v="2024-10-07T00:00:00"/>
    <s v="Africa"/>
    <s v="Africa → Kenya → Kisumu"/>
    <s v="Kenya-2024-09"/>
    <x v="0"/>
    <s v="Kisumu"/>
    <s v="Consumer"/>
    <s v="Retail"/>
    <s v="L. Okafor"/>
    <x v="1"/>
    <s v="PRN-6068"/>
    <n v="1248.3900000000001"/>
    <n v="1805.11"/>
    <s v="Valid"/>
    <n v="1805.11"/>
    <s v="Medium"/>
    <n v="0.20300000000000001"/>
    <s v="Valid"/>
    <n v="0.20300000000000001"/>
    <n v="11"/>
    <n v="15825.399369999997"/>
    <n v="13732.29"/>
    <n v="2093.1093699999965"/>
    <n v="0.13226265707820786"/>
    <n v="0"/>
  </r>
  <r>
    <x v="208"/>
    <d v="2025-07-21T00:00:00"/>
    <s v="Jul-2025"/>
    <s v="Q3-2025"/>
    <d v="2025-08-07T00:00:00"/>
    <s v="Valid"/>
    <n v="17"/>
    <d v="2025-08-07T00:00:00"/>
    <s v="Africa"/>
    <s v="Africa → Nigeria → Lagos"/>
    <s v="Nigeria-2025-07"/>
    <x v="1"/>
    <s v="Lagos"/>
    <s v="Enterprise"/>
    <s v="Direct"/>
    <s v="M. Rossi"/>
    <x v="6"/>
    <s v="ACC-8999"/>
    <n v="1204.95"/>
    <n v="2065.73"/>
    <s v="Valid"/>
    <n v="2065.73"/>
    <s v="High"/>
    <n v="0.13600000000000001"/>
    <s v="Valid"/>
    <n v="0.13600000000000001"/>
    <n v="10"/>
    <n v="17847.907199999998"/>
    <n v="12049.5"/>
    <n v="5798.4071999999978"/>
    <n v="0.32487882949100039"/>
    <n v="0"/>
  </r>
  <r>
    <x v="209"/>
    <d v="2024-10-02T00:00:00"/>
    <s v="Oct-2024"/>
    <s v="Q4-2024"/>
    <d v="2024-10-23T00:00:00"/>
    <s v="Valid"/>
    <n v="21"/>
    <d v="2024-10-23T00:00:00"/>
    <s v="Africa"/>
    <s v="Africa → South Africa → Durban"/>
    <s v="South Africa-2024-10"/>
    <x v="11"/>
    <s v="Durban"/>
    <s v="Corporate"/>
    <s v="Marketplace"/>
    <s v="A. Patel"/>
    <x v="0"/>
    <s v="CMP-3978"/>
    <n v="1095.6099999999999"/>
    <n v="2366.5100000000002"/>
    <s v="Valid"/>
    <n v="2366.5100000000002"/>
    <s v="High"/>
    <n v="0.152"/>
    <s v="Valid"/>
    <n v="0.152"/>
    <n v="9"/>
    <n v="18061.204320000004"/>
    <n v="9860.49"/>
    <n v="8200.7143200000046"/>
    <n v="0.4540513564158607"/>
    <n v="0"/>
  </r>
  <r>
    <x v="210"/>
    <d v="2025-07-14T00:00:00"/>
    <s v="Jul-2025"/>
    <s v="Q3-2025"/>
    <d v="2025-08-04T00:00:00"/>
    <s v="Valid"/>
    <n v="21"/>
    <d v="2025-08-04T00:00:00"/>
    <s v="Americas"/>
    <s v="Americas → Canada → Montreal"/>
    <s v="Canada-2025-07"/>
    <x v="3"/>
    <s v="Montreal"/>
    <s v="Consumer"/>
    <s v="Online"/>
    <s v="H. Kim"/>
    <x v="5"/>
    <s v="MON-7868"/>
    <n v="90.3"/>
    <n v="131.76"/>
    <s v="Valid"/>
    <n v="131.76"/>
    <s v="Low"/>
    <n v="0.10199999999999999"/>
    <s v="Valid"/>
    <n v="0.10199999999999999"/>
    <n v="15"/>
    <n v="1774.8072"/>
    <n v="1354.5"/>
    <n v="420.30719999999997"/>
    <n v="0.23681851189244668"/>
    <n v="0"/>
  </r>
  <r>
    <x v="211"/>
    <d v="2024-09-09T00:00:00"/>
    <s v="Sep-2024"/>
    <s v="Q3-2024"/>
    <d v="2024-10-01T00:00:00"/>
    <s v="Valid"/>
    <n v="22"/>
    <d v="2024-10-01T00:00:00"/>
    <s v="Asia"/>
    <s v="Asia → China → Shenzhen"/>
    <s v="China-2024-09"/>
    <x v="9"/>
    <s v="Shenzhen"/>
    <s v="Consumer"/>
    <s v="Direct"/>
    <s v="L. Okafor"/>
    <x v="1"/>
    <s v="PRN-3014"/>
    <n v="1166.18"/>
    <n v="1335.02"/>
    <s v="Valid"/>
    <n v="1335.02"/>
    <s v="Medium"/>
    <n v="0.128"/>
    <s v="Valid"/>
    <n v="0.128"/>
    <n v="6"/>
    <n v="6984.8246399999998"/>
    <n v="6997.08"/>
    <n v="-12.25536000000011"/>
    <n v="-1.7545694604582242E-3"/>
    <n v="0"/>
  </r>
  <r>
    <x v="212"/>
    <d v="2025-01-29T00:00:00"/>
    <s v="Jan-2025"/>
    <s v="Q1-2025"/>
    <d v="2025-02-06T00:00:00"/>
    <s v="Valid"/>
    <n v="8"/>
    <d v="2025-02-06T00:00:00"/>
    <s v="Africa"/>
    <s v="Africa → Kenya → Kisumu"/>
    <s v="Kenya-2025-01"/>
    <x v="0"/>
    <s v="Kisumu"/>
    <s v="Education"/>
    <s v="Retail"/>
    <s v="B. Chen"/>
    <x v="3"/>
    <s v="PHN-1671"/>
    <n v="1445.27"/>
    <n v="2691.45"/>
    <s v="Valid"/>
    <n v="2691.45"/>
    <s v="High"/>
    <n v="0"/>
    <s v="Valid"/>
    <n v="0"/>
    <n v="9"/>
    <n v="24223.05"/>
    <n v="13007.43"/>
    <n v="11215.619999999999"/>
    <n v="0.46301436028906351"/>
    <n v="0"/>
  </r>
  <r>
    <x v="213"/>
    <d v="2023-11-10T00:00:00"/>
    <s v="Nov-2023"/>
    <s v="Q4-2023"/>
    <d v="2023-11-28T00:00:00"/>
    <s v="Valid"/>
    <n v="18"/>
    <d v="2023-11-28T00:00:00"/>
    <s v="Americas"/>
    <s v="Americas → Brazil → Brasília"/>
    <s v="Brazil-2023-11"/>
    <x v="5"/>
    <s v="Brasília"/>
    <s v="Education"/>
    <s v="Marketplace"/>
    <s v="L. Okafor"/>
    <x v="6"/>
    <s v="ACC-5260"/>
    <n v="388.51"/>
    <n v="776.46"/>
    <s v="Valid"/>
    <n v="776.46"/>
    <s v="Medium"/>
    <n v="0.157"/>
    <s v="Valid"/>
    <n v="0.157"/>
    <n v="12"/>
    <n v="7854.6693599999999"/>
    <n v="4662.12"/>
    <n v="3192.54936"/>
    <n v="0.40645241876864946"/>
    <n v="0"/>
  </r>
  <r>
    <x v="214"/>
    <d v="2024-02-29T00:00:00"/>
    <s v="Feb-2024"/>
    <s v="Q1-2024"/>
    <d v="2024-03-30T00:00:00"/>
    <s v="Valid"/>
    <n v="30"/>
    <d v="2024-03-30T00:00:00"/>
    <s v="Asia"/>
    <s v="Asia → Japan → Nagoya"/>
    <s v="Japan-2024-02"/>
    <x v="2"/>
    <s v="Nagoya"/>
    <s v="Small Business"/>
    <s v="Direct"/>
    <s v="I. Johnson"/>
    <x v="2"/>
    <s v="NET-7588"/>
    <n v="231.11"/>
    <n v="318.17"/>
    <s v="Valid"/>
    <n v="318.17"/>
    <s v="Low"/>
    <n v="0.20100000000000001"/>
    <s v="Valid"/>
    <n v="0.20100000000000001"/>
    <n v="60"/>
    <n v="15253.069799999999"/>
    <n v="13866.6"/>
    <n v="1386.4697999999989"/>
    <n v="9.0897754889969692E-2"/>
    <n v="0"/>
  </r>
  <r>
    <x v="215"/>
    <d v="2023-12-20T00:00:00"/>
    <s v="Dec-2023"/>
    <s v="Q4-2023"/>
    <d v="2024-01-14T00:00:00"/>
    <s v="Valid"/>
    <n v="25"/>
    <d v="2024-01-14T00:00:00"/>
    <s v="Asia"/>
    <s v="Asia → India → Mumbai"/>
    <s v="India-2023-12"/>
    <x v="4"/>
    <s v="Mumbai"/>
    <s v="Non-Profit"/>
    <s v="Marketplace"/>
    <s v="L. Okafor"/>
    <x v="5"/>
    <s v="MON-1572"/>
    <n v="1085.6099999999999"/>
    <n v="1246.4100000000001"/>
    <s v="Valid"/>
    <n v="1246.4100000000001"/>
    <s v="Medium"/>
    <n v="0.113"/>
    <s v="Valid"/>
    <n v="0.113"/>
    <n v="7"/>
    <n v="7738.9596900000006"/>
    <n v="7599.2699999999995"/>
    <n v="139.68969000000106"/>
    <n v="1.8050189637310417E-2"/>
    <n v="0"/>
  </r>
  <r>
    <x v="216"/>
    <d v="2023-01-22T00:00:00"/>
    <s v="Jan-2023"/>
    <s v="Q1-2023"/>
    <d v="2023-01-21T00:00:00"/>
    <s v="Invalid RequiredDate"/>
    <n v="-1"/>
    <d v="2023-02-17T00:00:00"/>
    <s v="Europe"/>
    <s v="Europe → Germany → Munich"/>
    <s v="Germany-2023-01"/>
    <x v="6"/>
    <s v="Munich"/>
    <s v="Corporate"/>
    <s v="Direct"/>
    <s v="F. Müller"/>
    <x v="5"/>
    <s v="MON-2537"/>
    <n v="150.86000000000001"/>
    <n v="346.96"/>
    <s v="Valid"/>
    <n v="346.96"/>
    <s v="Low"/>
    <n v="0.19600000000000001"/>
    <s v="Valid"/>
    <n v="0.19600000000000001"/>
    <n v="8"/>
    <n v="2231.6467200000002"/>
    <n v="1206.8800000000001"/>
    <n v="1024.7667200000001"/>
    <n v="0.45919755614365343"/>
    <n v="1"/>
  </r>
  <r>
    <x v="217"/>
    <d v="2024-10-11T00:00:00"/>
    <s v="Oct-2024"/>
    <s v="Q4-2024"/>
    <d v="2024-11-09T00:00:00"/>
    <s v="Valid"/>
    <n v="29"/>
    <d v="2024-11-09T00:00:00"/>
    <s v="Asia"/>
    <s v="Asia → China → Shanghai"/>
    <s v="China-2024-10"/>
    <x v="9"/>
    <s v="Shanghai"/>
    <s v="Non-Profit"/>
    <s v="Online"/>
    <s v="F. Müller"/>
    <x v="1"/>
    <s v="PRN-5666"/>
    <n v="391.64"/>
    <n v="504.76"/>
    <s v="Valid"/>
    <n v="504.76"/>
    <s v="Low"/>
    <n v="4.0000000000000001E-3"/>
    <s v="Valid"/>
    <n v="4.0000000000000001E-3"/>
    <n v="13"/>
    <n v="6535.6324800000002"/>
    <n v="5091.32"/>
    <n v="1444.3124800000005"/>
    <n v="0.22099046793402319"/>
    <n v="0"/>
  </r>
  <r>
    <x v="218"/>
    <d v="2024-09-19T00:00:00"/>
    <s v="Sep-2024"/>
    <s v="Q3-2024"/>
    <d v="2024-10-14T00:00:00"/>
    <s v="Valid"/>
    <n v="25"/>
    <d v="2024-10-14T00:00:00"/>
    <s v="Americas"/>
    <s v="Americas → Brazil → Rio de Janeiro"/>
    <s v="Brazil-2024-09"/>
    <x v="5"/>
    <s v="Rio de Janeiro"/>
    <s v="Small Business"/>
    <s v="Retail"/>
    <s v="K. Singh"/>
    <x v="1"/>
    <s v="PRN-2749"/>
    <n v="386.96"/>
    <n v="937.46"/>
    <s v="Valid"/>
    <n v="937.46"/>
    <s v="Medium"/>
    <n v="0.26600000000000001"/>
    <s v="Valid"/>
    <n v="0.26600000000000001"/>
    <n v="41"/>
    <n v="28211.92124"/>
    <n v="15865.359999999999"/>
    <n v="12346.561240000001"/>
    <n v="0.43763631462626335"/>
    <n v="0"/>
  </r>
  <r>
    <x v="219"/>
    <d v="2025-08-25T00:00:00"/>
    <s v="Aug-2025"/>
    <s v="Q3-2025"/>
    <d v="2025-09-24T00:00:00"/>
    <s v="Valid"/>
    <n v="30"/>
    <d v="2025-09-24T00:00:00"/>
    <s v="Africa"/>
    <s v="Africa → Kenya → Nairobi"/>
    <s v="Kenya-2025-08"/>
    <x v="0"/>
    <s v="Nairobi"/>
    <s v="Consumer"/>
    <s v="Direct"/>
    <s v="B. Chen"/>
    <x v="0"/>
    <s v="CMP-4970"/>
    <n v="589.14"/>
    <n v="1300.58"/>
    <s v="Valid"/>
    <n v="1300.58"/>
    <s v="Medium"/>
    <n v="5.5E-2"/>
    <s v="Valid"/>
    <n v="5.5E-2"/>
    <n v="11"/>
    <n v="13519.529099999998"/>
    <n v="6480.54"/>
    <n v="7038.989099999998"/>
    <n v="0.52065342275863724"/>
    <n v="0"/>
  </r>
  <r>
    <x v="220"/>
    <d v="2023-09-25T00:00:00"/>
    <s v="Sep-2023"/>
    <s v="Q3-2023"/>
    <d v="2023-10-02T00:00:00"/>
    <s v="Valid"/>
    <n v="7"/>
    <d v="2023-10-02T00:00:00"/>
    <s v="Americas"/>
    <s v="Americas → USA → New York"/>
    <s v="USA-2023-09"/>
    <x v="10"/>
    <s v="New York"/>
    <s v="Education"/>
    <s v="Marketplace"/>
    <s v="I. Johnson"/>
    <x v="6"/>
    <s v="ACC-3551"/>
    <n v="145.58000000000001"/>
    <n v="228.15"/>
    <s v="Valid"/>
    <n v="228.15"/>
    <s v="Low"/>
    <n v="0.20399999999999999"/>
    <s v="Valid"/>
    <n v="0.20399999999999999"/>
    <n v="5"/>
    <n v="908.03700000000003"/>
    <n v="727.90000000000009"/>
    <n v="180.13699999999994"/>
    <n v="0.19838068272548359"/>
    <n v="1"/>
  </r>
  <r>
    <x v="221"/>
    <d v="2023-08-26T00:00:00"/>
    <s v="Aug-2023"/>
    <s v="Q3-2023"/>
    <d v="2023-09-10T00:00:00"/>
    <s v="Valid"/>
    <n v="15"/>
    <d v="2023-09-10T00:00:00"/>
    <s v="Africa"/>
    <s v="Africa → South Africa → Cape Town"/>
    <s v="South Africa-2023-08"/>
    <x v="11"/>
    <s v="Cape Town"/>
    <s v="Non-Profit"/>
    <s v="Direct"/>
    <s v="N. Brown"/>
    <x v="0"/>
    <s v="CMP-7063"/>
    <n v="241.14"/>
    <n v="496.52"/>
    <s v="Valid"/>
    <n v="496.52"/>
    <s v="Low"/>
    <n v="9.2999999999999999E-2"/>
    <s v="Valid"/>
    <n v="9.2999999999999999E-2"/>
    <n v="10"/>
    <n v="4503.4363999999996"/>
    <n v="2411.3999999999996"/>
    <n v="2092.0364"/>
    <n v="0.46454223268257994"/>
    <n v="0"/>
  </r>
  <r>
    <x v="222"/>
    <d v="2025-07-16T00:00:00"/>
    <s v="Jul-2025"/>
    <s v="Q3-2025"/>
    <d v="2025-07-17T00:00:00"/>
    <s v="Valid"/>
    <n v="1"/>
    <d v="2025-07-17T00:00:00"/>
    <s v="Africa"/>
    <s v="Africa → South Africa → Durban"/>
    <s v="South Africa-2025-07"/>
    <x v="11"/>
    <s v="Durban"/>
    <s v="Small Business"/>
    <s v="Distributor"/>
    <s v="B. Chen"/>
    <x v="2"/>
    <s v="NET-1612"/>
    <n v="1198.9000000000001"/>
    <n v="2941.2"/>
    <s v="Valid"/>
    <n v="2941.2"/>
    <s v="High"/>
    <n v="5.0999999999999997E-2"/>
    <s v="Valid"/>
    <n v="5.0999999999999997E-2"/>
    <n v="24"/>
    <n v="66988.771199999988"/>
    <n v="28773.600000000002"/>
    <n v="38215.171199999982"/>
    <n v="0.57047129713583977"/>
    <n v="1"/>
  </r>
  <r>
    <x v="223"/>
    <d v="2023-04-19T00:00:00"/>
    <s v="Apr-2023"/>
    <s v="Q2-2023"/>
    <d v="2023-05-07T00:00:00"/>
    <s v="Valid"/>
    <n v="18"/>
    <d v="2023-05-07T00:00:00"/>
    <s v="Europe"/>
    <s v="Europe → United Kingdom → Birmingham"/>
    <s v="United Kingdom-2023-04"/>
    <x v="8"/>
    <s v="Birmingham"/>
    <s v="Enterprise"/>
    <s v="Retail"/>
    <s v="N. Brown"/>
    <x v="4"/>
    <s v="LAP-9766"/>
    <n v="1089.1500000000001"/>
    <n v="1088.2"/>
    <s v="Valid"/>
    <n v="1088.2"/>
    <s v="Medium"/>
    <n v="5.0999999999999997E-2"/>
    <s v="Valid"/>
    <n v="5.0999999999999997E-2"/>
    <n v="15"/>
    <n v="15490.527"/>
    <n v="16337.250000000002"/>
    <n v="-846.72300000000178"/>
    <n v="-5.4660696824582002E-2"/>
    <n v="0"/>
  </r>
  <r>
    <x v="224"/>
    <d v="2023-12-19T00:00:00"/>
    <s v="Dec-2023"/>
    <s v="Q4-2023"/>
    <d v="2023-12-20T00:00:00"/>
    <s v="Valid"/>
    <n v="1"/>
    <d v="2023-12-20T00:00:00"/>
    <s v="Americas"/>
    <s v="Americas → Brazil → Rio de Janeiro"/>
    <s v="Brazil-2023-12"/>
    <x v="5"/>
    <s v="Rio de Janeiro"/>
    <s v="Consumer"/>
    <s v="Distributor"/>
    <s v="J. Njeri"/>
    <x v="3"/>
    <s v="PHN-7274"/>
    <n v="1080.43"/>
    <n v="2529.15"/>
    <s v="Valid"/>
    <n v="2529.15"/>
    <s v="High"/>
    <n v="0.14699999999999999"/>
    <s v="Valid"/>
    <n v="0.14699999999999999"/>
    <n v="10"/>
    <n v="21573.6495"/>
    <n v="10804.300000000001"/>
    <n v="10769.349499999998"/>
    <n v="0.49918997247081437"/>
    <n v="1"/>
  </r>
  <r>
    <x v="225"/>
    <d v="2023-07-30T00:00:00"/>
    <s v="Jul-2023"/>
    <s v="Q3-2023"/>
    <d v="2023-08-07T00:00:00"/>
    <s v="Valid"/>
    <n v="8"/>
    <d v="2023-08-07T00:00:00"/>
    <s v="Asia"/>
    <s v="Asia → Japan → Nagoya"/>
    <s v="Japan-2023-07"/>
    <x v="2"/>
    <s v="Nagoya"/>
    <s v="Education"/>
    <s v="Marketplace"/>
    <s v="A. Patel"/>
    <x v="2"/>
    <s v="NET-1645"/>
    <n v="1352.44"/>
    <n v="2698.01"/>
    <s v="Valid"/>
    <n v="2698.01"/>
    <s v="High"/>
    <n v="0.13100000000000001"/>
    <s v="Valid"/>
    <n v="0.13100000000000001"/>
    <n v="13"/>
    <n v="30479.418970000002"/>
    <n v="17581.72"/>
    <n v="12897.698970000001"/>
    <n v="0.42316091992090887"/>
    <n v="0"/>
  </r>
  <r>
    <x v="226"/>
    <d v="2023-10-04T00:00:00"/>
    <s v="Oct-2023"/>
    <s v="Q4-2023"/>
    <d v="2023-10-29T00:00:00"/>
    <s v="Valid"/>
    <n v="25"/>
    <d v="2023-10-29T00:00:00"/>
    <s v="Americas"/>
    <s v="Americas → USA → San Francisco"/>
    <s v="USA-2023-10"/>
    <x v="10"/>
    <s v="San Francisco"/>
    <s v="Small Business"/>
    <s v="Distributor"/>
    <s v="O. Wang"/>
    <x v="6"/>
    <s v="ACC-5079"/>
    <n v="1239.8399999999999"/>
    <n v="1482.75"/>
    <s v="Valid"/>
    <n v="1482.75"/>
    <s v="Medium"/>
    <n v="6.7000000000000004E-2"/>
    <s v="Valid"/>
    <n v="6.7000000000000004E-2"/>
    <n v="4"/>
    <n v="5533.6230000000005"/>
    <n v="4959.3599999999997"/>
    <n v="574.26300000000083"/>
    <n v="0.10377703721413634"/>
    <n v="0"/>
  </r>
  <r>
    <x v="227"/>
    <d v="2025-08-10T00:00:00"/>
    <s v="Aug-2025"/>
    <s v="Q3-2025"/>
    <d v="2025-08-30T00:00:00"/>
    <s v="Valid"/>
    <n v="20"/>
    <d v="2025-08-30T00:00:00"/>
    <s v="Americas"/>
    <s v="Americas → USA → San Francisco"/>
    <s v="USA-2025-08"/>
    <x v="10"/>
    <s v="San Francisco"/>
    <s v="Corporate"/>
    <s v="Marketplace"/>
    <s v="K. Singh"/>
    <x v="1"/>
    <s v="PRN-2098"/>
    <n v="933.29"/>
    <n v="1456.81"/>
    <s v="Valid"/>
    <n v="1456.81"/>
    <s v="Medium"/>
    <n v="0.123"/>
    <s v="Valid"/>
    <n v="0.123"/>
    <n v="13"/>
    <n v="16609.090809999998"/>
    <n v="12132.77"/>
    <n v="4476.3208099999974"/>
    <n v="0.26951028573489977"/>
    <n v="0"/>
  </r>
  <r>
    <x v="228"/>
    <d v="2023-03-07T00:00:00"/>
    <s v="Mar-2023"/>
    <s v="Q1-2023"/>
    <d v="2023-04-01T00:00:00"/>
    <s v="Valid"/>
    <n v="25"/>
    <d v="2023-04-01T00:00:00"/>
    <s v="Africa"/>
    <s v="Africa → Kenya → Nairobi"/>
    <s v="Kenya-2023-03"/>
    <x v="0"/>
    <s v="Nairobi"/>
    <s v="Consumer"/>
    <s v="Marketplace"/>
    <s v="D. Smith"/>
    <x v="1"/>
    <s v="PRN-7049"/>
    <n v="1024.0999999999999"/>
    <n v="918.19"/>
    <s v="Valid"/>
    <n v="918.19"/>
    <s v="Medium"/>
    <n v="0.189"/>
    <s v="Valid"/>
    <n v="0.189"/>
    <n v="10"/>
    <n v="7446.5209000000004"/>
    <n v="10241"/>
    <n v="-2794.4790999999996"/>
    <n v="-0.37527311579827827"/>
    <n v="0"/>
  </r>
  <r>
    <x v="229"/>
    <d v="2023-05-23T00:00:00"/>
    <s v="May-2023"/>
    <s v="Q2-2023"/>
    <d v="2023-06-10T00:00:00"/>
    <s v="Valid"/>
    <n v="18"/>
    <d v="2023-06-10T00:00:00"/>
    <s v="Asia"/>
    <s v="Asia → China → Shanghai"/>
    <s v="China-2023-05"/>
    <x v="9"/>
    <s v="Shanghai"/>
    <s v="Corporate"/>
    <s v="Distributor"/>
    <s v="E. Garcia"/>
    <x v="0"/>
    <s v="CMP-6925"/>
    <n v="54.62"/>
    <n v="48.94"/>
    <s v="Valid"/>
    <n v="48.94"/>
    <s v="Low"/>
    <n v="0.14799999999999999"/>
    <s v="Valid"/>
    <n v="0.14799999999999999"/>
    <n v="16"/>
    <n v="667.15008"/>
    <n v="873.92"/>
    <n v="-206.76991999999996"/>
    <n v="-0.3099301434543783"/>
    <n v="0"/>
  </r>
  <r>
    <x v="230"/>
    <d v="2025-04-24T00:00:00"/>
    <s v="Apr-2025"/>
    <s v="Q2-2025"/>
    <d v="2025-05-06T00:00:00"/>
    <s v="Valid"/>
    <n v="12"/>
    <d v="2025-05-06T00:00:00"/>
    <s v="Americas"/>
    <s v="Americas → Brazil → Brasília"/>
    <s v="Brazil-2025-04"/>
    <x v="5"/>
    <s v="Brasília"/>
    <s v="Consumer"/>
    <s v="Online"/>
    <s v="C. Otieno"/>
    <x v="3"/>
    <s v="PHN-2787"/>
    <n v="394.13"/>
    <n v="932.29"/>
    <s v="Valid"/>
    <n v="932.29"/>
    <s v="Medium"/>
    <n v="0.109"/>
    <s v="Valid"/>
    <n v="0.109"/>
    <n v="7"/>
    <n v="5814.6927299999998"/>
    <n v="2758.91"/>
    <n v="3055.7827299999999"/>
    <n v="0.5255278089303268"/>
    <n v="0"/>
  </r>
  <r>
    <x v="231"/>
    <d v="2024-09-03T00:00:00"/>
    <s v="Sep-2024"/>
    <s v="Q3-2024"/>
    <d v="2024-09-08T00:00:00"/>
    <s v="Valid"/>
    <n v="5"/>
    <d v="2024-09-08T00:00:00"/>
    <s v="Africa"/>
    <s v="Africa → Nigeria → Lagos"/>
    <s v="Nigeria-2024-09"/>
    <x v="1"/>
    <s v="Lagos"/>
    <s v="Small Business"/>
    <s v="Direct"/>
    <s v="K. Singh"/>
    <x v="1"/>
    <s v="PRN-1141"/>
    <n v="197.63"/>
    <n v="325.79000000000002"/>
    <s v="Valid"/>
    <n v="325.79000000000002"/>
    <s v="Low"/>
    <n v="0.11600000000000001"/>
    <s v="Valid"/>
    <n v="0.11600000000000001"/>
    <n v="10"/>
    <n v="2879.9836"/>
    <n v="1976.3"/>
    <n v="903.68360000000007"/>
    <n v="0.31378081458519419"/>
    <n v="1"/>
  </r>
  <r>
    <x v="232"/>
    <d v="2024-09-05T00:00:00"/>
    <s v="Sep-2024"/>
    <s v="Q3-2024"/>
    <d v="2024-09-25T00:00:00"/>
    <s v="Valid"/>
    <n v="20"/>
    <d v="2024-09-25T00:00:00"/>
    <s v="Asia"/>
    <s v="Asia → Japan → Osaka"/>
    <s v="Japan-2024-09"/>
    <x v="2"/>
    <s v="Osaka"/>
    <s v="Enterprise"/>
    <s v="Distributor"/>
    <s v="D. Smith"/>
    <x v="5"/>
    <s v="MON-5249"/>
    <n v="195.54"/>
    <n v="405.97"/>
    <s v="Valid"/>
    <n v="405.97"/>
    <s v="Low"/>
    <n v="0.187"/>
    <s v="Valid"/>
    <n v="0.187"/>
    <n v="16"/>
    <n v="5280.8577599999999"/>
    <n v="3128.64"/>
    <n v="2152.21776"/>
    <n v="0.40755079152141377"/>
    <n v="0"/>
  </r>
  <r>
    <x v="233"/>
    <d v="2023-03-14T00:00:00"/>
    <s v="Mar-2023"/>
    <s v="Q1-2023"/>
    <d v="2023-03-30T00:00:00"/>
    <s v="Valid"/>
    <n v="16"/>
    <d v="2023-03-30T00:00:00"/>
    <s v="Africa"/>
    <s v="Africa → South Africa → Cape Town"/>
    <s v="South Africa-2023-03"/>
    <x v="11"/>
    <s v="Cape Town"/>
    <s v="Consumer"/>
    <s v="Distributor"/>
    <s v="K. Singh"/>
    <x v="0"/>
    <s v="CMP-8230"/>
    <n v="1309.77"/>
    <n v="1589.07"/>
    <s v="Valid"/>
    <n v="1589.07"/>
    <s v="Medium"/>
    <n v="0.10199999999999999"/>
    <s v="Valid"/>
    <n v="0.10199999999999999"/>
    <n v="10"/>
    <n v="14269.848599999999"/>
    <n v="13097.7"/>
    <n v="1172.1485999999986"/>
    <n v="8.2141628328137886E-2"/>
    <n v="0"/>
  </r>
  <r>
    <x v="234"/>
    <d v="2024-01-11T00:00:00"/>
    <s v="Jan-2024"/>
    <s v="Q1-2024"/>
    <d v="2024-02-02T00:00:00"/>
    <s v="Valid"/>
    <n v="22"/>
    <d v="2024-02-02T00:00:00"/>
    <s v="Asia"/>
    <s v="Asia → Japan → Nagoya"/>
    <s v="Japan-2024-01"/>
    <x v="2"/>
    <s v="Nagoya"/>
    <s v="Small Business"/>
    <s v="Online"/>
    <s v="Unassigned"/>
    <x v="1"/>
    <s v="PRN-7816"/>
    <n v="1237.68"/>
    <n v="1432.8"/>
    <s v="Valid"/>
    <n v="1432.8"/>
    <s v="Medium"/>
    <n v="6.8000000000000005E-2"/>
    <s v="Valid"/>
    <n v="6.8000000000000005E-2"/>
    <n v="13"/>
    <n v="17359.804799999998"/>
    <n v="16089.84"/>
    <n v="1269.9647999999979"/>
    <n v="7.315547695559331E-2"/>
    <n v="0"/>
  </r>
  <r>
    <x v="235"/>
    <d v="2024-09-13T00:00:00"/>
    <s v="Sep-2024"/>
    <s v="Q3-2024"/>
    <d v="2024-10-02T00:00:00"/>
    <s v="Valid"/>
    <n v="19"/>
    <d v="2024-10-02T00:00:00"/>
    <s v="Africa"/>
    <s v="Africa → Kenya → Mombasa"/>
    <s v="Kenya-2024-09"/>
    <x v="0"/>
    <s v="Mombasa"/>
    <s v="Small Business"/>
    <s v="Retail"/>
    <s v="M. Rossi"/>
    <x v="3"/>
    <s v="PHN-8804"/>
    <n v="1338.99"/>
    <n v="1765.76"/>
    <s v="Valid"/>
    <n v="1765.76"/>
    <s v="Medium"/>
    <n v="0.126"/>
    <s v="Valid"/>
    <n v="0.126"/>
    <n v="24"/>
    <n v="37038.581760000001"/>
    <n v="32135.760000000002"/>
    <n v="4902.8217599999989"/>
    <n v="0.1323706666677725"/>
    <n v="0"/>
  </r>
  <r>
    <x v="236"/>
    <d v="2025-07-17T00:00:00"/>
    <s v="Jul-2025"/>
    <s v="Q3-2025"/>
    <d v="2025-07-23T00:00:00"/>
    <s v="Valid"/>
    <n v="6"/>
    <d v="2025-07-23T00:00:00"/>
    <s v="Americas"/>
    <s v="Americas → Canada → Vancouver"/>
    <s v="Canada-2025-07"/>
    <x v="3"/>
    <s v="Vancouver"/>
    <s v="Consumer"/>
    <s v="Online"/>
    <s v="H. Kim"/>
    <x v="0"/>
    <s v="CMP-8851"/>
    <n v="1364.89"/>
    <n v="2757.54"/>
    <s v="Valid"/>
    <n v="2757.54"/>
    <s v="High"/>
    <n v="0.17199999999999999"/>
    <s v="Valid"/>
    <n v="0.17199999999999999"/>
    <n v="61"/>
    <n v="139277.83032000001"/>
    <n v="83258.290000000008"/>
    <n v="56019.54032"/>
    <n v="0.4022143379983118"/>
    <n v="1"/>
  </r>
  <r>
    <x v="237"/>
    <d v="2023-11-28T00:00:00"/>
    <s v="Nov-2023"/>
    <s v="Q4-2023"/>
    <d v="2023-12-07T00:00:00"/>
    <s v="Valid"/>
    <n v="9"/>
    <d v="2023-12-07T00:00:00"/>
    <s v="Asia"/>
    <s v="Asia → India → Delhi"/>
    <s v="India-2023-11"/>
    <x v="4"/>
    <s v="Delhi"/>
    <s v="Enterprise"/>
    <s v="Marketplace"/>
    <s v="L. Okafor"/>
    <x v="3"/>
    <s v="PHN-2447"/>
    <n v="699.33"/>
    <n v="873.75"/>
    <s v="Valid"/>
    <n v="873.75"/>
    <s v="Medium"/>
    <n v="0.23499999999999999"/>
    <s v="Valid"/>
    <n v="0.23499999999999999"/>
    <n v="10"/>
    <n v="6684.1875"/>
    <n v="6993.3"/>
    <n v="-309.11250000000018"/>
    <n v="-4.6245336475076469E-2"/>
    <n v="0"/>
  </r>
  <r>
    <x v="238"/>
    <d v="2024-03-30T00:00:00"/>
    <s v="Mar-2024"/>
    <s v="Q1-2024"/>
    <d v="2024-04-24T00:00:00"/>
    <s v="Valid"/>
    <n v="25"/>
    <d v="2024-04-24T00:00:00"/>
    <s v="Americas"/>
    <s v="Americas → USA → Austin"/>
    <s v="USA-2024-03"/>
    <x v="10"/>
    <s v="Austin"/>
    <s v="Non-Profit"/>
    <s v="Online"/>
    <s v="G. Dubois"/>
    <x v="4"/>
    <s v="LAP-2846"/>
    <n v="160.82"/>
    <n v="258.52"/>
    <s v="Valid"/>
    <n v="258.52"/>
    <s v="Low"/>
    <n v="0.13"/>
    <s v="Valid"/>
    <n v="0.13"/>
    <n v="17"/>
    <n v="3823.5108"/>
    <n v="2733.94"/>
    <n v="1089.5708"/>
    <n v="0.28496605789631874"/>
    <n v="0"/>
  </r>
  <r>
    <x v="239"/>
    <d v="2023-09-19T00:00:00"/>
    <s v="Sep-2023"/>
    <s v="Q3-2023"/>
    <d v="2023-10-08T00:00:00"/>
    <s v="Valid"/>
    <n v="19"/>
    <d v="2023-10-08T00:00:00"/>
    <s v="Asia"/>
    <s v="Asia → India → Bengaluru"/>
    <s v="India-2023-09"/>
    <x v="4"/>
    <s v="Bengaluru"/>
    <s v="Education"/>
    <s v="Direct"/>
    <s v="J. Njeri"/>
    <x v="1"/>
    <s v="PRN-5005"/>
    <n v="385.32"/>
    <n v="606.76"/>
    <s v="Valid"/>
    <n v="606.76"/>
    <s v="Low"/>
    <n v="8.5999999999999993E-2"/>
    <s v="Valid"/>
    <n v="8.5999999999999993E-2"/>
    <n v="8"/>
    <n v="4436.6291200000005"/>
    <n v="3082.56"/>
    <n v="1354.0691200000006"/>
    <n v="0.30520223425842735"/>
    <n v="0"/>
  </r>
  <r>
    <x v="240"/>
    <d v="2025-05-16T00:00:00"/>
    <s v="May-2025"/>
    <s v="Q2-2025"/>
    <d v="2025-05-27T00:00:00"/>
    <s v="Valid"/>
    <n v="11"/>
    <d v="2025-05-27T00:00:00"/>
    <s v="Asia"/>
    <s v="Asia → China → Beijing"/>
    <s v="China-2025-05"/>
    <x v="9"/>
    <s v="Beijing"/>
    <s v="Enterprise"/>
    <s v="Online"/>
    <s v="F. Müller"/>
    <x v="3"/>
    <s v="PHN-3800"/>
    <n v="918.12"/>
    <n v="1337.69"/>
    <s v="Valid"/>
    <n v="1337.69"/>
    <s v="Medium"/>
    <n v="9.5000000000000001E-2"/>
    <s v="Valid"/>
    <n v="9.5000000000000001E-2"/>
    <n v="8"/>
    <n v="9684.8756000000012"/>
    <n v="7344.96"/>
    <n v="2339.9156000000012"/>
    <n v="0.24160512707050164"/>
    <n v="0"/>
  </r>
  <r>
    <x v="241"/>
    <d v="2025-08-02T00:00:00"/>
    <s v="Aug-2025"/>
    <s v="Q3-2025"/>
    <d v="2025-08-08T00:00:00"/>
    <s v="Valid"/>
    <n v="6"/>
    <d v="2025-08-08T00:00:00"/>
    <s v="Asia"/>
    <s v="Asia → Japan → Osaka"/>
    <s v="Japan-2025-08"/>
    <x v="2"/>
    <s v="Osaka"/>
    <s v="Consumer"/>
    <s v="Direct"/>
    <s v="N. Brown"/>
    <x v="4"/>
    <s v="LAP-4828"/>
    <n v="1225.94"/>
    <n v="1793.08"/>
    <s v="Valid"/>
    <n v="1793.08"/>
    <s v="Medium"/>
    <n v="0.13600000000000001"/>
    <s v="Valid"/>
    <n v="0.13600000000000001"/>
    <n v="22"/>
    <n v="34082.864639999993"/>
    <n v="26970.68"/>
    <n v="7112.1846399999922"/>
    <n v="0.20867332353434462"/>
    <n v="1"/>
  </r>
  <r>
    <x v="242"/>
    <d v="2024-12-04T00:00:00"/>
    <s v="Dec-2024"/>
    <s v="Q4-2024"/>
    <d v="2024-12-12T00:00:00"/>
    <s v="Valid"/>
    <n v="8"/>
    <d v="2024-12-12T00:00:00"/>
    <s v="Europe"/>
    <s v="Europe → Germany → Frankfurt"/>
    <s v="Germany-2024-12"/>
    <x v="6"/>
    <s v="Frankfurt"/>
    <s v="Enterprise"/>
    <s v="Marketplace"/>
    <s v="B. Chen"/>
    <x v="1"/>
    <s v="PRN-5492"/>
    <n v="72.06"/>
    <n v="122.74"/>
    <s v="Valid"/>
    <n v="122.74"/>
    <s v="Low"/>
    <n v="0.23799999999999999"/>
    <s v="Valid"/>
    <n v="0.23799999999999999"/>
    <n v="8"/>
    <n v="748.22303999999997"/>
    <n v="576.48"/>
    <n v="171.74303999999995"/>
    <n v="0.22953455162246802"/>
    <n v="0"/>
  </r>
  <r>
    <x v="243"/>
    <d v="2023-04-19T00:00:00"/>
    <s v="Apr-2023"/>
    <s v="Q2-2023"/>
    <d v="2023-04-28T00:00:00"/>
    <s v="Valid"/>
    <n v="9"/>
    <d v="2023-04-28T00:00:00"/>
    <s v="Americas"/>
    <s v="Americas → Brazil → Rio de Janeiro"/>
    <s v="Brazil-2023-04"/>
    <x v="5"/>
    <s v="Rio de Janeiro"/>
    <s v="Corporate"/>
    <s v="Distributor"/>
    <s v="M. Rossi"/>
    <x v="3"/>
    <s v="PHN-7132"/>
    <n v="1013.54"/>
    <n v="927.93"/>
    <s v="Valid"/>
    <n v="927.93"/>
    <s v="Medium"/>
    <n v="0.17499999999999999"/>
    <s v="Valid"/>
    <n v="0.17499999999999999"/>
    <n v="16"/>
    <n v="12248.675999999999"/>
    <n v="16216.64"/>
    <n v="-3967.9639999999999"/>
    <n v="-0.32395044166406234"/>
    <n v="0"/>
  </r>
  <r>
    <x v="244"/>
    <d v="2024-03-06T00:00:00"/>
    <s v="Mar-2024"/>
    <s v="Q1-2024"/>
    <d v="2024-03-26T00:00:00"/>
    <s v="Valid"/>
    <n v="20"/>
    <d v="2024-03-26T00:00:00"/>
    <s v="Africa"/>
    <s v="Africa → Nigeria → Port Harcourt"/>
    <s v="Nigeria-2024-03"/>
    <x v="1"/>
    <s v="Port Harcourt"/>
    <s v="Consumer"/>
    <s v="Marketplace"/>
    <s v="I. Johnson"/>
    <x v="3"/>
    <s v="PHN-4741"/>
    <n v="65.64"/>
    <n v="151.88"/>
    <s v="Valid"/>
    <n v="151.88"/>
    <s v="Low"/>
    <n v="0.16700000000000001"/>
    <s v="Valid"/>
    <n v="0.16700000000000001"/>
    <n v="23"/>
    <n v="2909.8689199999999"/>
    <n v="1509.72"/>
    <n v="1400.1489199999999"/>
    <n v="0.48117250587356353"/>
    <n v="0"/>
  </r>
  <r>
    <x v="245"/>
    <d v="2024-02-16T00:00:00"/>
    <s v="Feb-2024"/>
    <s v="Q1-2024"/>
    <d v="2024-03-04T00:00:00"/>
    <s v="Valid"/>
    <n v="17"/>
    <d v="2024-03-04T00:00:00"/>
    <s v="Americas"/>
    <s v="Americas → Canada → Montreal"/>
    <s v="Canada-2024-02"/>
    <x v="3"/>
    <s v="Montreal"/>
    <s v="Non-Profit"/>
    <s v="Retail"/>
    <s v="D. Smith"/>
    <x v="4"/>
    <s v="LAP-2774"/>
    <n v="1350.98"/>
    <n v="2210.4"/>
    <s v="Valid"/>
    <n v="2210.4"/>
    <s v="High"/>
    <n v="0.26300000000000001"/>
    <s v="Valid"/>
    <n v="0.26300000000000001"/>
    <n v="6"/>
    <n v="9774.3888000000006"/>
    <n v="8105.88"/>
    <n v="1668.5088000000005"/>
    <n v="0.17070211080615091"/>
    <n v="0"/>
  </r>
  <r>
    <x v="246"/>
    <d v="2025-04-22T00:00:00"/>
    <s v="Apr-2025"/>
    <s v="Q2-2025"/>
    <d v="2025-05-02T00:00:00"/>
    <s v="Valid"/>
    <n v="10"/>
    <d v="2025-05-02T00:00:00"/>
    <s v="Europe"/>
    <s v="Europe → Germany → Berlin"/>
    <s v="Germany-2025-04"/>
    <x v="6"/>
    <s v="Berlin"/>
    <s v="Corporate"/>
    <s v="Marketplace"/>
    <s v="C. Otieno"/>
    <x v="5"/>
    <s v="MON-2842"/>
    <n v="20.149999999999999"/>
    <n v="39.74"/>
    <s v="Valid"/>
    <n v="39.74"/>
    <s v="Low"/>
    <n v="0.151"/>
    <s v="Valid"/>
    <n v="0.151"/>
    <n v="18"/>
    <n v="607.30668000000003"/>
    <n v="362.7"/>
    <n v="244.60668000000004"/>
    <n v="0.4027729120318585"/>
    <n v="0"/>
  </r>
  <r>
    <x v="247"/>
    <d v="2024-11-08T00:00:00"/>
    <s v="Nov-2024"/>
    <s v="Q4-2024"/>
    <d v="2024-11-08T00:00:00"/>
    <s v="Valid"/>
    <n v="0"/>
    <d v="2024-11-08T00:00:00"/>
    <s v="Africa"/>
    <s v="Africa → Kenya → Nakuru"/>
    <s v="Kenya-2024-11"/>
    <x v="0"/>
    <s v="Nakuru"/>
    <s v="Enterprise"/>
    <s v="Marketplace"/>
    <s v="M. Rossi"/>
    <x v="2"/>
    <s v="NET-2628"/>
    <n v="803.28"/>
    <n v="1009"/>
    <s v="Valid"/>
    <n v="1009"/>
    <s v="Medium"/>
    <n v="0.11"/>
    <s v="Valid"/>
    <n v="0.11"/>
    <n v="4"/>
    <n v="3592.04"/>
    <n v="3213.12"/>
    <n v="378.92000000000007"/>
    <n v="0.10548880302001093"/>
    <n v="1"/>
  </r>
  <r>
    <x v="248"/>
    <d v="2025-09-12T00:00:00"/>
    <s v="Sep-2025"/>
    <s v="Q3-2025"/>
    <d v="2025-09-30T00:00:00"/>
    <s v="Valid"/>
    <n v="18"/>
    <d v="2025-09-30T00:00:00"/>
    <s v="Asia"/>
    <s v="Asia → Japan → Nagoya"/>
    <s v="Japan-2025-09"/>
    <x v="2"/>
    <s v="Nagoya"/>
    <s v="Non-Profit"/>
    <s v="Marketplace"/>
    <s v="F. Müller"/>
    <x v="5"/>
    <s v="MON-2998"/>
    <n v="1212.99"/>
    <n v="1653.64"/>
    <s v="Valid"/>
    <n v="1653.64"/>
    <s v="Medium"/>
    <n v="0.107"/>
    <s v="Valid"/>
    <n v="0.107"/>
    <n v="8"/>
    <n v="11813.604160000001"/>
    <n v="9703.92"/>
    <n v="2109.6841600000007"/>
    <n v="0.17858090819931455"/>
    <n v="0"/>
  </r>
  <r>
    <x v="249"/>
    <d v="2024-09-02T00:00:00"/>
    <s v="Sep-2024"/>
    <s v="Q3-2024"/>
    <d v="2024-09-08T00:00:00"/>
    <s v="Valid"/>
    <n v="6"/>
    <d v="2024-09-08T00:00:00"/>
    <s v="Americas"/>
    <s v="Americas → USA → Austin"/>
    <s v="USA-2024-09"/>
    <x v="10"/>
    <s v="Austin"/>
    <s v="Consumer"/>
    <s v="Direct"/>
    <s v="H. Kim"/>
    <x v="0"/>
    <s v="CMP-7563"/>
    <n v="462.94"/>
    <n v="1015.7"/>
    <s v="Valid"/>
    <n v="1015.7"/>
    <s v="Medium"/>
    <n v="0.14299999999999999"/>
    <s v="Valid"/>
    <n v="0.14299999999999999"/>
    <n v="14"/>
    <n v="12186.368600000002"/>
    <n v="6481.16"/>
    <n v="5705.2086000000018"/>
    <n v="0.46816314090483041"/>
    <n v="1"/>
  </r>
  <r>
    <x v="250"/>
    <d v="2023-03-04T00:00:00"/>
    <s v="Mar-2023"/>
    <s v="Q1-2023"/>
    <d v="2023-03-24T00:00:00"/>
    <s v="Valid"/>
    <n v="20"/>
    <d v="2023-03-24T00:00:00"/>
    <s v="Americas"/>
    <s v="Americas → Canada → Montreal"/>
    <s v="Canada-2023-03"/>
    <x v="3"/>
    <s v="Montreal"/>
    <s v="Consumer"/>
    <s v="Distributor"/>
    <s v="I. Johnson"/>
    <x v="4"/>
    <s v="LAP-6160"/>
    <n v="481.71"/>
    <n v="912.45"/>
    <s v="Valid"/>
    <n v="912.45"/>
    <s v="Medium"/>
    <n v="0.20300000000000001"/>
    <s v="Valid"/>
    <n v="0.20300000000000001"/>
    <n v="24"/>
    <n v="17453.3436"/>
    <n v="11561.039999999999"/>
    <n v="5892.3036000000011"/>
    <n v="0.33760313983619739"/>
    <n v="0"/>
  </r>
  <r>
    <x v="251"/>
    <d v="2024-03-15T00:00:00"/>
    <s v="Mar-2024"/>
    <s v="Q1-2024"/>
    <d v="2024-04-09T00:00:00"/>
    <s v="Valid"/>
    <n v="25"/>
    <d v="2024-04-09T00:00:00"/>
    <s v="Americas"/>
    <s v="Americas → Canada → Vancouver"/>
    <s v="Canada-2024-03"/>
    <x v="3"/>
    <s v="Vancouver"/>
    <s v="Consumer"/>
    <s v="Online"/>
    <s v="F. Müller"/>
    <x v="5"/>
    <s v="MON-4361"/>
    <n v="648.64"/>
    <n v="815.19"/>
    <s v="Valid"/>
    <n v="815.19"/>
    <s v="Medium"/>
    <n v="0.22500000000000001"/>
    <s v="Valid"/>
    <n v="0.22500000000000001"/>
    <n v="28"/>
    <n v="17689.623"/>
    <n v="18161.919999999998"/>
    <n v="-472.29699999999866"/>
    <n v="-2.6699099240272032E-2"/>
    <n v="0"/>
  </r>
  <r>
    <x v="252"/>
    <d v="2024-07-29T00:00:00"/>
    <s v="Jul-2024"/>
    <s v="Q3-2024"/>
    <d v="2024-07-31T00:00:00"/>
    <s v="Valid"/>
    <n v="2"/>
    <d v="2024-07-31T00:00:00"/>
    <s v="Americas"/>
    <s v="Americas → USA → New York"/>
    <s v="USA-2024-07"/>
    <x v="10"/>
    <s v="New York"/>
    <s v="Education"/>
    <s v="Marketplace"/>
    <s v="I. Johnson"/>
    <x v="1"/>
    <s v="PRN-2829"/>
    <n v="798.97"/>
    <n v="1814.06"/>
    <s v="Valid"/>
    <n v="1814.06"/>
    <s v="Medium"/>
    <n v="0.122"/>
    <s v="Valid"/>
    <n v="0.122"/>
    <n v="16"/>
    <n v="25483.91488"/>
    <n v="12783.52"/>
    <n v="12700.39488"/>
    <n v="0.49836906691159061"/>
    <n v="1"/>
  </r>
  <r>
    <x v="253"/>
    <d v="2024-10-27T00:00:00"/>
    <s v="Oct-2024"/>
    <s v="Q4-2024"/>
    <d v="2024-11-20T00:00:00"/>
    <s v="Valid"/>
    <n v="24"/>
    <d v="2024-11-20T00:00:00"/>
    <s v="Asia"/>
    <s v="Asia → Japan → Nagoya"/>
    <s v="Japan-2024-10"/>
    <x v="2"/>
    <s v="Nagoya"/>
    <s v="Non-Profit"/>
    <s v="Online"/>
    <s v="H. Kim"/>
    <x v="5"/>
    <s v="MON-8939"/>
    <n v="317.25"/>
    <n v="758.92"/>
    <s v="Valid"/>
    <n v="758.92"/>
    <s v="Medium"/>
    <n v="5.2999999999999999E-2"/>
    <s v="Valid"/>
    <n v="5.2999999999999999E-2"/>
    <n v="9"/>
    <n v="6468.2751599999992"/>
    <n v="2855.25"/>
    <n v="3613.0251599999992"/>
    <n v="0.5585762928489888"/>
    <n v="0"/>
  </r>
  <r>
    <x v="254"/>
    <d v="2024-04-29T00:00:00"/>
    <s v="Apr-2024"/>
    <s v="Q2-2024"/>
    <d v="2024-05-19T00:00:00"/>
    <s v="Valid"/>
    <n v="20"/>
    <d v="2024-05-19T00:00:00"/>
    <s v="Europe"/>
    <s v="Europe → Germany → Frankfurt"/>
    <s v="Germany-2024-04"/>
    <x v="6"/>
    <s v="Frankfurt"/>
    <s v="Enterprise"/>
    <s v="Marketplace"/>
    <s v="C. Otieno"/>
    <x v="4"/>
    <s v="LAP-5009"/>
    <n v="668.97"/>
    <n v="1667.44"/>
    <s v="Valid"/>
    <n v="1667.44"/>
    <s v="Medium"/>
    <n v="3.4000000000000002E-2"/>
    <s v="Valid"/>
    <n v="3.4000000000000002E-2"/>
    <n v="15"/>
    <n v="24161.205600000001"/>
    <n v="10034.550000000001"/>
    <n v="14126.6556"/>
    <n v="0.58468339013679016"/>
    <n v="0"/>
  </r>
  <r>
    <x v="255"/>
    <d v="2023-10-05T00:00:00"/>
    <s v="Oct-2023"/>
    <s v="Q4-2023"/>
    <d v="2023-10-06T00:00:00"/>
    <s v="Valid"/>
    <n v="1"/>
    <d v="2023-10-06T00:00:00"/>
    <s v="Asia"/>
    <s v="Asia → India → Bengaluru"/>
    <s v="India-2023-10"/>
    <x v="4"/>
    <s v="Bengaluru"/>
    <s v="Non-Profit"/>
    <s v="Online"/>
    <s v="I. Johnson"/>
    <x v="0"/>
    <s v="CMP-4807"/>
    <n v="1470.26"/>
    <n v="2562.5500000000002"/>
    <s v="Valid"/>
    <n v="2562.5500000000002"/>
    <s v="High"/>
    <n v="0.17299999999999999"/>
    <s v="Valid"/>
    <n v="0.17299999999999999"/>
    <n v="9"/>
    <n v="19073.059649999999"/>
    <n v="13232.34"/>
    <n v="5840.7196499999991"/>
    <n v="0.30622877279157462"/>
    <n v="1"/>
  </r>
  <r>
    <x v="256"/>
    <d v="2023-04-19T00:00:00"/>
    <s v="Apr-2023"/>
    <s v="Q2-2023"/>
    <d v="2023-05-07T00:00:00"/>
    <s v="Valid"/>
    <n v="18"/>
    <d v="2023-05-07T00:00:00"/>
    <s v="Europe"/>
    <s v="Europe → United Kingdom → London"/>
    <s v="United Kingdom-2023-04"/>
    <x v="8"/>
    <s v="London"/>
    <s v="Non-Profit"/>
    <s v="Direct"/>
    <s v="H. Kim"/>
    <x v="2"/>
    <s v="NET-2439"/>
    <n v="516.96"/>
    <n v="745.38"/>
    <s v="Valid"/>
    <n v="745.38"/>
    <s v="Medium"/>
    <n v="0.19700000000000001"/>
    <s v="Valid"/>
    <n v="0.19700000000000001"/>
    <n v="4"/>
    <n v="2394.1605599999998"/>
    <n v="2067.84"/>
    <n v="326.32055999999966"/>
    <n v="0.13629852794835101"/>
    <n v="0"/>
  </r>
  <r>
    <x v="257"/>
    <d v="2025-06-27T00:00:00"/>
    <s v="Jun-2025"/>
    <s v="Q2-2025"/>
    <d v="2025-07-05T00:00:00"/>
    <s v="Valid"/>
    <n v="8"/>
    <d v="2025-07-05T00:00:00"/>
    <s v="Europe"/>
    <s v="Europe → Germany → Munich"/>
    <s v="Germany-2025-06"/>
    <x v="6"/>
    <s v="Munich"/>
    <s v="Small Business"/>
    <s v="Direct"/>
    <s v="G. Dubois"/>
    <x v="5"/>
    <s v="MON-7626"/>
    <n v="314.93"/>
    <n v="687.95"/>
    <s v="Valid"/>
    <n v="687.95"/>
    <s v="Medium"/>
    <n v="0.20499999999999999"/>
    <s v="Valid"/>
    <n v="0.20499999999999999"/>
    <n v="8"/>
    <n v="4375.3620000000001"/>
    <n v="2519.44"/>
    <n v="1855.922"/>
    <n v="0.424175645352316"/>
    <n v="0"/>
  </r>
  <r>
    <x v="258"/>
    <d v="2023-10-11T00:00:00"/>
    <s v="Oct-2023"/>
    <s v="Q4-2023"/>
    <d v="2023-10-13T00:00:00"/>
    <s v="Valid"/>
    <n v="2"/>
    <d v="2023-10-13T00:00:00"/>
    <s v="Americas"/>
    <s v="Americas → Brazil → Brasília"/>
    <s v="Brazil-2023-10"/>
    <x v="5"/>
    <s v="Brasília"/>
    <s v="Consumer"/>
    <s v="Distributor"/>
    <s v="Unassigned"/>
    <x v="6"/>
    <s v="ACC-3567"/>
    <n v="715.94"/>
    <n v="550.07000000000005"/>
    <s v="Valid"/>
    <n v="550.07000000000005"/>
    <s v="Low"/>
    <n v="0.14000000000000001"/>
    <s v="Valid"/>
    <n v="0.14000000000000001"/>
    <n v="16"/>
    <n v="7568.9632000000001"/>
    <n v="11455.04"/>
    <n v="-3886.0768000000007"/>
    <n v="-0.51342260456491595"/>
    <n v="1"/>
  </r>
  <r>
    <x v="259"/>
    <d v="2023-05-20T00:00:00"/>
    <s v="May-2023"/>
    <s v="Q2-2023"/>
    <d v="2023-06-07T00:00:00"/>
    <s v="Valid"/>
    <n v="18"/>
    <d v="2023-06-07T00:00:00"/>
    <s v="Africa"/>
    <s v="Africa → Nigeria → Port Harcourt"/>
    <s v="Nigeria-2023-05"/>
    <x v="1"/>
    <s v="Port Harcourt"/>
    <s v="Enterprise"/>
    <s v="Distributor"/>
    <s v="E. Garcia"/>
    <x v="0"/>
    <s v="CMP-4630"/>
    <n v="1120.06"/>
    <n v="2068.21"/>
    <s v="Valid"/>
    <n v="2068.21"/>
    <s v="High"/>
    <n v="7.8E-2"/>
    <s v="Valid"/>
    <n v="7.8E-2"/>
    <n v="12"/>
    <n v="22882.675440000003"/>
    <n v="13440.72"/>
    <n v="9441.9554400000034"/>
    <n v="0.41262462795303284"/>
    <n v="0"/>
  </r>
  <r>
    <x v="260"/>
    <d v="2023-05-27T00:00:00"/>
    <s v="May-2023"/>
    <s v="Q2-2023"/>
    <d v="2023-06-19T00:00:00"/>
    <s v="Valid"/>
    <n v="23"/>
    <d v="2023-06-19T00:00:00"/>
    <s v="Europe"/>
    <s v="Europe → Germany → Berlin"/>
    <s v="Germany-2023-05"/>
    <x v="6"/>
    <s v="Berlin"/>
    <s v="Education"/>
    <s v="Retail"/>
    <s v="O. Wang"/>
    <x v="6"/>
    <s v="ACC-1882"/>
    <n v="1471.58"/>
    <n v="2576.65"/>
    <s v="Valid"/>
    <n v="2576.65"/>
    <s v="High"/>
    <n v="4.0000000000000001E-3"/>
    <s v="Valid"/>
    <n v="4.0000000000000001E-3"/>
    <n v="7"/>
    <n v="17964.4038"/>
    <n v="10301.06"/>
    <n v="7663.3438000000006"/>
    <n v="0.4265849223451546"/>
    <n v="0"/>
  </r>
  <r>
    <x v="261"/>
    <d v="2023-08-04T00:00:00"/>
    <s v="Aug-2023"/>
    <s v="Q3-2023"/>
    <d v="2023-08-24T00:00:00"/>
    <s v="Valid"/>
    <n v="20"/>
    <d v="2023-08-24T00:00:00"/>
    <s v="Americas"/>
    <s v="Americas → Brazil → Brasília"/>
    <s v="Brazil-2023-08"/>
    <x v="5"/>
    <s v="Brasília"/>
    <s v="Non-Profit"/>
    <s v="Direct"/>
    <s v="Unassigned"/>
    <x v="2"/>
    <s v="NET-9125"/>
    <n v="582.88"/>
    <n v="1044.1400000000001"/>
    <s v="Valid"/>
    <n v="1044.1400000000001"/>
    <s v="Medium"/>
    <n v="0.216"/>
    <s v="Valid"/>
    <n v="0.216"/>
    <n v="10"/>
    <n v="8186.057600000001"/>
    <n v="5828.8"/>
    <n v="2357.2576000000008"/>
    <n v="0.28796005539956138"/>
    <n v="0"/>
  </r>
  <r>
    <x v="262"/>
    <d v="2025-06-21T00:00:00"/>
    <s v="Jun-2025"/>
    <s v="Q2-2025"/>
    <d v="2025-06-27T00:00:00"/>
    <s v="Valid"/>
    <n v="6"/>
    <d v="2025-06-27T00:00:00"/>
    <s v="Africa"/>
    <s v="Africa → South Africa → Durban"/>
    <s v="South Africa-2025-06"/>
    <x v="11"/>
    <s v="Durban"/>
    <s v="Enterprise"/>
    <s v="Distributor"/>
    <s v="N. Brown"/>
    <x v="3"/>
    <s v="PHN-3819"/>
    <n v="93.91"/>
    <n v="99.04"/>
    <s v="Valid"/>
    <n v="99.04"/>
    <s v="Low"/>
    <n v="5.7000000000000002E-2"/>
    <s v="Valid"/>
    <n v="5.7000000000000002E-2"/>
    <n v="6"/>
    <n v="560.36831999999993"/>
    <n v="563.46"/>
    <n v="-3.0916800000001103"/>
    <n v="-5.5172283829323376E-3"/>
    <n v="1"/>
  </r>
  <r>
    <x v="263"/>
    <d v="2025-04-16T00:00:00"/>
    <s v="Apr-2025"/>
    <s v="Q2-2025"/>
    <d v="2025-04-26T00:00:00"/>
    <s v="Valid"/>
    <n v="10"/>
    <d v="2025-04-26T00:00:00"/>
    <s v="Africa"/>
    <s v="Africa → Nigeria → Port Harcourt"/>
    <s v="Nigeria-2025-04"/>
    <x v="1"/>
    <s v="Port Harcourt"/>
    <s v="Enterprise"/>
    <s v="Marketplace"/>
    <s v="F. Müller"/>
    <x v="4"/>
    <s v="LAP-3490"/>
    <n v="1457.44"/>
    <n v="1996.81"/>
    <s v="Valid"/>
    <n v="1996.81"/>
    <s v="High"/>
    <n v="0.126"/>
    <s v="Valid"/>
    <n v="0.126"/>
    <n v="23"/>
    <n v="40139.874619999995"/>
    <n v="33521.120000000003"/>
    <n v="6618.7546199999924"/>
    <n v="0.16489225944672353"/>
    <n v="0"/>
  </r>
  <r>
    <x v="264"/>
    <d v="2025-09-02T00:00:00"/>
    <s v="Sep-2025"/>
    <s v="Q3-2025"/>
    <d v="2025-09-11T00:00:00"/>
    <s v="Valid"/>
    <n v="9"/>
    <d v="2025-09-11T00:00:00"/>
    <s v="Americas"/>
    <s v="Americas → Canada → Toronto"/>
    <s v="Canada-2025-09"/>
    <x v="3"/>
    <s v="Toronto"/>
    <s v="Corporate"/>
    <s v="Distributor"/>
    <s v="M. Rossi"/>
    <x v="1"/>
    <s v="PRN-1276"/>
    <n v="1207.6300000000001"/>
    <n v="921.68"/>
    <s v="Valid"/>
    <n v="921.68"/>
    <s v="Medium"/>
    <n v="0.19600000000000001"/>
    <s v="Valid"/>
    <n v="0.19600000000000001"/>
    <n v="17"/>
    <n v="12597.52224"/>
    <n v="20529.710000000003"/>
    <n v="-7932.1877600000025"/>
    <n v="-0.62966253274897988"/>
    <n v="0"/>
  </r>
  <r>
    <x v="265"/>
    <d v="2024-10-08T00:00:00"/>
    <s v="Oct-2024"/>
    <s v="Q4-2024"/>
    <d v="2024-10-08T00:00:00"/>
    <s v="Valid"/>
    <n v="0"/>
    <d v="2024-10-08T00:00:00"/>
    <s v="Europe"/>
    <s v="Europe → United Kingdom → London"/>
    <s v="United Kingdom-2024-10"/>
    <x v="8"/>
    <s v="London"/>
    <s v="Corporate"/>
    <s v="Online"/>
    <s v="E. Garcia"/>
    <x v="5"/>
    <s v="MON-9733"/>
    <n v="1108.1099999999999"/>
    <n v="2503.79"/>
    <s v="Valid"/>
    <n v="2503.79"/>
    <s v="High"/>
    <n v="0.184"/>
    <s v="Valid"/>
    <n v="0.184"/>
    <n v="19"/>
    <n v="38818.760160000005"/>
    <n v="21054.089999999997"/>
    <n v="17764.670160000009"/>
    <n v="0.45763105485025896"/>
    <n v="1"/>
  </r>
  <r>
    <x v="266"/>
    <d v="2023-05-07T00:00:00"/>
    <s v="May-2023"/>
    <s v="Q2-2023"/>
    <d v="2023-05-05T00:00:00"/>
    <s v="Invalid RequiredDate"/>
    <n v="-2"/>
    <d v="2023-06-02T00:00:00"/>
    <s v="Africa"/>
    <s v="Africa → Nigeria → Port Harcourt"/>
    <s v="Nigeria-2023-05"/>
    <x v="1"/>
    <s v="Port Harcourt"/>
    <s v="Non-Profit"/>
    <s v="Marketplace"/>
    <s v="A. Patel"/>
    <x v="0"/>
    <s v="CMP-9392"/>
    <n v="1269.6500000000001"/>
    <n v="2462.77"/>
    <s v="Valid"/>
    <n v="2462.77"/>
    <s v="High"/>
    <n v="0.107"/>
    <s v="Valid"/>
    <n v="0.107"/>
    <n v="8"/>
    <n v="17594.028880000002"/>
    <n v="10157.200000000001"/>
    <n v="7436.8288800000009"/>
    <n v="0.42269050089225502"/>
    <n v="1"/>
  </r>
  <r>
    <x v="267"/>
    <d v="2023-12-24T00:00:00"/>
    <s v="Dec-2023"/>
    <s v="Q4-2023"/>
    <d v="2024-01-01T00:00:00"/>
    <s v="Valid"/>
    <n v="8"/>
    <d v="2024-01-01T00:00:00"/>
    <s v="Americas"/>
    <s v="Americas → Brazil → São Paulo"/>
    <s v="Brazil-2023-12"/>
    <x v="5"/>
    <s v="São Paulo"/>
    <s v="Education"/>
    <s v="Direct"/>
    <s v="C. Otieno"/>
    <x v="3"/>
    <s v="PHN-3014"/>
    <n v="526.49"/>
    <n v="496.2"/>
    <s v="Valid"/>
    <n v="496.2"/>
    <s v="Low"/>
    <n v="0"/>
    <s v="Valid"/>
    <n v="0"/>
    <n v="14"/>
    <n v="6946.8"/>
    <n v="7370.8600000000006"/>
    <n v="-424.0600000000004"/>
    <n v="-6.1043933897621985E-2"/>
    <n v="0"/>
  </r>
  <r>
    <x v="268"/>
    <d v="2024-01-10T00:00:00"/>
    <s v="Jan-2024"/>
    <s v="Q1-2024"/>
    <d v="2024-01-23T00:00:00"/>
    <s v="Valid"/>
    <n v="13"/>
    <d v="2024-01-23T00:00:00"/>
    <s v="Europe"/>
    <s v="Europe → France → Marseille"/>
    <s v="France-2024-01"/>
    <x v="7"/>
    <s v="Marseille"/>
    <s v="Corporate"/>
    <s v="Direct"/>
    <s v="A. Patel"/>
    <x v="1"/>
    <s v="PRN-6776"/>
    <n v="720"/>
    <n v="907.59"/>
    <s v="Valid"/>
    <n v="907.59"/>
    <s v="Medium"/>
    <n v="0.154"/>
    <s v="Valid"/>
    <n v="0.154"/>
    <n v="10"/>
    <n v="7678.2113999999992"/>
    <n v="7200"/>
    <n v="478.21139999999923"/>
    <n v="6.2281614179052078E-2"/>
    <n v="0"/>
  </r>
  <r>
    <x v="269"/>
    <d v="2023-08-03T00:00:00"/>
    <s v="Aug-2023"/>
    <s v="Q3-2023"/>
    <d v="2023-08-14T00:00:00"/>
    <s v="Valid"/>
    <n v="11"/>
    <d v="2023-08-14T00:00:00"/>
    <s v="Americas"/>
    <s v="Americas → Brazil → Brasília"/>
    <s v="Brazil-2023-08"/>
    <x v="5"/>
    <s v="Brasília"/>
    <s v="Corporate"/>
    <s v="Direct"/>
    <s v="J. Njeri"/>
    <x v="6"/>
    <s v="ACC-3951"/>
    <n v="232.73"/>
    <n v="334.19"/>
    <s v="Valid"/>
    <n v="334.19"/>
    <s v="Low"/>
    <n v="0.13400000000000001"/>
    <s v="Valid"/>
    <n v="0.13400000000000001"/>
    <n v="25"/>
    <n v="7235.2134999999998"/>
    <n v="5818.25"/>
    <n v="1416.9634999999998"/>
    <n v="0.1958426658729559"/>
    <n v="0"/>
  </r>
  <r>
    <x v="270"/>
    <d v="2025-02-19T00:00:00"/>
    <s v="Feb-2025"/>
    <s v="Q1-2025"/>
    <d v="2025-03-09T00:00:00"/>
    <s v="Valid"/>
    <n v="18"/>
    <d v="2025-03-09T00:00:00"/>
    <s v="Asia"/>
    <s v="Asia → India → Delhi"/>
    <s v="India-2025-02"/>
    <x v="4"/>
    <s v="Delhi"/>
    <s v="Small Business"/>
    <s v="Direct"/>
    <s v="O. Wang"/>
    <x v="5"/>
    <s v="MON-1436"/>
    <n v="325.87"/>
    <n v="538.79"/>
    <s v="Valid"/>
    <n v="538.79"/>
    <s v="Low"/>
    <n v="0.17399999999999999"/>
    <s v="Valid"/>
    <n v="0.17399999999999999"/>
    <n v="16"/>
    <n v="7120.6486400000003"/>
    <n v="5213.92"/>
    <n v="1906.7286400000003"/>
    <n v="0.26777457172778013"/>
    <n v="0"/>
  </r>
  <r>
    <x v="271"/>
    <d v="2024-03-31T00:00:00"/>
    <s v="Mar-2024"/>
    <s v="Q1-2024"/>
    <d v="2024-04-17T00:00:00"/>
    <s v="Valid"/>
    <n v="17"/>
    <d v="2024-04-17T00:00:00"/>
    <s v="Europe"/>
    <s v="Europe → Germany → Frankfurt"/>
    <s v="Germany-2024-03"/>
    <x v="6"/>
    <s v="Frankfurt"/>
    <s v="Education"/>
    <s v="Direct"/>
    <s v="H. Kim"/>
    <x v="5"/>
    <s v="MON-8651"/>
    <n v="1025.51"/>
    <n v="1436.54"/>
    <s v="Valid"/>
    <n v="1436.54"/>
    <s v="Medium"/>
    <n v="0.13900000000000001"/>
    <s v="Valid"/>
    <n v="0.13900000000000001"/>
    <n v="28"/>
    <n v="34632.106319999999"/>
    <n v="28714.28"/>
    <n v="5917.8263200000001"/>
    <n v="0.17087688127656453"/>
    <n v="0"/>
  </r>
  <r>
    <x v="272"/>
    <d v="2023-07-24T00:00:00"/>
    <s v="Jul-2023"/>
    <s v="Q3-2023"/>
    <d v="2023-08-13T00:00:00"/>
    <s v="Valid"/>
    <n v="20"/>
    <d v="2023-08-13T00:00:00"/>
    <s v="Americas"/>
    <s v="Americas → Canada → Montreal"/>
    <s v="Canada-2023-07"/>
    <x v="3"/>
    <s v="Montreal"/>
    <s v="Education"/>
    <s v="Direct"/>
    <s v="C. Otieno"/>
    <x v="5"/>
    <s v="MON-3307"/>
    <n v="1082.3800000000001"/>
    <n v="1766.55"/>
    <s v="Valid"/>
    <n v="1766.55"/>
    <s v="Medium"/>
    <n v="0.16400000000000001"/>
    <s v="Valid"/>
    <n v="0.16400000000000001"/>
    <n v="20"/>
    <n v="29536.716"/>
    <n v="21647.600000000002"/>
    <n v="7889.1159999999982"/>
    <n v="0.26709523157550752"/>
    <n v="0"/>
  </r>
  <r>
    <x v="273"/>
    <d v="2024-03-16T00:00:00"/>
    <s v="Mar-2024"/>
    <s v="Q1-2024"/>
    <d v="2024-04-13T00:00:00"/>
    <s v="Valid"/>
    <n v="28"/>
    <d v="2024-04-13T00:00:00"/>
    <s v="Europe"/>
    <s v="Europe → France → Paris"/>
    <s v="France-2024-03"/>
    <x v="7"/>
    <s v="Paris"/>
    <s v="Small Business"/>
    <s v="Online"/>
    <s v="K. Singh"/>
    <x v="1"/>
    <s v="PRN-8758"/>
    <n v="287.61"/>
    <n v="628.54"/>
    <s v="Valid"/>
    <n v="628.54"/>
    <s v="Medium"/>
    <n v="0.13500000000000001"/>
    <s v="Valid"/>
    <n v="0.13500000000000001"/>
    <n v="21"/>
    <n v="11417.429099999999"/>
    <n v="6039.81"/>
    <n v="5377.619099999999"/>
    <n v="0.47100087531964613"/>
    <n v="0"/>
  </r>
  <r>
    <x v="274"/>
    <d v="2024-01-25T00:00:00"/>
    <s v="Jan-2024"/>
    <s v="Q1-2024"/>
    <d v="2024-01-27T00:00:00"/>
    <s v="Valid"/>
    <n v="2"/>
    <d v="2024-01-27T00:00:00"/>
    <s v="Americas"/>
    <s v="Americas → Brazil → São Paulo"/>
    <s v="Brazil-2024-01"/>
    <x v="5"/>
    <s v="São Paulo"/>
    <s v="Non-Profit"/>
    <s v="Marketplace"/>
    <s v="N. Brown"/>
    <x v="4"/>
    <s v="LAP-7056"/>
    <n v="1410.97"/>
    <n v="1650.75"/>
    <s v="Valid"/>
    <n v="1650.75"/>
    <s v="Medium"/>
    <n v="0.13500000000000001"/>
    <s v="Valid"/>
    <n v="0.13500000000000001"/>
    <n v="6"/>
    <n v="8567.3924999999999"/>
    <n v="8465.82"/>
    <n v="101.57250000000022"/>
    <n v="1.1855707556295596E-2"/>
    <n v="1"/>
  </r>
  <r>
    <x v="275"/>
    <d v="2024-03-27T00:00:00"/>
    <s v="Mar-2024"/>
    <s v="Q1-2024"/>
    <d v="2024-04-11T00:00:00"/>
    <s v="Valid"/>
    <n v="15"/>
    <d v="2024-04-11T00:00:00"/>
    <s v="Americas"/>
    <s v="Americas → USA → San Francisco"/>
    <s v="USA-2024-03"/>
    <x v="10"/>
    <s v="San Francisco"/>
    <s v="Small Business"/>
    <s v="Direct"/>
    <s v="O. Wang"/>
    <x v="2"/>
    <s v="NET-5523"/>
    <n v="1338.35"/>
    <n v="2247.14"/>
    <s v="Valid"/>
    <n v="2247.14"/>
    <s v="High"/>
    <n v="0.115"/>
    <s v="Valid"/>
    <n v="0.115"/>
    <n v="40"/>
    <n v="79548.755999999994"/>
    <n v="53534"/>
    <n v="26014.755999999994"/>
    <n v="0.32702907384246205"/>
    <n v="0"/>
  </r>
  <r>
    <x v="276"/>
    <d v="2025-06-24T00:00:00"/>
    <s v="Jun-2025"/>
    <s v="Q2-2025"/>
    <d v="2025-07-14T00:00:00"/>
    <s v="Valid"/>
    <n v="20"/>
    <d v="2025-07-14T00:00:00"/>
    <s v="Europe"/>
    <s v="Europe → Germany → Berlin"/>
    <s v="Germany-2025-06"/>
    <x v="6"/>
    <s v="Berlin"/>
    <s v="Corporate"/>
    <s v="Direct"/>
    <s v="O. Wang"/>
    <x v="6"/>
    <s v="ACC-8094"/>
    <n v="385.08"/>
    <n v="893.19"/>
    <s v="Valid"/>
    <n v="893.19"/>
    <s v="Medium"/>
    <n v="0.151"/>
    <s v="Valid"/>
    <n v="0.151"/>
    <n v="8"/>
    <n v="6066.54648"/>
    <n v="3080.64"/>
    <n v="2985.9064800000001"/>
    <n v="0.49219213762621666"/>
    <n v="0"/>
  </r>
  <r>
    <x v="277"/>
    <d v="2024-06-16T00:00:00"/>
    <s v="Jun-2024"/>
    <s v="Q2-2024"/>
    <d v="2024-07-03T00:00:00"/>
    <s v="Valid"/>
    <n v="17"/>
    <d v="2024-07-03T00:00:00"/>
    <s v="Africa"/>
    <s v="Africa → South Africa → Johannesburg"/>
    <s v="South Africa-2024-06"/>
    <x v="11"/>
    <s v="Johannesburg"/>
    <s v="Enterprise"/>
    <s v="Marketplace"/>
    <s v="F. Müller"/>
    <x v="3"/>
    <s v="PHN-6832"/>
    <n v="1173.83"/>
    <n v="2328.9"/>
    <s v="Valid"/>
    <n v="2328.9"/>
    <s v="High"/>
    <n v="0.12"/>
    <s v="Valid"/>
    <n v="0.12"/>
    <n v="17"/>
    <n v="34840.344000000005"/>
    <n v="19955.11"/>
    <n v="14885.234000000004"/>
    <n v="0.42724130393201637"/>
    <n v="0"/>
  </r>
  <r>
    <x v="278"/>
    <d v="2023-10-30T00:00:00"/>
    <s v="Oct-2023"/>
    <s v="Q4-2023"/>
    <d v="2023-11-14T00:00:00"/>
    <s v="Valid"/>
    <n v="15"/>
    <d v="2023-11-14T00:00:00"/>
    <s v="Asia"/>
    <s v="Asia → India → Bengaluru"/>
    <s v="India-2023-10"/>
    <x v="4"/>
    <s v="Bengaluru"/>
    <s v="Corporate"/>
    <s v="Online"/>
    <s v="F. Müller"/>
    <x v="4"/>
    <s v="LAP-2378"/>
    <n v="953.46"/>
    <n v="2066.75"/>
    <s v="Valid"/>
    <n v="2066.75"/>
    <s v="High"/>
    <n v="0.13800000000000001"/>
    <s v="Valid"/>
    <n v="0.13800000000000001"/>
    <n v="5"/>
    <n v="8907.6924999999992"/>
    <n v="4767.3"/>
    <n v="4140.392499999999"/>
    <n v="0.46481089238318446"/>
    <n v="0"/>
  </r>
  <r>
    <x v="279"/>
    <d v="2023-06-15T00:00:00"/>
    <s v="Jun-2023"/>
    <s v="Q2-2023"/>
    <d v="2023-06-23T00:00:00"/>
    <s v="Valid"/>
    <n v="8"/>
    <d v="2023-06-23T00:00:00"/>
    <s v="Americas"/>
    <s v="Americas → USA → San Francisco"/>
    <s v="USA-2023-06"/>
    <x v="10"/>
    <s v="San Francisco"/>
    <s v="Consumer"/>
    <s v="Distributor"/>
    <s v="O. Wang"/>
    <x v="5"/>
    <s v="MON-5424"/>
    <n v="1097.0899999999999"/>
    <n v="2182.31"/>
    <s v="Valid"/>
    <n v="2182.31"/>
    <s v="High"/>
    <n v="0.112"/>
    <s v="Valid"/>
    <n v="0.112"/>
    <n v="9"/>
    <n v="17441.021520000002"/>
    <n v="9873.81"/>
    <n v="7567.2115200000026"/>
    <n v="0.43387432962699546"/>
    <n v="0"/>
  </r>
  <r>
    <x v="280"/>
    <d v="2025-03-14T00:00:00"/>
    <s v="Mar-2025"/>
    <s v="Q1-2025"/>
    <d v="2025-03-29T00:00:00"/>
    <s v="Valid"/>
    <n v="15"/>
    <d v="2025-03-29T00:00:00"/>
    <s v="Asia"/>
    <s v="Asia → Japan → Tokyo"/>
    <s v="Japan-2025-03"/>
    <x v="2"/>
    <s v="Tokyo"/>
    <s v="Non-Profit"/>
    <s v="Direct"/>
    <s v="H. Kim"/>
    <x v="2"/>
    <s v="NET-8430"/>
    <n v="1106.96"/>
    <n v="2726.62"/>
    <s v="Valid"/>
    <n v="2726.62"/>
    <s v="High"/>
    <n v="0.317"/>
    <s v="High Discount"/>
    <n v="0.3"/>
    <n v="7"/>
    <n v="13360.438"/>
    <n v="7748.72"/>
    <n v="5611.7179999999998"/>
    <n v="0.42002500217432992"/>
    <n v="0"/>
  </r>
  <r>
    <x v="281"/>
    <d v="2023-08-15T00:00:00"/>
    <s v="Aug-2023"/>
    <s v="Q3-2023"/>
    <d v="2023-08-25T00:00:00"/>
    <s v="Valid"/>
    <n v="10"/>
    <d v="2023-08-25T00:00:00"/>
    <s v="Africa"/>
    <s v="Africa → Kenya → Nairobi"/>
    <s v="Kenya-2023-08"/>
    <x v="0"/>
    <s v="Nairobi"/>
    <s v="Small Business"/>
    <s v="Retail"/>
    <s v="N. Brown"/>
    <x v="3"/>
    <s v="PHN-1234"/>
    <n v="91.85"/>
    <n v="111.29"/>
    <s v="Valid"/>
    <n v="111.29"/>
    <s v="Low"/>
    <n v="0"/>
    <s v="Valid"/>
    <n v="0"/>
    <n v="6"/>
    <n v="667.74"/>
    <n v="551.09999999999991"/>
    <n v="116.6400000000001"/>
    <n v="0.17467876718483258"/>
    <n v="0"/>
  </r>
  <r>
    <x v="282"/>
    <d v="2025-05-17T00:00:00"/>
    <s v="May-2025"/>
    <s v="Q2-2025"/>
    <d v="2025-05-28T00:00:00"/>
    <s v="Valid"/>
    <n v="11"/>
    <d v="2025-05-28T00:00:00"/>
    <s v="Asia"/>
    <s v="Asia → India → Bengaluru"/>
    <s v="India-2025-05"/>
    <x v="4"/>
    <s v="Bengaluru"/>
    <s v="Corporate"/>
    <s v="Distributor"/>
    <s v="B. Chen"/>
    <x v="4"/>
    <s v="LAP-9016"/>
    <n v="623.4"/>
    <n v="1100.0899999999999"/>
    <s v="Valid"/>
    <n v="1100.0899999999999"/>
    <s v="Medium"/>
    <n v="0.114"/>
    <s v="Valid"/>
    <n v="0.114"/>
    <n v="12"/>
    <n v="11696.156879999999"/>
    <n v="7480.7999999999993"/>
    <n v="4215.3568799999994"/>
    <n v="0.36040529579490388"/>
    <n v="0"/>
  </r>
  <r>
    <x v="283"/>
    <d v="2024-01-13T00:00:00"/>
    <s v="Jan-2024"/>
    <s v="Q1-2024"/>
    <d v="2024-02-05T00:00:00"/>
    <s v="Valid"/>
    <n v="23"/>
    <d v="2024-02-05T00:00:00"/>
    <s v="Europe"/>
    <s v="Europe → Germany → Frankfurt"/>
    <s v="Germany-2024-01"/>
    <x v="6"/>
    <s v="Frankfurt"/>
    <s v="Education"/>
    <s v="Direct"/>
    <s v="B. Chen"/>
    <x v="4"/>
    <s v="LAP-9931"/>
    <n v="1017.93"/>
    <n v="1529.14"/>
    <s v="Valid"/>
    <n v="1529.14"/>
    <s v="Medium"/>
    <n v="0.155"/>
    <s v="Valid"/>
    <n v="0.155"/>
    <n v="12"/>
    <n v="15505.479600000001"/>
    <n v="12215.16"/>
    <n v="3290.3196000000007"/>
    <n v="0.21220366508366503"/>
    <n v="0"/>
  </r>
  <r>
    <x v="284"/>
    <d v="2023-06-24T00:00:00"/>
    <s v="Jun-2023"/>
    <s v="Q2-2023"/>
    <d v="2023-07-21T00:00:00"/>
    <s v="Valid"/>
    <n v="27"/>
    <d v="2023-07-21T00:00:00"/>
    <s v="Asia"/>
    <s v="Asia → Japan → Nagoya"/>
    <s v="Japan-2023-06"/>
    <x v="2"/>
    <s v="Nagoya"/>
    <s v="Consumer"/>
    <s v="Marketplace"/>
    <s v="J. Njeri"/>
    <x v="3"/>
    <s v="PHN-6818"/>
    <n v="554.76"/>
    <n v="728.69"/>
    <s v="Valid"/>
    <n v="728.69"/>
    <s v="Medium"/>
    <n v="0.22"/>
    <s v="Valid"/>
    <n v="0.22"/>
    <n v="7"/>
    <n v="3978.6474000000003"/>
    <n v="3883.3199999999997"/>
    <n v="95.32740000000058"/>
    <n v="2.395975074343119E-2"/>
    <n v="0"/>
  </r>
  <r>
    <x v="285"/>
    <d v="2025-04-04T00:00:00"/>
    <s v="Apr-2025"/>
    <s v="Q2-2025"/>
    <d v="2025-04-13T00:00:00"/>
    <s v="Valid"/>
    <n v="9"/>
    <d v="2025-04-13T00:00:00"/>
    <s v="Europe"/>
    <s v="Europe → Germany → Munich"/>
    <s v="Germany-2025-04"/>
    <x v="6"/>
    <s v="Munich"/>
    <s v="Consumer"/>
    <s v="Marketplace"/>
    <s v="F. Müller"/>
    <x v="3"/>
    <s v="PHN-3803"/>
    <n v="7.02"/>
    <n v="6.28"/>
    <s v="Valid"/>
    <n v="6.28"/>
    <s v="Low"/>
    <n v="0.13400000000000001"/>
    <s v="Valid"/>
    <n v="0.13400000000000001"/>
    <n v="14"/>
    <n v="76.138720000000006"/>
    <n v="98.28"/>
    <n v="-22.141279999999995"/>
    <n v="-0.29080184169106066"/>
    <n v="0"/>
  </r>
  <r>
    <x v="286"/>
    <d v="2024-09-07T00:00:00"/>
    <s v="Sep-2024"/>
    <s v="Q3-2024"/>
    <d v="2024-09-07T00:00:00"/>
    <s v="Valid"/>
    <n v="0"/>
    <d v="2024-09-07T00:00:00"/>
    <s v="Asia"/>
    <s v="Asia → India → Mumbai"/>
    <s v="India-2024-09"/>
    <x v="4"/>
    <s v="Mumbai"/>
    <s v="Education"/>
    <s v="Distributor"/>
    <s v="B. Chen"/>
    <x v="2"/>
    <s v="NET-9835"/>
    <n v="1066.6500000000001"/>
    <n v="2569.77"/>
    <s v="Valid"/>
    <n v="2569.77"/>
    <s v="High"/>
    <n v="0.13400000000000001"/>
    <s v="Valid"/>
    <n v="0.13400000000000001"/>
    <n v="9"/>
    <n v="20028.787380000002"/>
    <n v="9599.85"/>
    <n v="10428.937380000001"/>
    <n v="0.52069739331368348"/>
    <n v="1"/>
  </r>
  <r>
    <x v="287"/>
    <d v="2024-01-28T00:00:00"/>
    <s v="Jan-2024"/>
    <s v="Q1-2024"/>
    <d v="2024-01-30T00:00:00"/>
    <s v="Valid"/>
    <n v="2"/>
    <d v="2024-01-30T00:00:00"/>
    <s v="Africa"/>
    <s v="Africa → South Africa → Cape Town"/>
    <s v="South Africa-2024-01"/>
    <x v="11"/>
    <s v="Cape Town"/>
    <s v="Consumer"/>
    <s v="Direct"/>
    <s v="F. Müller"/>
    <x v="6"/>
    <s v="ACC-6223"/>
    <n v="798.45"/>
    <n v="1592.02"/>
    <s v="Valid"/>
    <n v="1592.02"/>
    <s v="Medium"/>
    <n v="6.6000000000000003E-2"/>
    <s v="Valid"/>
    <n v="6.6000000000000003E-2"/>
    <n v="18"/>
    <n v="26765.040239999998"/>
    <n v="14372.1"/>
    <n v="12392.940239999998"/>
    <n v="0.46302714768494585"/>
    <n v="1"/>
  </r>
  <r>
    <x v="288"/>
    <d v="2023-07-18T00:00:00"/>
    <s v="Jul-2023"/>
    <s v="Q3-2023"/>
    <d v="2023-08-10T00:00:00"/>
    <s v="Valid"/>
    <n v="23"/>
    <d v="2023-08-10T00:00:00"/>
    <s v="Africa"/>
    <s v="Africa → South Africa → Johannesburg"/>
    <s v="South Africa-2023-07"/>
    <x v="11"/>
    <s v="Johannesburg"/>
    <s v="Small Business"/>
    <s v="Retail"/>
    <s v="L. Okafor"/>
    <x v="0"/>
    <s v="CMP-8659"/>
    <n v="1271.56"/>
    <n v="995.47"/>
    <s v="Valid"/>
    <n v="995.47"/>
    <s v="Medium"/>
    <n v="0.192"/>
    <s v="Valid"/>
    <n v="0.192"/>
    <n v="13"/>
    <n v="10456.416880000001"/>
    <n v="16530.28"/>
    <n v="-6073.8631199999982"/>
    <n v="-0.58087423155607754"/>
    <n v="0"/>
  </r>
  <r>
    <x v="289"/>
    <d v="2025-08-28T00:00:00"/>
    <s v="Aug-2025"/>
    <s v="Q3-2025"/>
    <d v="2025-08-26T00:00:00"/>
    <s v="Invalid RequiredDate"/>
    <n v="-2"/>
    <d v="2025-09-23T00:00:00"/>
    <s v="Africa"/>
    <s v="Africa → Nigeria → Port Harcourt"/>
    <s v="Nigeria-2025-08"/>
    <x v="1"/>
    <s v="Port Harcourt"/>
    <s v="Small Business"/>
    <s v="Retail"/>
    <s v="A. Patel"/>
    <x v="6"/>
    <s v="ACC-4483"/>
    <n v="521.05999999999995"/>
    <n v="1240.31"/>
    <s v="Valid"/>
    <n v="1240.31"/>
    <s v="Medium"/>
    <n v="0.14599999999999999"/>
    <s v="Valid"/>
    <n v="0.14599999999999999"/>
    <n v="18"/>
    <n v="19066.045319999997"/>
    <n v="9379.0799999999981"/>
    <n v="9686.9653199999993"/>
    <n v="0.50807417885650974"/>
    <n v="1"/>
  </r>
  <r>
    <x v="290"/>
    <d v="2025-03-30T00:00:00"/>
    <s v="Mar-2025"/>
    <s v="Q1-2025"/>
    <d v="2025-04-07T00:00:00"/>
    <s v="Valid"/>
    <n v="8"/>
    <d v="2025-04-07T00:00:00"/>
    <s v="Americas"/>
    <s v="Americas → Brazil → São Paulo"/>
    <s v="Brazil-2025-03"/>
    <x v="5"/>
    <s v="São Paulo"/>
    <s v="Non-Profit"/>
    <s v="Direct"/>
    <s v="L. Okafor"/>
    <x v="1"/>
    <s v="PRN-8763"/>
    <n v="71.62"/>
    <n v="118.37"/>
    <s v="Valid"/>
    <n v="118.37"/>
    <s v="Low"/>
    <n v="0.156"/>
    <s v="Valid"/>
    <n v="0.156"/>
    <n v="11"/>
    <n v="1098.9470800000001"/>
    <n v="787.82"/>
    <n v="311.12708000000009"/>
    <n v="0.28311379652603474"/>
    <n v="0"/>
  </r>
  <r>
    <x v="291"/>
    <d v="2023-10-21T00:00:00"/>
    <s v="Oct-2023"/>
    <s v="Q4-2023"/>
    <d v="2023-11-09T00:00:00"/>
    <s v="Valid"/>
    <n v="19"/>
    <d v="2023-11-09T00:00:00"/>
    <s v="Europe"/>
    <s v="Europe → United Kingdom → London"/>
    <s v="United Kingdom-2023-10"/>
    <x v="8"/>
    <s v="London"/>
    <s v="Non-Profit"/>
    <s v="Direct"/>
    <s v="A. Patel"/>
    <x v="6"/>
    <s v="ACC-8557"/>
    <n v="1142.48"/>
    <n v="2105.5300000000002"/>
    <s v="Valid"/>
    <n v="2105.5300000000002"/>
    <s v="High"/>
    <n v="0.20699999999999999"/>
    <s v="Valid"/>
    <n v="0.20699999999999999"/>
    <n v="14"/>
    <n v="23375.594060000003"/>
    <n v="15994.720000000001"/>
    <n v="7380.8740600000019"/>
    <n v="0.31575129346680658"/>
    <n v="0"/>
  </r>
  <r>
    <x v="292"/>
    <d v="2023-08-23T00:00:00"/>
    <s v="Aug-2023"/>
    <s v="Q3-2023"/>
    <d v="2023-09-22T00:00:00"/>
    <s v="Valid"/>
    <n v="30"/>
    <d v="2023-09-22T00:00:00"/>
    <s v="Europe"/>
    <s v="Europe → United Kingdom → London"/>
    <s v="United Kingdom-2023-08"/>
    <x v="8"/>
    <s v="London"/>
    <s v="Consumer"/>
    <s v="Distributor"/>
    <s v="O. Wang"/>
    <x v="6"/>
    <s v="ACC-1492"/>
    <n v="209.81"/>
    <n v="523"/>
    <s v="Valid"/>
    <n v="523"/>
    <s v="Low"/>
    <n v="5.8999999999999997E-2"/>
    <s v="Valid"/>
    <n v="5.8999999999999997E-2"/>
    <n v="15"/>
    <n v="7382.1450000000004"/>
    <n v="3147.15"/>
    <n v="4234.9950000000008"/>
    <n v="0.57368082041195356"/>
    <n v="0"/>
  </r>
  <r>
    <x v="293"/>
    <d v="2025-04-11T00:00:00"/>
    <s v="Apr-2025"/>
    <s v="Q2-2025"/>
    <d v="2025-05-04T00:00:00"/>
    <s v="Valid"/>
    <n v="23"/>
    <d v="2025-05-04T00:00:00"/>
    <s v="Asia"/>
    <s v="Asia → Japan → Osaka"/>
    <s v="Japan-2025-04"/>
    <x v="2"/>
    <s v="Osaka"/>
    <s v="Small Business"/>
    <s v="Online"/>
    <s v="M. Rossi"/>
    <x v="0"/>
    <s v="CMP-3743"/>
    <n v="786.2"/>
    <n v="1075.3"/>
    <s v="Valid"/>
    <n v="1075.3"/>
    <s v="Medium"/>
    <n v="0.08"/>
    <s v="Valid"/>
    <n v="0.08"/>
    <n v="9"/>
    <n v="8903.4839999999986"/>
    <n v="7075.8"/>
    <n v="1827.6839999999984"/>
    <n v="0.20527739478163815"/>
    <n v="0"/>
  </r>
  <r>
    <x v="294"/>
    <d v="2025-06-01T00:00:00"/>
    <s v="Jun-2025"/>
    <s v="Q2-2025"/>
    <d v="2025-06-27T00:00:00"/>
    <s v="Valid"/>
    <n v="26"/>
    <d v="2025-06-27T00:00:00"/>
    <s v="Europe"/>
    <s v="Europe → Germany → Munich"/>
    <s v="Germany-2025-06"/>
    <x v="6"/>
    <s v="Munich"/>
    <s v="Consumer"/>
    <s v="Distributor"/>
    <s v="E. Garcia"/>
    <x v="4"/>
    <s v="LAP-1619"/>
    <n v="1362.31"/>
    <n v="3294.57"/>
    <s v="Valid"/>
    <n v="3294.57"/>
    <s v="High"/>
    <n v="0.113"/>
    <s v="Valid"/>
    <n v="0.113"/>
    <n v="7"/>
    <n v="20455.985130000001"/>
    <n v="9536.17"/>
    <n v="10919.815130000001"/>
    <n v="0.5338200561157721"/>
    <n v="0"/>
  </r>
  <r>
    <x v="295"/>
    <d v="2024-03-02T00:00:00"/>
    <s v="Mar-2024"/>
    <s v="Q1-2024"/>
    <d v="2024-03-16T00:00:00"/>
    <s v="Valid"/>
    <n v="14"/>
    <d v="2024-03-16T00:00:00"/>
    <s v="Americas"/>
    <s v="Americas → Canada → Vancouver"/>
    <s v="Canada-2024-03"/>
    <x v="3"/>
    <s v="Vancouver"/>
    <s v="Non-Profit"/>
    <s v="Direct"/>
    <s v="O. Wang"/>
    <x v="1"/>
    <s v="PRN-7976"/>
    <n v="248.24"/>
    <n v="464.05"/>
    <s v="Valid"/>
    <n v="464.05"/>
    <s v="Low"/>
    <n v="0.16900000000000001"/>
    <s v="Valid"/>
    <n v="0.16900000000000001"/>
    <n v="11"/>
    <n v="4241.88105"/>
    <n v="2730.6400000000003"/>
    <n v="1511.2410499999996"/>
    <n v="0.3562667203975462"/>
    <n v="0"/>
  </r>
  <r>
    <x v="296"/>
    <d v="2023-06-20T00:00:00"/>
    <s v="Jun-2023"/>
    <s v="Q2-2023"/>
    <d v="2023-07-08T00:00:00"/>
    <s v="Valid"/>
    <n v="18"/>
    <d v="2023-07-08T00:00:00"/>
    <s v="Americas"/>
    <s v="Americas → USA → Austin"/>
    <s v="USA-2023-06"/>
    <x v="10"/>
    <s v="Austin"/>
    <s v="Non-Profit"/>
    <s v="Direct"/>
    <s v="F. Müller"/>
    <x v="5"/>
    <s v="MON-4326"/>
    <n v="337"/>
    <n v="511.03"/>
    <s v="Valid"/>
    <n v="511.03"/>
    <s v="Low"/>
    <n v="0.108"/>
    <s v="Valid"/>
    <n v="0.108"/>
    <n v="7"/>
    <n v="3190.8713200000002"/>
    <n v="2359"/>
    <n v="831.8713200000002"/>
    <n v="0.26070349963219458"/>
    <n v="0"/>
  </r>
  <r>
    <x v="297"/>
    <d v="2024-03-26T00:00:00"/>
    <s v="Mar-2024"/>
    <s v="Q1-2024"/>
    <d v="2024-04-05T00:00:00"/>
    <s v="Valid"/>
    <n v="10"/>
    <d v="2024-04-05T00:00:00"/>
    <s v="Americas"/>
    <s v="Americas → USA → Austin"/>
    <s v="USA-2024-03"/>
    <x v="10"/>
    <s v="Austin"/>
    <s v="Consumer"/>
    <s v="Direct"/>
    <s v="J. Njeri"/>
    <x v="5"/>
    <s v="MON-5444"/>
    <n v="5.66"/>
    <n v="4.22"/>
    <s v="Valid"/>
    <n v="4.22"/>
    <s v="Low"/>
    <n v="0.11899999999999999"/>
    <s v="Valid"/>
    <n v="0.11899999999999999"/>
    <n v="18"/>
    <n v="66.920760000000001"/>
    <n v="101.88"/>
    <n v="-34.959239999999994"/>
    <n v="-0.52239753403876454"/>
    <n v="0"/>
  </r>
  <r>
    <x v="298"/>
    <d v="2025-01-22T00:00:00"/>
    <s v="Jan-2025"/>
    <s v="Q1-2025"/>
    <d v="2025-01-22T00:00:00"/>
    <s v="Valid"/>
    <n v="0"/>
    <d v="2025-01-22T00:00:00"/>
    <s v="Europe"/>
    <s v="Europe → France → Lyon"/>
    <s v="France-2025-01"/>
    <x v="7"/>
    <s v="Lyon"/>
    <s v="Small Business"/>
    <s v="Online"/>
    <s v="B. Chen"/>
    <x v="6"/>
    <s v="ACC-5422"/>
    <n v="591.72"/>
    <n v="577.24"/>
    <s v="Valid"/>
    <n v="577.24"/>
    <s v="Low"/>
    <n v="0"/>
    <s v="Valid"/>
    <n v="0"/>
    <n v="22"/>
    <n v="12699.28"/>
    <n v="13017.84"/>
    <n v="-318.55999999999949"/>
    <n v="-2.5084886702238195E-2"/>
    <n v="1"/>
  </r>
  <r>
    <x v="299"/>
    <d v="2025-05-10T00:00:00"/>
    <s v="May-2025"/>
    <s v="Q2-2025"/>
    <d v="2025-05-27T00:00:00"/>
    <s v="Valid"/>
    <n v="17"/>
    <d v="2025-05-27T00:00:00"/>
    <s v="Americas"/>
    <s v="Americas → Canada → Vancouver"/>
    <s v="Canada-2025-05"/>
    <x v="3"/>
    <s v="Vancouver"/>
    <s v="Education"/>
    <s v="Direct"/>
    <s v="C. Otieno"/>
    <x v="0"/>
    <s v="CMP-9307"/>
    <n v="862.89"/>
    <n v="1426.03"/>
    <s v="Valid"/>
    <n v="1426.03"/>
    <s v="Medium"/>
    <n v="5.6000000000000001E-2"/>
    <s v="Valid"/>
    <n v="5.6000000000000001E-2"/>
    <n v="19"/>
    <n v="25577.274079999999"/>
    <n v="16394.91"/>
    <n v="9182.3640799999994"/>
    <n v="0.35900479665188778"/>
    <n v="0"/>
  </r>
  <r>
    <x v="300"/>
    <d v="2023-10-05T00:00:00"/>
    <s v="Oct-2023"/>
    <s v="Q4-2023"/>
    <d v="2023-10-31T00:00:00"/>
    <s v="Valid"/>
    <n v="26"/>
    <d v="2023-10-31T00:00:00"/>
    <s v="Asia"/>
    <s v="Asia → China → Shanghai"/>
    <s v="China-2023-10"/>
    <x v="9"/>
    <s v="Shanghai"/>
    <s v="Consumer"/>
    <s v="Unknown"/>
    <s v="J. Njeri"/>
    <x v="1"/>
    <s v="PRN-6520"/>
    <n v="649.91"/>
    <n v="1360.12"/>
    <s v="Valid"/>
    <n v="1360.12"/>
    <s v="Medium"/>
    <n v="0.19400000000000001"/>
    <s v="Valid"/>
    <n v="0.19400000000000001"/>
    <n v="9"/>
    <n v="9866.3104799999983"/>
    <n v="5849.19"/>
    <n v="4017.1204799999987"/>
    <n v="0.40715528749506769"/>
    <n v="0"/>
  </r>
  <r>
    <x v="301"/>
    <d v="2023-07-18T00:00:00"/>
    <s v="Jul-2023"/>
    <s v="Q3-2023"/>
    <d v="2023-07-22T00:00:00"/>
    <s v="Valid"/>
    <n v="4"/>
    <d v="2023-07-22T00:00:00"/>
    <s v="Americas"/>
    <s v="Americas → Brazil → São Paulo"/>
    <s v="Brazil-2023-07"/>
    <x v="5"/>
    <s v="São Paulo"/>
    <s v="Consumer"/>
    <s v="Direct"/>
    <s v="F. Müller"/>
    <x v="2"/>
    <s v="NET-1699"/>
    <n v="1269.55"/>
    <n v="2071.1"/>
    <s v="Valid"/>
    <n v="2071.1"/>
    <s v="High"/>
    <n v="0.129"/>
    <s v="Valid"/>
    <n v="0.129"/>
    <n v="22"/>
    <n v="39686.4182"/>
    <n v="27930.1"/>
    <n v="11756.318200000002"/>
    <n v="0.29623026549672354"/>
    <n v="1"/>
  </r>
  <r>
    <x v="302"/>
    <d v="2025-06-22T00:00:00"/>
    <s v="Jun-2025"/>
    <s v="Q2-2025"/>
    <d v="2025-07-08T00:00:00"/>
    <s v="Valid"/>
    <n v="16"/>
    <d v="2025-07-08T00:00:00"/>
    <s v="Europe"/>
    <s v="Europe → United Kingdom → London"/>
    <s v="United Kingdom-2025-06"/>
    <x v="8"/>
    <s v="London"/>
    <s v="Education"/>
    <s v="Direct"/>
    <s v="A. Patel"/>
    <x v="3"/>
    <s v="PHN-5316"/>
    <n v="892.73"/>
    <n v="979.84"/>
    <s v="Valid"/>
    <n v="979.84"/>
    <s v="Medium"/>
    <n v="0.17399999999999999"/>
    <s v="Valid"/>
    <n v="0.17399999999999999"/>
    <n v="10"/>
    <n v="8093.4784"/>
    <n v="8927.2999999999993"/>
    <n v="-833.82159999999931"/>
    <n v="-0.10302388649112838"/>
    <n v="0"/>
  </r>
  <r>
    <x v="303"/>
    <d v="2024-06-19T00:00:00"/>
    <s v="Jun-2024"/>
    <s v="Q2-2024"/>
    <d v="2024-06-20T00:00:00"/>
    <s v="Valid"/>
    <n v="1"/>
    <d v="2024-06-20T00:00:00"/>
    <s v="Africa"/>
    <s v="Africa → Kenya → Kisumu"/>
    <s v="Kenya-2024-06"/>
    <x v="0"/>
    <s v="Kisumu"/>
    <s v="Small Business"/>
    <s v="Direct"/>
    <s v="J. Njeri"/>
    <x v="4"/>
    <s v="LAP-4607"/>
    <n v="231.63"/>
    <n v="537.39"/>
    <s v="Valid"/>
    <n v="537.39"/>
    <s v="Low"/>
    <n v="0.08"/>
    <s v="Valid"/>
    <n v="0.08"/>
    <n v="12"/>
    <n v="5932.7856000000002"/>
    <n v="2779.56"/>
    <n v="3153.2256000000002"/>
    <n v="0.53149158129024587"/>
    <n v="1"/>
  </r>
  <r>
    <x v="304"/>
    <d v="2025-04-09T00:00:00"/>
    <s v="Apr-2025"/>
    <s v="Q2-2025"/>
    <d v="2025-04-12T00:00:00"/>
    <s v="Valid"/>
    <n v="3"/>
    <d v="2025-04-12T00:00:00"/>
    <s v="Europe"/>
    <s v="Europe → France → Lyon"/>
    <s v="France-2025-04"/>
    <x v="7"/>
    <s v="Lyon"/>
    <s v="Small Business"/>
    <s v="Distributor"/>
    <s v="H. Kim"/>
    <x v="5"/>
    <s v="MON-5276"/>
    <n v="86.68"/>
    <n v="213.32"/>
    <s v="Valid"/>
    <n v="213.32"/>
    <s v="Low"/>
    <n v="3.7999999999999999E-2"/>
    <s v="Valid"/>
    <n v="3.7999999999999999E-2"/>
    <n v="8"/>
    <n v="1641.7107199999998"/>
    <n v="693.44"/>
    <n v="948.27071999999976"/>
    <n v="0.57761133459614611"/>
    <n v="1"/>
  </r>
  <r>
    <x v="305"/>
    <d v="2025-03-25T00:00:00"/>
    <s v="Mar-2025"/>
    <s v="Q1-2025"/>
    <d v="2025-03-26T00:00:00"/>
    <s v="Valid"/>
    <n v="1"/>
    <d v="2025-03-26T00:00:00"/>
    <s v="Africa"/>
    <s v="Africa → Nigeria → Lagos"/>
    <s v="Nigeria-2025-03"/>
    <x v="1"/>
    <s v="Lagos"/>
    <s v="Education"/>
    <s v="Distributor"/>
    <s v="G. Dubois"/>
    <x v="6"/>
    <s v="ACC-9533"/>
    <n v="1450.43"/>
    <n v="1994.67"/>
    <s v="Valid"/>
    <n v="1994.67"/>
    <s v="High"/>
    <n v="0.1"/>
    <s v="Valid"/>
    <n v="0.1"/>
    <n v="24"/>
    <n v="43084.872000000003"/>
    <n v="34810.32"/>
    <n v="8274.5520000000033"/>
    <n v="0.19205237513529116"/>
    <n v="1"/>
  </r>
  <r>
    <x v="306"/>
    <d v="2025-05-18T00:00:00"/>
    <s v="May-2025"/>
    <s v="Q2-2025"/>
    <d v="2025-06-09T00:00:00"/>
    <s v="Valid"/>
    <n v="22"/>
    <d v="2025-06-09T00:00:00"/>
    <s v="Americas"/>
    <s v="Americas → USA → New York"/>
    <s v="USA-2025-05"/>
    <x v="10"/>
    <s v="New York"/>
    <s v="Consumer"/>
    <s v="Retail"/>
    <s v="H. Kim"/>
    <x v="2"/>
    <s v="NET-3749"/>
    <n v="382.96"/>
    <n v="552.84"/>
    <s v="Valid"/>
    <n v="552.84"/>
    <s v="Low"/>
    <n v="0.17599999999999999"/>
    <s v="Valid"/>
    <n v="0.17599999999999999"/>
    <n v="8"/>
    <n v="3644.3212800000006"/>
    <n v="3063.68"/>
    <n v="580.64128000000073"/>
    <n v="0.15932768693763483"/>
    <n v="0"/>
  </r>
  <r>
    <x v="307"/>
    <d v="2025-01-22T00:00:00"/>
    <s v="Jan-2025"/>
    <s v="Q1-2025"/>
    <d v="2025-02-04T00:00:00"/>
    <s v="Valid"/>
    <n v="13"/>
    <d v="2025-02-04T00:00:00"/>
    <s v="Asia"/>
    <s v="Asia → Japan → Tokyo"/>
    <s v="Japan-2025-01"/>
    <x v="2"/>
    <s v="Tokyo"/>
    <s v="Small Business"/>
    <s v="Distributor"/>
    <s v="L. Okafor"/>
    <x v="1"/>
    <s v="PRN-2991"/>
    <n v="122.29"/>
    <n v="224.95"/>
    <s v="Valid"/>
    <n v="224.95"/>
    <s v="Low"/>
    <n v="0.153"/>
    <s v="Valid"/>
    <n v="0.153"/>
    <n v="28"/>
    <n v="5334.9141999999993"/>
    <n v="3424.1200000000003"/>
    <n v="1910.7941999999989"/>
    <n v="0.3581677471026618"/>
    <n v="0"/>
  </r>
  <r>
    <x v="308"/>
    <d v="2023-01-10T00:00:00"/>
    <s v="Jan-2023"/>
    <s v="Q1-2023"/>
    <d v="2023-01-29T00:00:00"/>
    <s v="Valid"/>
    <n v="19"/>
    <d v="2023-01-29T00:00:00"/>
    <s v="Europe"/>
    <s v="Europe → France → Lyon"/>
    <s v="France-2023-01"/>
    <x v="7"/>
    <s v="Lyon"/>
    <s v="Non-Profit"/>
    <s v="Direct"/>
    <s v="D. Smith"/>
    <x v="4"/>
    <s v="LAP-4551"/>
    <n v="401.66"/>
    <n v="772.09"/>
    <s v="Valid"/>
    <n v="772.09"/>
    <s v="Medium"/>
    <n v="8.8999999999999996E-2"/>
    <s v="Valid"/>
    <n v="8.8999999999999996E-2"/>
    <n v="14"/>
    <n v="9847.2358600000007"/>
    <n v="5623.2400000000007"/>
    <n v="4223.99586"/>
    <n v="0.42895244107619046"/>
    <n v="0"/>
  </r>
  <r>
    <x v="309"/>
    <d v="2024-12-29T00:00:00"/>
    <s v="Dec-2024"/>
    <s v="Q4-2024"/>
    <d v="2025-01-12T00:00:00"/>
    <s v="Valid"/>
    <n v="14"/>
    <d v="2025-01-12T00:00:00"/>
    <s v="Europe"/>
    <s v="Europe → United Kingdom → Manchester"/>
    <s v="United Kingdom-2024-12"/>
    <x v="8"/>
    <s v="Manchester"/>
    <s v="Corporate"/>
    <s v="Direct"/>
    <s v="B. Chen"/>
    <x v="5"/>
    <s v="MON-6310"/>
    <n v="1399.72"/>
    <n v="3149.21"/>
    <s v="Valid"/>
    <n v="3149.21"/>
    <s v="High"/>
    <n v="0.185"/>
    <s v="Valid"/>
    <n v="0.185"/>
    <n v="12"/>
    <n v="30799.273800000003"/>
    <n v="16796.64"/>
    <n v="14002.633800000003"/>
    <n v="0.45464168703873797"/>
    <n v="0"/>
  </r>
  <r>
    <x v="310"/>
    <d v="2024-05-23T00:00:00"/>
    <s v="May-2024"/>
    <s v="Q2-2024"/>
    <d v="2024-06-06T00:00:00"/>
    <s v="Valid"/>
    <n v="14"/>
    <d v="2024-06-06T00:00:00"/>
    <s v="Americas"/>
    <s v="Americas → Brazil → Rio de Janeiro"/>
    <s v="Brazil-2024-05"/>
    <x v="5"/>
    <s v="Rio de Janeiro"/>
    <s v="Non-Profit"/>
    <s v="Online"/>
    <s v="I. Johnson"/>
    <x v="2"/>
    <s v="NET-1166"/>
    <n v="51.13"/>
    <n v="57.53"/>
    <s v="Valid"/>
    <n v="57.53"/>
    <s v="Low"/>
    <n v="4.4999999999999998E-2"/>
    <s v="Valid"/>
    <n v="4.4999999999999998E-2"/>
    <n v="16"/>
    <n v="879.05840000000001"/>
    <n v="818.08"/>
    <n v="60.978399999999965"/>
    <n v="6.9367859973808302E-2"/>
    <n v="0"/>
  </r>
  <r>
    <x v="311"/>
    <d v="2023-06-24T00:00:00"/>
    <s v="Jun-2023"/>
    <s v="Q2-2023"/>
    <d v="2023-06-22T00:00:00"/>
    <s v="Invalid RequiredDate"/>
    <n v="-2"/>
    <d v="2023-07-20T00:00:00"/>
    <s v="Americas"/>
    <s v="Americas → Canada → Toronto"/>
    <s v="Canada-2023-06"/>
    <x v="3"/>
    <s v="Toronto"/>
    <s v="Non-Profit"/>
    <s v="Retail"/>
    <s v="M. Rossi"/>
    <x v="6"/>
    <s v="ACC-2903"/>
    <n v="471.42"/>
    <n v="824.81"/>
    <s v="Valid"/>
    <n v="824.81"/>
    <s v="Medium"/>
    <n v="8.7999999999999995E-2"/>
    <s v="Valid"/>
    <n v="8.7999999999999995E-2"/>
    <n v="15"/>
    <n v="11283.400799999999"/>
    <n v="7071.3"/>
    <n v="4212.1007999999993"/>
    <n v="0.37330064531608231"/>
    <n v="1"/>
  </r>
  <r>
    <x v="312"/>
    <d v="2024-11-04T00:00:00"/>
    <s v="Nov-2024"/>
    <s v="Q4-2024"/>
    <d v="2024-11-05T00:00:00"/>
    <s v="Valid"/>
    <n v="1"/>
    <d v="2024-11-05T00:00:00"/>
    <s v="Europe"/>
    <s v="Europe → United Kingdom → London"/>
    <s v="United Kingdom-2024-11"/>
    <x v="8"/>
    <s v="London"/>
    <s v="Corporate"/>
    <s v="Retail"/>
    <s v="M. Rossi"/>
    <x v="1"/>
    <s v="PRN-2293"/>
    <n v="840.68"/>
    <n v="1493.53"/>
    <s v="Valid"/>
    <n v="1493.53"/>
    <s v="Medium"/>
    <n v="0"/>
    <s v="Valid"/>
    <n v="0"/>
    <n v="27"/>
    <n v="40325.31"/>
    <n v="22698.359999999997"/>
    <n v="17626.95"/>
    <n v="0.43711877230454027"/>
    <n v="1"/>
  </r>
  <r>
    <x v="313"/>
    <d v="2024-06-08T00:00:00"/>
    <s v="Jun-2024"/>
    <s v="Q2-2024"/>
    <d v="2024-06-24T00:00:00"/>
    <s v="Valid"/>
    <n v="16"/>
    <d v="2024-06-24T00:00:00"/>
    <s v="Africa"/>
    <s v="Africa → South Africa → Durban"/>
    <s v="South Africa-2024-06"/>
    <x v="11"/>
    <s v="Durban"/>
    <s v="Education"/>
    <s v="Distributor"/>
    <s v="H. Kim"/>
    <x v="5"/>
    <s v="MON-1389"/>
    <n v="597.85"/>
    <n v="741.92"/>
    <s v="Valid"/>
    <n v="741.92"/>
    <s v="Medium"/>
    <n v="3.1E-2"/>
    <s v="Valid"/>
    <n v="3.1E-2"/>
    <n v="7"/>
    <n v="5032.4433599999993"/>
    <n v="4184.95"/>
    <n v="847.49335999999948"/>
    <n v="0.16840594108544515"/>
    <n v="0"/>
  </r>
  <r>
    <x v="314"/>
    <d v="2025-06-01T00:00:00"/>
    <s v="Jun-2025"/>
    <s v="Q2-2025"/>
    <d v="2025-06-06T00:00:00"/>
    <s v="Valid"/>
    <n v="5"/>
    <d v="2025-06-06T00:00:00"/>
    <s v="Europe"/>
    <s v="Europe → France → Paris"/>
    <s v="France-2025-06"/>
    <x v="7"/>
    <s v="Paris"/>
    <s v="Consumer"/>
    <s v="Distributor"/>
    <s v="G. Dubois"/>
    <x v="0"/>
    <s v="CMP-4093"/>
    <n v="379.45"/>
    <n v="742.23"/>
    <s v="Valid"/>
    <n v="742.23"/>
    <s v="Medium"/>
    <n v="0.09"/>
    <s v="Valid"/>
    <n v="0.09"/>
    <n v="13"/>
    <n v="8780.5809000000008"/>
    <n v="4932.8499999999995"/>
    <n v="3847.7309000000014"/>
    <n v="0.43820915083192286"/>
    <n v="1"/>
  </r>
  <r>
    <x v="315"/>
    <d v="2023-05-06T00:00:00"/>
    <s v="May-2023"/>
    <s v="Q2-2023"/>
    <d v="2023-05-14T00:00:00"/>
    <s v="Valid"/>
    <n v="8"/>
    <d v="2023-05-14T00:00:00"/>
    <s v="Asia"/>
    <s v="Asia → Japan → Osaka"/>
    <s v="Japan-2023-05"/>
    <x v="2"/>
    <s v="Osaka"/>
    <s v="Enterprise"/>
    <s v="Marketplace"/>
    <s v="B. Chen"/>
    <x v="3"/>
    <s v="PHN-6131"/>
    <n v="291.18"/>
    <n v="479.54"/>
    <s v="Valid"/>
    <n v="479.54"/>
    <s v="Low"/>
    <n v="0.14099999999999999"/>
    <s v="Valid"/>
    <n v="0.14099999999999999"/>
    <n v="22"/>
    <n v="9062.34692"/>
    <n v="6405.96"/>
    <n v="2656.3869199999999"/>
    <n v="0.29312350801066001"/>
    <n v="0"/>
  </r>
  <r>
    <x v="316"/>
    <d v="2023-11-14T00:00:00"/>
    <s v="Nov-2023"/>
    <s v="Q4-2023"/>
    <d v="2023-11-30T00:00:00"/>
    <s v="Valid"/>
    <n v="16"/>
    <d v="2023-11-30T00:00:00"/>
    <s v="Americas"/>
    <s v="Americas → Brazil → São Paulo"/>
    <s v="Brazil-2023-11"/>
    <x v="5"/>
    <s v="São Paulo"/>
    <s v="Enterprise"/>
    <s v="Direct"/>
    <s v="K. Singh"/>
    <x v="2"/>
    <s v="NET-4104"/>
    <n v="1017.92"/>
    <n v="1175.25"/>
    <s v="Valid"/>
    <n v="1175.25"/>
    <s v="Medium"/>
    <n v="7.4999999999999997E-2"/>
    <s v="Valid"/>
    <n v="7.4999999999999997E-2"/>
    <n v="15"/>
    <n v="16306.59375"/>
    <n v="15268.8"/>
    <n v="1037.7937500000007"/>
    <n v="6.3642583234159542E-2"/>
    <n v="0"/>
  </r>
  <r>
    <x v="317"/>
    <d v="2025-04-01T00:00:00"/>
    <s v="Apr-2025"/>
    <s v="Q2-2025"/>
    <d v="2025-04-27T00:00:00"/>
    <s v="Valid"/>
    <n v="26"/>
    <d v="2025-04-27T00:00:00"/>
    <s v="Americas"/>
    <s v="Americas → USA → San Francisco"/>
    <s v="USA-2025-04"/>
    <x v="10"/>
    <s v="San Francisco"/>
    <s v="Corporate"/>
    <s v="Direct"/>
    <s v="I. Johnson"/>
    <x v="5"/>
    <s v="MON-9319"/>
    <n v="156.55000000000001"/>
    <n v="227.45"/>
    <s v="Valid"/>
    <n v="227.45"/>
    <s v="Low"/>
    <n v="1.4E-2"/>
    <s v="Valid"/>
    <n v="1.4E-2"/>
    <n v="13"/>
    <n v="2915.4540999999999"/>
    <n v="2035.15"/>
    <n v="880.30409999999983"/>
    <n v="0.3019440779396938"/>
    <n v="0"/>
  </r>
  <r>
    <x v="318"/>
    <d v="2023-03-23T00:00:00"/>
    <s v="Mar-2023"/>
    <s v="Q1-2023"/>
    <d v="2023-04-15T00:00:00"/>
    <s v="Valid"/>
    <n v="23"/>
    <d v="2023-04-15T00:00:00"/>
    <s v="Africa"/>
    <s v="Africa → Kenya → Mombasa"/>
    <s v="Kenya-2023-03"/>
    <x v="0"/>
    <s v="Mombasa"/>
    <s v="Small Business"/>
    <s v="Retail"/>
    <s v="C. Otieno"/>
    <x v="6"/>
    <s v="ACC-2988"/>
    <n v="875.36"/>
    <n v="1178.6199999999999"/>
    <s v="Valid"/>
    <n v="1178.6199999999999"/>
    <s v="Medium"/>
    <n v="0.151"/>
    <s v="Valid"/>
    <n v="0.151"/>
    <n v="53"/>
    <n v="53034.364139999991"/>
    <n v="46394.080000000002"/>
    <n v="6640.2841399999888"/>
    <n v="0.12520719815685888"/>
    <n v="0"/>
  </r>
  <r>
    <x v="319"/>
    <d v="2024-05-28T00:00:00"/>
    <s v="May-2024"/>
    <s v="Q2-2024"/>
    <d v="2024-06-18T00:00:00"/>
    <s v="Valid"/>
    <n v="21"/>
    <d v="2024-06-18T00:00:00"/>
    <s v="Europe"/>
    <s v="Europe → Germany → Frankfurt"/>
    <s v="Germany-2024-05"/>
    <x v="6"/>
    <s v="Frankfurt"/>
    <s v="Small Business"/>
    <s v="Online"/>
    <s v="E. Garcia"/>
    <x v="3"/>
    <s v="PHN-9399"/>
    <n v="986.85"/>
    <n v="2422.1"/>
    <s v="Valid"/>
    <n v="2422.1"/>
    <s v="High"/>
    <n v="7.5999999999999998E-2"/>
    <s v="Valid"/>
    <n v="7.5999999999999998E-2"/>
    <n v="10"/>
    <n v="22380.204000000002"/>
    <n v="9868.5"/>
    <n v="12511.704000000002"/>
    <n v="0.55905227673527913"/>
    <n v="0"/>
  </r>
  <r>
    <x v="320"/>
    <d v="2024-01-02T00:00:00"/>
    <s v="Jan-2024"/>
    <s v="Q1-2024"/>
    <d v="2024-01-01T00:00:00"/>
    <s v="Invalid RequiredDate"/>
    <n v="-1"/>
    <d v="2024-01-28T00:00:00"/>
    <s v="Americas"/>
    <s v="Americas → USA → Chicago"/>
    <s v="USA-2024-01"/>
    <x v="10"/>
    <s v="Chicago"/>
    <s v="Education"/>
    <s v="Marketplace"/>
    <s v="B. Chen"/>
    <x v="2"/>
    <s v="NET-4554"/>
    <n v="404.77"/>
    <n v="433.88"/>
    <s v="Valid"/>
    <n v="433.88"/>
    <s v="Low"/>
    <n v="0.215"/>
    <s v="Valid"/>
    <n v="0.215"/>
    <n v="22"/>
    <n v="7493.1076000000012"/>
    <n v="8904.9399999999987"/>
    <n v="-1411.8323999999975"/>
    <n v="-0.18841747314558746"/>
    <n v="1"/>
  </r>
  <r>
    <x v="321"/>
    <d v="2023-02-28T00:00:00"/>
    <s v="Feb-2023"/>
    <s v="Q1-2023"/>
    <d v="2023-02-27T00:00:00"/>
    <s v="Invalid RequiredDate"/>
    <n v="-1"/>
    <d v="2023-03-26T00:00:00"/>
    <s v="Europe"/>
    <s v="Europe → France → Marseille"/>
    <s v="France-2023-02"/>
    <x v="7"/>
    <s v="Marseille"/>
    <s v="Corporate"/>
    <s v="Retail"/>
    <s v="K. Singh"/>
    <x v="2"/>
    <s v="NET-5195"/>
    <n v="1299.81"/>
    <n v="3149.13"/>
    <s v="Valid"/>
    <n v="3149.13"/>
    <s v="High"/>
    <n v="0.10299999999999999"/>
    <s v="Valid"/>
    <n v="0.10299999999999999"/>
    <n v="14"/>
    <n v="39546.774539999999"/>
    <n v="18197.34"/>
    <n v="21349.434539999998"/>
    <n v="0.53985273864511729"/>
    <n v="1"/>
  </r>
  <r>
    <x v="322"/>
    <d v="2024-02-18T00:00:00"/>
    <s v="Feb-2024"/>
    <s v="Q1-2024"/>
    <d v="2024-03-11T00:00:00"/>
    <s v="Valid"/>
    <n v="22"/>
    <d v="2024-03-11T00:00:00"/>
    <s v="Americas"/>
    <s v="Americas → Brazil → São Paulo"/>
    <s v="Brazil-2024-02"/>
    <x v="5"/>
    <s v="São Paulo"/>
    <s v="Consumer"/>
    <s v="Online"/>
    <s v="A. Patel"/>
    <x v="0"/>
    <s v="CMP-9801"/>
    <n v="80.48"/>
    <n v="65.650000000000006"/>
    <s v="Valid"/>
    <n v="65.650000000000006"/>
    <s v="Low"/>
    <n v="0.17599999999999999"/>
    <s v="Valid"/>
    <n v="0.17599999999999999"/>
    <n v="13"/>
    <n v="703.2428000000001"/>
    <n v="1046.24"/>
    <n v="-342.99719999999991"/>
    <n v="-0.48773652570634191"/>
    <n v="0"/>
  </r>
  <r>
    <x v="323"/>
    <d v="2024-09-09T00:00:00"/>
    <s v="Sep-2024"/>
    <s v="Q3-2024"/>
    <d v="2024-10-08T00:00:00"/>
    <s v="Valid"/>
    <n v="29"/>
    <d v="2024-10-08T00:00:00"/>
    <s v="Americas"/>
    <s v="Americas → Brazil → São Paulo"/>
    <s v="Brazil-2024-09"/>
    <x v="5"/>
    <s v="São Paulo"/>
    <s v="Education"/>
    <s v="Direct"/>
    <s v="J. Njeri"/>
    <x v="0"/>
    <s v="CMP-3093"/>
    <n v="1010.33"/>
    <n v="2492.14"/>
    <s v="Valid"/>
    <n v="2492.14"/>
    <s v="High"/>
    <n v="5.0999999999999997E-2"/>
    <s v="Valid"/>
    <n v="5.0999999999999997E-2"/>
    <n v="11"/>
    <n v="26015.449459999996"/>
    <n v="11113.630000000001"/>
    <n v="14901.819459999995"/>
    <n v="0.57280653493656752"/>
    <n v="0"/>
  </r>
  <r>
    <x v="324"/>
    <d v="2023-05-07T00:00:00"/>
    <s v="May-2023"/>
    <s v="Q2-2023"/>
    <d v="2023-05-29T00:00:00"/>
    <s v="Valid"/>
    <n v="22"/>
    <d v="2023-05-29T00:00:00"/>
    <s v="Africa"/>
    <s v="Africa → South Africa → Durban"/>
    <s v="South Africa-2023-05"/>
    <x v="11"/>
    <s v="Durban"/>
    <s v="Education"/>
    <s v="Distributor"/>
    <s v="K. Singh"/>
    <x v="6"/>
    <s v="ACC-2364"/>
    <n v="653.86"/>
    <n v="931.84"/>
    <s v="Valid"/>
    <n v="931.84"/>
    <s v="Medium"/>
    <n v="0.121"/>
    <s v="Valid"/>
    <n v="0.121"/>
    <n v="12"/>
    <n v="9829.0483199999999"/>
    <n v="7846.32"/>
    <n v="1982.7283200000002"/>
    <n v="0.20172129136506273"/>
    <n v="0"/>
  </r>
  <r>
    <x v="325"/>
    <d v="2024-01-12T00:00:00"/>
    <s v="Jan-2024"/>
    <s v="Q1-2024"/>
    <d v="2024-01-29T00:00:00"/>
    <s v="Valid"/>
    <n v="17"/>
    <d v="2024-01-29T00:00:00"/>
    <s v="Asia"/>
    <s v="Asia → India → Hyderabad"/>
    <s v="India-2024-01"/>
    <x v="4"/>
    <s v="Hyderabad"/>
    <s v="Small Business"/>
    <s v="Direct"/>
    <s v="B. Chen"/>
    <x v="0"/>
    <s v="CMP-5138"/>
    <n v="310.02"/>
    <n v="619.51"/>
    <s v="Valid"/>
    <n v="619.51"/>
    <s v="Medium"/>
    <n v="4.2000000000000003E-2"/>
    <s v="Valid"/>
    <n v="4.2000000000000003E-2"/>
    <n v="4"/>
    <n v="2373.9623200000001"/>
    <n v="1240.08"/>
    <n v="1133.8823200000002"/>
    <n v="0.47763282106347843"/>
    <n v="0"/>
  </r>
  <r>
    <x v="326"/>
    <d v="2023-06-10T00:00:00"/>
    <s v="Jun-2023"/>
    <s v="Q2-2023"/>
    <d v="2023-06-18T00:00:00"/>
    <s v="Valid"/>
    <n v="8"/>
    <d v="2023-06-18T00:00:00"/>
    <s v="Africa"/>
    <s v="Africa → Kenya → Nakuru"/>
    <s v="Kenya-2023-06"/>
    <x v="0"/>
    <s v="Nakuru"/>
    <s v="Enterprise"/>
    <s v="Direct"/>
    <s v="H. Kim"/>
    <x v="3"/>
    <s v="PHN-2337"/>
    <n v="894.23"/>
    <n v="1421.55"/>
    <s v="Valid"/>
    <n v="1421.55"/>
    <s v="Medium"/>
    <n v="0.109"/>
    <s v="Valid"/>
    <n v="0.109"/>
    <n v="3"/>
    <n v="3799.8031499999997"/>
    <n v="2682.69"/>
    <n v="1117.1131499999997"/>
    <n v="0.29399237431549574"/>
    <n v="0"/>
  </r>
  <r>
    <x v="327"/>
    <d v="2025-05-19T00:00:00"/>
    <s v="May-2025"/>
    <s v="Q2-2025"/>
    <d v="2025-05-17T00:00:00"/>
    <s v="Invalid RequiredDate"/>
    <n v="-2"/>
    <d v="2025-06-14T00:00:00"/>
    <s v="Americas"/>
    <s v="Americas → Brazil → São Paulo"/>
    <s v="Brazil-2025-05"/>
    <x v="5"/>
    <s v="São Paulo"/>
    <s v="Small Business"/>
    <s v="Distributor"/>
    <s v="L. Okafor"/>
    <x v="5"/>
    <s v="MON-2993"/>
    <n v="383.77"/>
    <n v="952.56"/>
    <s v="Valid"/>
    <n v="952.56"/>
    <s v="Medium"/>
    <n v="0.34599999999999997"/>
    <s v="High Discount"/>
    <n v="0.3"/>
    <n v="10"/>
    <n v="6667.9199999999983"/>
    <n v="3837.7"/>
    <n v="2830.2199999999984"/>
    <n v="0.42445320279787385"/>
    <n v="1"/>
  </r>
  <r>
    <x v="328"/>
    <d v="2023-10-22T00:00:00"/>
    <s v="Oct-2023"/>
    <s v="Q4-2023"/>
    <d v="2023-11-16T00:00:00"/>
    <s v="Valid"/>
    <n v="25"/>
    <d v="2023-11-16T00:00:00"/>
    <s v="Americas"/>
    <s v="Americas → Canada → Toronto"/>
    <s v="Canada-2023-10"/>
    <x v="3"/>
    <s v="Toronto"/>
    <s v="Small Business"/>
    <s v="Marketplace"/>
    <s v="I. Johnson"/>
    <x v="4"/>
    <s v="LAP-9024"/>
    <n v="1373.31"/>
    <n v="3154.14"/>
    <s v="Valid"/>
    <n v="3154.14"/>
    <s v="High"/>
    <n v="0.2"/>
    <s v="Valid"/>
    <n v="0.2"/>
    <n v="11"/>
    <n v="27756.432000000001"/>
    <n v="15106.41"/>
    <n v="12650.022000000001"/>
    <n v="0.45575101295440279"/>
    <n v="0"/>
  </r>
  <r>
    <x v="329"/>
    <d v="2025-01-11T00:00:00"/>
    <s v="Jan-2025"/>
    <s v="Q1-2025"/>
    <d v="2025-01-23T00:00:00"/>
    <s v="Valid"/>
    <n v="12"/>
    <d v="2025-01-23T00:00:00"/>
    <s v="Americas"/>
    <s v="Americas → USA → Austin"/>
    <s v="USA-2025-01"/>
    <x v="10"/>
    <s v="Austin"/>
    <s v="Consumer"/>
    <s v="Distributor"/>
    <s v="H. Kim"/>
    <x v="3"/>
    <s v="PHN-6307"/>
    <n v="100.69"/>
    <n v="226.14"/>
    <s v="Valid"/>
    <n v="226.14"/>
    <s v="Low"/>
    <n v="6.5000000000000002E-2"/>
    <s v="Valid"/>
    <n v="6.5000000000000002E-2"/>
    <n v="12"/>
    <n v="2537.2908000000002"/>
    <n v="1208.28"/>
    <n v="1329.0108000000002"/>
    <n v="0.52379128162999689"/>
    <n v="0"/>
  </r>
  <r>
    <x v="330"/>
    <d v="2025-09-14T00:00:00"/>
    <s v="Sep-2025"/>
    <s v="Q3-2025"/>
    <d v="2025-09-26T00:00:00"/>
    <s v="Valid"/>
    <n v="12"/>
    <d v="2025-09-26T00:00:00"/>
    <s v="Europe"/>
    <s v="Europe → United Kingdom → London"/>
    <s v="United Kingdom-2025-09"/>
    <x v="8"/>
    <s v="London"/>
    <s v="Small Business"/>
    <s v="Direct"/>
    <s v="N. Brown"/>
    <x v="2"/>
    <s v="NET-9003"/>
    <n v="425.15"/>
    <n v="885.92"/>
    <s v="Valid"/>
    <n v="885.92"/>
    <s v="Medium"/>
    <n v="0.23899999999999999"/>
    <s v="Valid"/>
    <n v="0.23899999999999999"/>
    <n v="13"/>
    <n v="8764.4065599999994"/>
    <n v="5526.95"/>
    <n v="3237.4565599999996"/>
    <n v="0.3693868532725848"/>
    <n v="0"/>
  </r>
  <r>
    <x v="331"/>
    <d v="2023-08-30T00:00:00"/>
    <s v="Aug-2023"/>
    <s v="Q3-2023"/>
    <d v="2023-09-03T00:00:00"/>
    <s v="Valid"/>
    <n v="4"/>
    <d v="2023-09-03T00:00:00"/>
    <s v="Asia"/>
    <s v="Asia → India → Delhi"/>
    <s v="India-2023-08"/>
    <x v="4"/>
    <s v="Delhi"/>
    <s v="Small Business"/>
    <s v="Marketplace"/>
    <s v="L. Okafor"/>
    <x v="6"/>
    <s v="ACC-3068"/>
    <n v="1082.25"/>
    <n v="2433.34"/>
    <s v="Valid"/>
    <n v="2433.34"/>
    <s v="High"/>
    <n v="0.27"/>
    <s v="Valid"/>
    <n v="0.27"/>
    <n v="4"/>
    <n v="7105.3528000000006"/>
    <n v="4329"/>
    <n v="2776.3528000000006"/>
    <n v="0.3907410199251472"/>
    <n v="1"/>
  </r>
  <r>
    <x v="332"/>
    <d v="2023-11-15T00:00:00"/>
    <s v="Nov-2023"/>
    <s v="Q4-2023"/>
    <d v="2023-12-06T00:00:00"/>
    <s v="Valid"/>
    <n v="21"/>
    <d v="2023-12-06T00:00:00"/>
    <s v="Europe"/>
    <s v="Europe → United Kingdom → Manchester"/>
    <s v="United Kingdom-2023-11"/>
    <x v="8"/>
    <s v="Manchester"/>
    <s v="Education"/>
    <s v="Direct"/>
    <s v="H. Kim"/>
    <x v="6"/>
    <s v="ACC-1060"/>
    <n v="1184.99"/>
    <n v="1154.3399999999999"/>
    <s v="Valid"/>
    <n v="1154.3399999999999"/>
    <s v="Medium"/>
    <n v="2.8000000000000001E-2"/>
    <s v="Valid"/>
    <n v="2.8000000000000001E-2"/>
    <n v="5"/>
    <n v="5610.0923999999995"/>
    <n v="5924.95"/>
    <n v="-314.85760000000028"/>
    <n v="-5.6123424990290764E-2"/>
    <n v="0"/>
  </r>
  <r>
    <x v="333"/>
    <d v="2025-04-27T00:00:00"/>
    <s v="Apr-2025"/>
    <s v="Q2-2025"/>
    <d v="2025-05-27T00:00:00"/>
    <s v="Valid"/>
    <n v="30"/>
    <d v="2025-05-27T00:00:00"/>
    <s v="Asia"/>
    <s v="Asia → India → unknown"/>
    <s v="India-2025-04"/>
    <x v="4"/>
    <s v="unknown"/>
    <s v="Enterprise"/>
    <s v="Marketplace"/>
    <s v="H. Kim"/>
    <x v="3"/>
    <s v="PHN-3854"/>
    <n v="481.32"/>
    <n v="1135.99"/>
    <s v="Valid"/>
    <n v="1135.99"/>
    <s v="Medium"/>
    <n v="0.14499999999999999"/>
    <s v="Valid"/>
    <n v="0.14499999999999999"/>
    <n v="5"/>
    <n v="4856.35725"/>
    <n v="2406.6"/>
    <n v="2449.7572500000001"/>
    <n v="0.50444337677175621"/>
    <n v="0"/>
  </r>
  <r>
    <x v="334"/>
    <d v="2024-04-09T00:00:00"/>
    <s v="Apr-2024"/>
    <s v="Q2-2024"/>
    <d v="2024-04-18T00:00:00"/>
    <s v="Valid"/>
    <n v="9"/>
    <d v="2024-04-18T00:00:00"/>
    <s v="Europe"/>
    <s v="Europe → France → Lyon"/>
    <s v="France-2024-04"/>
    <x v="7"/>
    <s v="Lyon"/>
    <s v="Consumer"/>
    <s v="Online"/>
    <s v="E. Garcia"/>
    <x v="1"/>
    <s v="PRN-1086"/>
    <n v="1288.8499999999999"/>
    <n v="2751.84"/>
    <s v="Valid"/>
    <n v="2751.84"/>
    <s v="High"/>
    <n v="0.158"/>
    <s v="Valid"/>
    <n v="0.158"/>
    <n v="7"/>
    <n v="16219.34496"/>
    <n v="9021.9499999999989"/>
    <n v="7197.3949600000014"/>
    <n v="0.44375373837538756"/>
    <n v="0"/>
  </r>
  <r>
    <x v="335"/>
    <d v="2024-07-11T00:00:00"/>
    <s v="Jul-2024"/>
    <s v="Q3-2024"/>
    <d v="2024-07-31T00:00:00"/>
    <s v="Valid"/>
    <n v="20"/>
    <d v="2024-07-31T00:00:00"/>
    <s v="Asia"/>
    <s v="Asia → China → Shenzhen"/>
    <s v="China-2024-07"/>
    <x v="9"/>
    <s v="Shenzhen"/>
    <s v="Consumer"/>
    <s v="Online"/>
    <s v="G. Dubois"/>
    <x v="3"/>
    <s v="PHN-7815"/>
    <n v="647.26"/>
    <n v="1374.72"/>
    <s v="Valid"/>
    <n v="1374.72"/>
    <s v="Medium"/>
    <n v="6.6000000000000003E-2"/>
    <s v="Valid"/>
    <n v="6.6000000000000003E-2"/>
    <n v="22"/>
    <n v="28247.74656"/>
    <n v="14239.72"/>
    <n v="14008.02656"/>
    <n v="0.49589890401508901"/>
    <n v="0"/>
  </r>
  <r>
    <x v="336"/>
    <d v="2024-02-18T00:00:00"/>
    <s v="Feb-2024"/>
    <s v="Q1-2024"/>
    <d v="2024-03-03T00:00:00"/>
    <s v="Valid"/>
    <n v="14"/>
    <d v="2024-03-03T00:00:00"/>
    <s v="Americas"/>
    <s v="Americas → Brazil → unknown"/>
    <s v="Brazil-2024-02"/>
    <x v="5"/>
    <s v="unknown"/>
    <s v="Enterprise"/>
    <s v="Distributor"/>
    <s v="A. Patel"/>
    <x v="1"/>
    <s v="PRN-5384"/>
    <n v="624.23"/>
    <n v="1318.37"/>
    <s v="Valid"/>
    <n v="1318.37"/>
    <s v="Medium"/>
    <n v="0.21"/>
    <s v="Valid"/>
    <n v="0.21"/>
    <n v="37"/>
    <n v="38535.955099999999"/>
    <n v="23096.510000000002"/>
    <n v="15439.445099999997"/>
    <n v="0.40065038118128793"/>
    <n v="0"/>
  </r>
  <r>
    <x v="337"/>
    <d v="2023-07-25T00:00:00"/>
    <s v="Jul-2023"/>
    <s v="Q3-2023"/>
    <d v="2023-08-10T00:00:00"/>
    <s v="Valid"/>
    <n v="16"/>
    <d v="2023-08-10T00:00:00"/>
    <s v="Africa"/>
    <s v="Africa → Nigeria → Port Harcourt"/>
    <s v="Nigeria-2023-07"/>
    <x v="1"/>
    <s v="Port Harcourt"/>
    <s v="Corporate"/>
    <s v="Distributor"/>
    <s v="I. Johnson"/>
    <x v="6"/>
    <s v="ACC-8178"/>
    <n v="506.83"/>
    <n v="441.74"/>
    <s v="Valid"/>
    <n v="441.74"/>
    <s v="Low"/>
    <n v="0.24"/>
    <s v="Valid"/>
    <n v="0.24"/>
    <n v="9"/>
    <n v="3021.5016000000001"/>
    <n v="4561.47"/>
    <n v="-1539.9684000000002"/>
    <n v="-0.50966989393618067"/>
    <n v="0"/>
  </r>
  <r>
    <x v="338"/>
    <d v="2023-07-14T00:00:00"/>
    <s v="Jul-2023"/>
    <s v="Q3-2023"/>
    <d v="2023-07-21T00:00:00"/>
    <s v="Valid"/>
    <n v="7"/>
    <d v="2023-07-21T00:00:00"/>
    <s v="Africa"/>
    <s v="Africa → South Africa → Durban"/>
    <s v="South Africa-2023-07"/>
    <x v="11"/>
    <s v="Durban"/>
    <s v="Enterprise"/>
    <s v="Marketplace"/>
    <s v="Unassigned"/>
    <x v="5"/>
    <s v="MON-1018"/>
    <n v="620.74"/>
    <n v="1330.07"/>
    <s v="Valid"/>
    <n v="1330.07"/>
    <s v="Medium"/>
    <n v="0.29899999999999999"/>
    <s v="Valid"/>
    <n v="0.29899999999999999"/>
    <n v="28"/>
    <n v="26106.613960000002"/>
    <n v="17380.72"/>
    <n v="8725.8939600000012"/>
    <n v="0.33424073965967516"/>
    <n v="1"/>
  </r>
  <r>
    <x v="339"/>
    <d v="2023-07-24T00:00:00"/>
    <s v="Jul-2023"/>
    <s v="Q3-2023"/>
    <d v="2023-08-19T00:00:00"/>
    <s v="Valid"/>
    <n v="26"/>
    <d v="2023-08-19T00:00:00"/>
    <s v="Africa"/>
    <s v="Africa → Kenya → Nairobi"/>
    <s v="Kenya-2023-07"/>
    <x v="0"/>
    <s v="Nairobi"/>
    <s v="Enterprise"/>
    <s v="Distributor"/>
    <s v="M. Rossi"/>
    <x v="6"/>
    <s v="ACC-1238"/>
    <n v="661.45"/>
    <n v="1634.86"/>
    <s v="Valid"/>
    <n v="1634.86"/>
    <s v="Medium"/>
    <n v="0.56499999999999995"/>
    <s v="High Discount"/>
    <n v="0.3"/>
    <n v="24"/>
    <n v="27465.647999999997"/>
    <n v="15874.800000000001"/>
    <n v="11590.847999999996"/>
    <n v="0.42201254454291404"/>
    <n v="0"/>
  </r>
  <r>
    <x v="340"/>
    <d v="2023-04-13T00:00:00"/>
    <s v="Apr-2023"/>
    <s v="Q2-2023"/>
    <d v="2023-04-11T00:00:00"/>
    <s v="Invalid RequiredDate"/>
    <n v="-2"/>
    <d v="2023-05-09T00:00:00"/>
    <s v="Americas"/>
    <s v="Americas → USA → San Francisco"/>
    <s v="USA-2023-04"/>
    <x v="10"/>
    <s v="San Francisco"/>
    <s v="Education"/>
    <s v="Marketplace"/>
    <s v="G. Dubois"/>
    <x v="2"/>
    <s v="NET-1816"/>
    <n v="32.1"/>
    <n v="70.599999999999994"/>
    <s v="Valid"/>
    <n v="70.599999999999994"/>
    <s v="Low"/>
    <n v="0.28199999999999997"/>
    <s v="Valid"/>
    <n v="0.28199999999999997"/>
    <n v="22"/>
    <n v="1115.1975999999997"/>
    <n v="706.2"/>
    <n v="408.99759999999969"/>
    <n v="0.36674899587301818"/>
    <n v="1"/>
  </r>
  <r>
    <x v="341"/>
    <d v="2024-10-29T00:00:00"/>
    <s v="Oct-2024"/>
    <s v="Q4-2024"/>
    <d v="2024-11-04T00:00:00"/>
    <s v="Valid"/>
    <n v="6"/>
    <d v="2024-11-04T00:00:00"/>
    <s v="Africa"/>
    <s v="Africa → Kenya → Nairobi"/>
    <s v="Kenya-2024-10"/>
    <x v="0"/>
    <s v="Nairobi"/>
    <s v="Corporate"/>
    <s v="Distributor"/>
    <s v="M. Rossi"/>
    <x v="1"/>
    <s v="PRN-4893"/>
    <n v="805.81"/>
    <n v="1823.04"/>
    <s v="Valid"/>
    <n v="1823.04"/>
    <s v="Medium"/>
    <n v="0"/>
    <s v="Valid"/>
    <n v="0"/>
    <n v="11"/>
    <n v="20053.439999999999"/>
    <n v="8863.91"/>
    <n v="11189.529999999999"/>
    <n v="0.55798556257679477"/>
    <n v="1"/>
  </r>
  <r>
    <x v="342"/>
    <d v="2024-02-17T00:00:00"/>
    <s v="Feb-2024"/>
    <s v="Q1-2024"/>
    <d v="2024-03-04T00:00:00"/>
    <s v="Valid"/>
    <n v="16"/>
    <d v="2024-03-04T00:00:00"/>
    <s v="Asia"/>
    <s v="Asia → India → Delhi"/>
    <s v="India-2024-02"/>
    <x v="4"/>
    <s v="Delhi"/>
    <s v="Small Business"/>
    <s v="Marketplace"/>
    <s v="F. Müller"/>
    <x v="3"/>
    <s v="PHN-1717"/>
    <n v="1231.8"/>
    <n v="2015.99"/>
    <s v="Valid"/>
    <n v="2015.99"/>
    <s v="High"/>
    <n v="0.26100000000000001"/>
    <s v="Valid"/>
    <n v="0.26100000000000001"/>
    <n v="6"/>
    <n v="8938.8996600000009"/>
    <n v="7390.7999999999993"/>
    <n v="1548.0996600000017"/>
    <n v="0.17318682599464391"/>
    <n v="0"/>
  </r>
  <r>
    <x v="343"/>
    <d v="2024-07-13T00:00:00"/>
    <s v="Jul-2024"/>
    <s v="Q3-2024"/>
    <d v="2024-07-12T00:00:00"/>
    <s v="Invalid RequiredDate"/>
    <n v="-1"/>
    <d v="2024-08-08T00:00:00"/>
    <s v="Asia"/>
    <s v="Asia → Japan → Nagoya"/>
    <s v="Japan-2024-07"/>
    <x v="2"/>
    <s v="Nagoya"/>
    <s v="Small Business"/>
    <s v="Marketplace"/>
    <s v="F. Müller"/>
    <x v="2"/>
    <s v="NET-9575"/>
    <n v="105.13"/>
    <n v="244.13"/>
    <s v="Valid"/>
    <n v="244.13"/>
    <s v="Low"/>
    <n v="7.0999999999999994E-2"/>
    <s v="Valid"/>
    <n v="7.0999999999999994E-2"/>
    <n v="14"/>
    <n v="3175.1547799999998"/>
    <n v="1471.82"/>
    <n v="1703.3347799999999"/>
    <n v="0.53645724319618837"/>
    <n v="1"/>
  </r>
  <r>
    <x v="344"/>
    <d v="2023-12-01T00:00:00"/>
    <s v="Dec-2023"/>
    <s v="Q4-2023"/>
    <d v="2023-12-18T00:00:00"/>
    <s v="Valid"/>
    <n v="17"/>
    <d v="2023-12-18T00:00:00"/>
    <s v="Asia"/>
    <s v="Asia → Japan → Nagoya"/>
    <s v="Japan-2023-12"/>
    <x v="2"/>
    <s v="Nagoya"/>
    <s v="Small Business"/>
    <s v="Direct"/>
    <s v="N. Brown"/>
    <x v="4"/>
    <s v="LAP-3604"/>
    <n v="1495.79"/>
    <n v="2783.12"/>
    <s v="Valid"/>
    <n v="2783.12"/>
    <s v="High"/>
    <n v="0.02"/>
    <s v="Valid"/>
    <n v="0.02"/>
    <n v="5"/>
    <n v="13637.287999999999"/>
    <n v="7478.95"/>
    <n v="6158.3379999999988"/>
    <n v="0.45158084217331185"/>
    <n v="0"/>
  </r>
  <r>
    <x v="345"/>
    <d v="2024-07-25T00:00:00"/>
    <s v="Jul-2024"/>
    <s v="Q3-2024"/>
    <d v="2024-08-02T00:00:00"/>
    <s v="Valid"/>
    <n v="8"/>
    <d v="2024-08-02T00:00:00"/>
    <s v="Americas"/>
    <s v="Americas → Canada → Montreal"/>
    <s v="Canada-2024-07"/>
    <x v="3"/>
    <s v="Montreal"/>
    <s v="Consumer"/>
    <s v="Direct"/>
    <s v="J. Njeri"/>
    <x v="6"/>
    <s v="ACC-6626"/>
    <n v="986.81"/>
    <n v="2050.31"/>
    <s v="Valid"/>
    <n v="2050.31"/>
    <s v="High"/>
    <n v="0.10299999999999999"/>
    <s v="Valid"/>
    <n v="0.10299999999999999"/>
    <n v="43"/>
    <n v="79082.507010000001"/>
    <n v="42432.829999999994"/>
    <n v="36649.677010000007"/>
    <n v="0.46343595310358138"/>
    <n v="0"/>
  </r>
  <r>
    <x v="346"/>
    <d v="2023-05-04T00:00:00"/>
    <s v="May-2023"/>
    <s v="Q2-2023"/>
    <d v="2023-05-16T00:00:00"/>
    <s v="Valid"/>
    <n v="12"/>
    <d v="2023-05-16T00:00:00"/>
    <s v="Africa"/>
    <s v="Africa → Nigeria → Abuja"/>
    <s v="Nigeria-2023-05"/>
    <x v="1"/>
    <s v="Abuja"/>
    <s v="Small Business"/>
    <s v="Marketplace"/>
    <s v="J. Njeri"/>
    <x v="3"/>
    <s v="PHN-1670"/>
    <n v="77.739999999999995"/>
    <n v="147.12"/>
    <s v="Valid"/>
    <n v="147.12"/>
    <s v="Low"/>
    <n v="0"/>
    <s v="Valid"/>
    <n v="0"/>
    <n v="15"/>
    <n v="2206.8000000000002"/>
    <n v="1166.0999999999999"/>
    <n v="1040.7000000000003"/>
    <n v="0.47158781946710177"/>
    <n v="0"/>
  </r>
  <r>
    <x v="347"/>
    <d v="2023-12-21T00:00:00"/>
    <s v="Dec-2023"/>
    <s v="Q4-2023"/>
    <d v="2024-01-06T00:00:00"/>
    <s v="Valid"/>
    <n v="16"/>
    <d v="2024-01-06T00:00:00"/>
    <s v="Africa"/>
    <s v="Africa → Nigeria → unknown"/>
    <s v="Nigeria-2023-12"/>
    <x v="1"/>
    <s v="unknown"/>
    <s v="Corporate"/>
    <s v="Marketplace"/>
    <s v="K. Singh"/>
    <x v="0"/>
    <s v="CMP-4792"/>
    <n v="932.61"/>
    <n v="1982.98"/>
    <s v="Valid"/>
    <n v="1982.98"/>
    <s v="High"/>
    <n v="0.14399999999999999"/>
    <s v="Valid"/>
    <n v="0.14399999999999999"/>
    <n v="16"/>
    <n v="27158.894079999998"/>
    <n v="14921.76"/>
    <n v="12237.134079999998"/>
    <n v="0.45057556629345635"/>
    <n v="0"/>
  </r>
  <r>
    <x v="348"/>
    <d v="2025-06-17T00:00:00"/>
    <s v="Jun-2025"/>
    <s v="Q2-2025"/>
    <d v="2025-07-05T00:00:00"/>
    <s v="Valid"/>
    <n v="18"/>
    <d v="2025-07-05T00:00:00"/>
    <s v="Asia"/>
    <s v="Asia → India → Delhi"/>
    <s v="India-2025-06"/>
    <x v="4"/>
    <s v="Delhi"/>
    <s v="Consumer"/>
    <s v="Marketplace"/>
    <s v="L. Okafor"/>
    <x v="4"/>
    <s v="LAP-1990"/>
    <n v="982.93"/>
    <n v="2299.3000000000002"/>
    <s v="Valid"/>
    <n v="2299.3000000000002"/>
    <s v="High"/>
    <n v="0.113"/>
    <s v="Valid"/>
    <n v="0.113"/>
    <n v="6"/>
    <n v="12236.874600000001"/>
    <n v="5897.58"/>
    <n v="6339.2946000000011"/>
    <n v="0.51804850562087157"/>
    <n v="0"/>
  </r>
  <r>
    <x v="349"/>
    <d v="2023-02-23T00:00:00"/>
    <s v="Feb-2023"/>
    <s v="Q1-2023"/>
    <d v="2023-03-08T00:00:00"/>
    <s v="Valid"/>
    <n v="13"/>
    <d v="2023-03-08T00:00:00"/>
    <s v="Europe"/>
    <s v="Europe → United Kingdom → Manchester"/>
    <s v="United Kingdom-2023-02"/>
    <x v="8"/>
    <s v="Manchester"/>
    <s v="Small Business"/>
    <s v="Direct"/>
    <s v="C. Otieno"/>
    <x v="1"/>
    <s v="PRN-7410"/>
    <n v="307.37"/>
    <n v="462.61"/>
    <s v="Valid"/>
    <n v="462.61"/>
    <s v="Low"/>
    <n v="0.188"/>
    <s v="Valid"/>
    <n v="0.188"/>
    <n v="11"/>
    <n v="4132.0325200000007"/>
    <n v="3381.07"/>
    <n v="750.9625200000005"/>
    <n v="0.18174167709599739"/>
    <n v="0"/>
  </r>
  <r>
    <x v="350"/>
    <d v="2023-12-02T00:00:00"/>
    <s v="Dec-2023"/>
    <s v="Q4-2023"/>
    <d v="2023-12-16T00:00:00"/>
    <s v="Valid"/>
    <n v="14"/>
    <d v="2023-12-16T00:00:00"/>
    <s v="Europe"/>
    <s v="Europe → Germany → Frankfurt"/>
    <s v="Germany-2023-12"/>
    <x v="6"/>
    <s v="Frankfurt"/>
    <s v="Education"/>
    <s v="Direct"/>
    <s v="N. Brown"/>
    <x v="5"/>
    <s v="MON-4278"/>
    <n v="879.08"/>
    <n v="1093.3900000000001"/>
    <s v="Valid"/>
    <n v="1093.3900000000001"/>
    <s v="Medium"/>
    <n v="0.113"/>
    <s v="Valid"/>
    <n v="0.113"/>
    <n v="17"/>
    <n v="16487.22781"/>
    <n v="14944.36"/>
    <n v="1542.8678099999997"/>
    <n v="9.3579577341935186E-2"/>
    <n v="0"/>
  </r>
  <r>
    <x v="351"/>
    <d v="2023-07-14T00:00:00"/>
    <s v="Jul-2023"/>
    <s v="Q3-2023"/>
    <d v="2023-07-14T00:00:00"/>
    <s v="Valid"/>
    <n v="0"/>
    <d v="2023-07-14T00:00:00"/>
    <s v="Africa"/>
    <s v="Africa → Nigeria → Lagos"/>
    <s v="Nigeria-2023-07"/>
    <x v="1"/>
    <s v="Lagos"/>
    <s v="Education"/>
    <s v="Retail"/>
    <s v="I. Johnson"/>
    <x v="6"/>
    <s v="ACC-5334"/>
    <n v="956.38"/>
    <n v="1454.22"/>
    <s v="Valid"/>
    <n v="1454.22"/>
    <s v="Medium"/>
    <n v="3.9E-2"/>
    <s v="Valid"/>
    <n v="3.9E-2"/>
    <n v="19"/>
    <n v="26552.60298"/>
    <n v="18171.22"/>
    <n v="8381.3829799999985"/>
    <n v="0.31565202802576603"/>
    <n v="1"/>
  </r>
  <r>
    <x v="352"/>
    <d v="2024-08-08T00:00:00"/>
    <s v="Aug-2024"/>
    <s v="Q3-2024"/>
    <d v="2024-08-20T00:00:00"/>
    <s v="Valid"/>
    <n v="12"/>
    <d v="2024-08-20T00:00:00"/>
    <s v="Asia"/>
    <s v="Asia → Japan → Osaka"/>
    <s v="Japan-2024-08"/>
    <x v="2"/>
    <s v="Osaka"/>
    <s v="Small Business"/>
    <s v="Retail"/>
    <s v="H. Kim"/>
    <x v="2"/>
    <s v="NET-8957"/>
    <n v="1233.3599999999999"/>
    <n v="2120.4"/>
    <s v="Valid"/>
    <n v="2120.4"/>
    <s v="High"/>
    <n v="0.17899999999999999"/>
    <s v="Valid"/>
    <n v="0.17899999999999999"/>
    <n v="20"/>
    <n v="34816.968000000001"/>
    <n v="24667.199999999997"/>
    <n v="10149.768000000004"/>
    <n v="0.29151785991244278"/>
    <n v="0"/>
  </r>
  <r>
    <x v="353"/>
    <d v="2024-11-07T00:00:00"/>
    <s v="Nov-2024"/>
    <s v="Q4-2024"/>
    <d v="2024-11-26T00:00:00"/>
    <s v="Valid"/>
    <n v="19"/>
    <d v="2024-11-26T00:00:00"/>
    <s v="Americas"/>
    <s v="Americas → Brazil → Rio de Janeiro"/>
    <s v="Brazil-2024-11"/>
    <x v="5"/>
    <s v="Rio de Janeiro"/>
    <s v="Non-Profit"/>
    <s v="Distributor"/>
    <s v="J. Njeri"/>
    <x v="1"/>
    <s v="PRN-9960"/>
    <n v="55.35"/>
    <n v="128.68"/>
    <s v="Valid"/>
    <n v="128.68"/>
    <s v="Low"/>
    <n v="0.128"/>
    <s v="Valid"/>
    <n v="0.128"/>
    <n v="10"/>
    <n v="1122.0896000000002"/>
    <n v="553.5"/>
    <n v="568.58960000000025"/>
    <n v="0.50672388372550647"/>
    <n v="0"/>
  </r>
  <r>
    <x v="354"/>
    <d v="2024-01-01T00:00:00"/>
    <s v="Jan-2024"/>
    <s v="Q1-2024"/>
    <d v="2024-01-27T00:00:00"/>
    <s v="Valid"/>
    <n v="26"/>
    <d v="2024-01-27T00:00:00"/>
    <s v="Europe"/>
    <s v="Europe → United Kingdom → Manchester"/>
    <s v="United Kingdom-2024-01"/>
    <x v="8"/>
    <s v="Manchester"/>
    <s v="Education"/>
    <s v="Distributor"/>
    <s v="D. Smith"/>
    <x v="6"/>
    <s v="ACC-3103"/>
    <n v="657.45"/>
    <n v="1325.96"/>
    <s v="Valid"/>
    <n v="1325.96"/>
    <s v="Medium"/>
    <n v="0.16700000000000001"/>
    <s v="Valid"/>
    <n v="0.16700000000000001"/>
    <n v="21"/>
    <n v="23195.01828"/>
    <n v="13806.45"/>
    <n v="9388.5682799999995"/>
    <n v="0.40476658249048808"/>
    <n v="0"/>
  </r>
  <r>
    <x v="355"/>
    <d v="2025-08-14T00:00:00"/>
    <s v="Aug-2025"/>
    <s v="Q3-2025"/>
    <d v="2025-09-11T00:00:00"/>
    <s v="Valid"/>
    <n v="28"/>
    <d v="2025-09-11T00:00:00"/>
    <s v="Americas"/>
    <s v="Americas → Brazil → São Paulo"/>
    <s v="Brazil-2025-08"/>
    <x v="5"/>
    <s v="São Paulo"/>
    <s v="Non-Profit"/>
    <s v="Direct"/>
    <s v="F. Müller"/>
    <x v="1"/>
    <s v="PRN-9490"/>
    <n v="1203.02"/>
    <n v="2439.33"/>
    <s v="Valid"/>
    <n v="2439.33"/>
    <s v="High"/>
    <n v="0"/>
    <s v="Valid"/>
    <n v="0"/>
    <n v="18"/>
    <n v="43907.94"/>
    <n v="21654.36"/>
    <n v="22253.58"/>
    <n v="0.50682359500354612"/>
    <n v="0"/>
  </r>
  <r>
    <x v="356"/>
    <d v="2024-04-03T00:00:00"/>
    <s v="Apr-2024"/>
    <s v="Q2-2024"/>
    <d v="2024-04-21T00:00:00"/>
    <s v="Valid"/>
    <n v="18"/>
    <d v="2024-04-21T00:00:00"/>
    <s v="Americas"/>
    <s v="Americas → Brazil → Brasília"/>
    <s v="Brazil-2024-04"/>
    <x v="5"/>
    <s v="Brasília"/>
    <s v="Small Business"/>
    <s v="Distributor"/>
    <s v="B. Chen"/>
    <x v="2"/>
    <s v="NET-3850"/>
    <n v="1176.69"/>
    <n v="2201.54"/>
    <s v="Valid"/>
    <n v="2201.54"/>
    <s v="High"/>
    <n v="0.17"/>
    <s v="Valid"/>
    <n v="0.17"/>
    <n v="27"/>
    <n v="49336.511399999996"/>
    <n v="31770.63"/>
    <n v="17565.881399999995"/>
    <n v="0.35604222717701106"/>
    <n v="0"/>
  </r>
  <r>
    <x v="357"/>
    <d v="2024-11-25T00:00:00"/>
    <s v="Nov-2024"/>
    <s v="Q4-2024"/>
    <d v="2024-12-07T00:00:00"/>
    <s v="Valid"/>
    <n v="12"/>
    <d v="2024-12-07T00:00:00"/>
    <s v="Asia"/>
    <s v="Asia → China → Shanghai"/>
    <s v="China-2024-11"/>
    <x v="9"/>
    <s v="Shanghai"/>
    <s v="Corporate"/>
    <s v="Distributor"/>
    <s v="A. Patel"/>
    <x v="6"/>
    <s v="ACC-7047"/>
    <n v="769.9"/>
    <n v="814.36"/>
    <s v="Valid"/>
    <n v="814.36"/>
    <s v="Medium"/>
    <n v="0"/>
    <s v="Valid"/>
    <n v="0"/>
    <n v="5"/>
    <n v="4071.8"/>
    <n v="3849.5"/>
    <n v="222.30000000000018"/>
    <n v="5.4595019401738831E-2"/>
    <n v="0"/>
  </r>
  <r>
    <x v="358"/>
    <d v="2024-01-18T00:00:00"/>
    <s v="Jan-2024"/>
    <s v="Q1-2024"/>
    <d v="2024-02-03T00:00:00"/>
    <s v="Valid"/>
    <n v="16"/>
    <d v="2024-02-03T00:00:00"/>
    <s v="Africa"/>
    <s v="Africa → South Africa → Cape Town"/>
    <s v="South Africa-2024-01"/>
    <x v="11"/>
    <s v="Cape Town"/>
    <s v="Non-Profit"/>
    <s v="Distributor"/>
    <s v="L. Okafor"/>
    <x v="1"/>
    <s v="PRN-6660"/>
    <n v="666.23"/>
    <n v="1382.91"/>
    <s v="Valid"/>
    <n v="1382.91"/>
    <s v="Medium"/>
    <n v="0.17599999999999999"/>
    <s v="Valid"/>
    <n v="0.17599999999999999"/>
    <n v="13"/>
    <n v="14813.731920000002"/>
    <n v="8660.99"/>
    <n v="6152.7419200000022"/>
    <n v="0.41534043907553048"/>
    <n v="0"/>
  </r>
  <r>
    <x v="359"/>
    <d v="2024-06-23T00:00:00"/>
    <s v="Jun-2024"/>
    <s v="Q2-2024"/>
    <d v="2024-06-25T00:00:00"/>
    <s v="Valid"/>
    <n v="2"/>
    <d v="2024-06-25T00:00:00"/>
    <s v="Europe"/>
    <s v="Europe → United Kingdom → Birmingham"/>
    <s v="United Kingdom-2024-06"/>
    <x v="8"/>
    <s v="Birmingham"/>
    <s v="Small Business"/>
    <s v="Marketplace"/>
    <s v="L. Okafor"/>
    <x v="6"/>
    <s v="ACC-7838"/>
    <n v="951.44"/>
    <n v="1646.43"/>
    <s v="Valid"/>
    <n v="1646.43"/>
    <s v="Medium"/>
    <n v="0.11"/>
    <s v="Valid"/>
    <n v="0.11"/>
    <n v="24"/>
    <n v="35167.7448"/>
    <n v="22834.560000000001"/>
    <n v="12333.184799999999"/>
    <n v="0.35069592520473475"/>
    <n v="1"/>
  </r>
  <r>
    <x v="360"/>
    <d v="2025-06-25T00:00:00"/>
    <s v="Jun-2025"/>
    <s v="Q2-2025"/>
    <d v="2025-07-10T00:00:00"/>
    <s v="Valid"/>
    <n v="15"/>
    <d v="2025-07-10T00:00:00"/>
    <s v="Europe"/>
    <s v="Europe → United Kingdom → Birmingham"/>
    <s v="United Kingdom-2025-06"/>
    <x v="8"/>
    <s v="Birmingham"/>
    <s v="Non-Profit"/>
    <s v="Marketplace"/>
    <s v="D. Smith"/>
    <x v="3"/>
    <s v="PHN-5383"/>
    <n v="546.83000000000004"/>
    <n v="400.84"/>
    <s v="Valid"/>
    <n v="400.84"/>
    <s v="Low"/>
    <n v="7.8E-2"/>
    <s v="Valid"/>
    <n v="7.8E-2"/>
    <n v="13"/>
    <n v="4804.4682400000002"/>
    <n v="7108.7900000000009"/>
    <n v="-2304.3217600000007"/>
    <n v="-0.47962056254533608"/>
    <n v="0"/>
  </r>
  <r>
    <x v="361"/>
    <d v="2023-07-01T00:00:00"/>
    <s v="Jul-2023"/>
    <s v="Q3-2023"/>
    <d v="2023-07-08T00:00:00"/>
    <s v="Valid"/>
    <n v="7"/>
    <d v="2023-07-08T00:00:00"/>
    <s v="Africa"/>
    <s v="Africa → Nigeria → Port Harcourt"/>
    <s v="Nigeria-2023-07"/>
    <x v="1"/>
    <s v="Port Harcourt"/>
    <s v="Corporate"/>
    <s v="Retail"/>
    <s v="A. Patel"/>
    <x v="4"/>
    <s v="LAP-3904"/>
    <n v="834.26"/>
    <n v="1780.56"/>
    <s v="Valid"/>
    <n v="1780.56"/>
    <s v="Medium"/>
    <n v="1.4E-2"/>
    <s v="Valid"/>
    <n v="1.4E-2"/>
    <n v="47"/>
    <n v="82514.711519999997"/>
    <n v="39210.22"/>
    <n v="43304.491519999996"/>
    <n v="0.5248093427497933"/>
    <n v="1"/>
  </r>
  <r>
    <x v="362"/>
    <d v="2024-03-09T00:00:00"/>
    <s v="Mar-2024"/>
    <s v="Q1-2024"/>
    <d v="2024-03-26T00:00:00"/>
    <s v="Valid"/>
    <n v="17"/>
    <d v="2024-03-26T00:00:00"/>
    <s v="Asia"/>
    <s v="Asia → China → Shenzhen"/>
    <s v="China-2024-03"/>
    <x v="9"/>
    <s v="Shenzhen"/>
    <s v="Enterprise"/>
    <s v="Online"/>
    <s v="K. Singh"/>
    <x v="5"/>
    <s v="MON-5749"/>
    <n v="1029.67"/>
    <n v="1118.43"/>
    <s v="Valid"/>
    <n v="1118.43"/>
    <s v="Medium"/>
    <n v="0.27200000000000002"/>
    <s v="Valid"/>
    <n v="0.27200000000000002"/>
    <n v="9"/>
    <n v="7327.9533600000004"/>
    <n v="9267.0300000000007"/>
    <n v="-1939.0766400000002"/>
    <n v="-0.26461367106736061"/>
    <n v="0"/>
  </r>
  <r>
    <x v="363"/>
    <d v="2023-06-05T00:00:00"/>
    <s v="Jun-2023"/>
    <s v="Q2-2023"/>
    <d v="2023-06-28T00:00:00"/>
    <s v="Valid"/>
    <n v="23"/>
    <d v="2023-06-28T00:00:00"/>
    <s v="Europe"/>
    <s v="Europe → United Kingdom → Birmingham"/>
    <s v="United Kingdom-2023-06"/>
    <x v="8"/>
    <s v="Birmingham"/>
    <s v="Corporate"/>
    <s v="Direct"/>
    <s v="K. Singh"/>
    <x v="1"/>
    <s v="PRN-3690"/>
    <n v="605.82000000000005"/>
    <n v="771.12"/>
    <s v="Valid"/>
    <n v="771.12"/>
    <s v="Medium"/>
    <n v="0.13200000000000001"/>
    <s v="Valid"/>
    <n v="0.13200000000000001"/>
    <n v="19"/>
    <n v="12717.311040000001"/>
    <n v="11510.580000000002"/>
    <n v="1206.7310399999988"/>
    <n v="9.4888851597986767E-2"/>
    <n v="0"/>
  </r>
  <r>
    <x v="364"/>
    <d v="2025-03-21T00:00:00"/>
    <s v="Mar-2025"/>
    <s v="Q1-2025"/>
    <d v="2025-04-09T00:00:00"/>
    <s v="Valid"/>
    <n v="19"/>
    <d v="2025-04-09T00:00:00"/>
    <s v="Asia"/>
    <s v="Asia → Japan → Tokyo"/>
    <s v="Japan-2025-03"/>
    <x v="2"/>
    <s v="Tokyo"/>
    <s v="Small Business"/>
    <s v="Distributor"/>
    <s v="E. Garcia"/>
    <x v="0"/>
    <s v="CMP-7055"/>
    <n v="1055.45"/>
    <n v="1210.04"/>
    <s v="Valid"/>
    <n v="1210.04"/>
    <s v="Medium"/>
    <n v="8.9999999999999993E-3"/>
    <s v="Valid"/>
    <n v="8.9999999999999993E-3"/>
    <n v="18"/>
    <n v="21584.693520000001"/>
    <n v="18998.100000000002"/>
    <n v="2586.5935199999985"/>
    <n v="0.1198346188053727"/>
    <n v="0"/>
  </r>
  <r>
    <x v="365"/>
    <d v="2024-06-02T00:00:00"/>
    <s v="Jun-2024"/>
    <s v="Q2-2024"/>
    <d v="2024-06-15T00:00:00"/>
    <s v="Valid"/>
    <n v="13"/>
    <d v="2024-06-15T00:00:00"/>
    <s v="Africa"/>
    <s v="Africa → Kenya → Mombasa"/>
    <s v="Kenya-2024-06"/>
    <x v="0"/>
    <s v="Mombasa"/>
    <s v="Education"/>
    <s v="Online"/>
    <s v="O. Wang"/>
    <x v="3"/>
    <s v="PHN-6866"/>
    <n v="1295.18"/>
    <n v="3024.03"/>
    <s v="Valid"/>
    <n v="3024.03"/>
    <s v="High"/>
    <n v="0.192"/>
    <s v="Valid"/>
    <n v="0.192"/>
    <n v="8"/>
    <n v="19547.329920000004"/>
    <n v="10361.44"/>
    <n v="9185.8899200000033"/>
    <n v="0.46993067378483178"/>
    <n v="0"/>
  </r>
  <r>
    <x v="366"/>
    <d v="2025-03-15T00:00:00"/>
    <s v="Mar-2025"/>
    <s v="Q1-2025"/>
    <d v="2025-03-29T00:00:00"/>
    <s v="Valid"/>
    <n v="14"/>
    <d v="2025-03-29T00:00:00"/>
    <s v="Asia"/>
    <s v="Asia → India → Mumbai"/>
    <s v="India-2025-03"/>
    <x v="4"/>
    <s v="Mumbai"/>
    <s v="Enterprise"/>
    <s v="Direct"/>
    <s v="C. Otieno"/>
    <x v="0"/>
    <s v="CMP-3259"/>
    <n v="935.83"/>
    <n v="2303.46"/>
    <s v="Valid"/>
    <n v="2303.46"/>
    <s v="High"/>
    <n v="0.105"/>
    <s v="Valid"/>
    <n v="0.105"/>
    <n v="9"/>
    <n v="18554.370299999999"/>
    <n v="8422.4700000000012"/>
    <n v="10131.900299999998"/>
    <n v="0.54606543559174292"/>
    <n v="0"/>
  </r>
  <r>
    <x v="367"/>
    <d v="2023-09-25T00:00:00"/>
    <s v="Sep-2023"/>
    <s v="Q3-2023"/>
    <d v="2023-10-09T00:00:00"/>
    <s v="Valid"/>
    <n v="14"/>
    <d v="2023-10-09T00:00:00"/>
    <s v="Americas"/>
    <s v="Americas → USA → New York"/>
    <s v="USA-2023-09"/>
    <x v="10"/>
    <s v="New York"/>
    <s v="Small Business"/>
    <s v="Marketplace"/>
    <s v="J. Njeri"/>
    <x v="4"/>
    <s v="LAP-6750"/>
    <n v="1279.56"/>
    <n v="3083.8"/>
    <s v="Valid"/>
    <n v="3083.8"/>
    <s v="High"/>
    <n v="0.106"/>
    <s v="Valid"/>
    <n v="0.106"/>
    <n v="5"/>
    <n v="13784.586000000001"/>
    <n v="6397.7999999999993"/>
    <n v="7386.7860000000019"/>
    <n v="0.53587289455047848"/>
    <n v="0"/>
  </r>
  <r>
    <x v="368"/>
    <d v="2025-06-24T00:00:00"/>
    <s v="Jun-2025"/>
    <s v="Q2-2025"/>
    <d v="2025-07-23T00:00:00"/>
    <s v="Valid"/>
    <n v="29"/>
    <d v="2025-07-23T00:00:00"/>
    <s v="Americas"/>
    <s v="Americas → Canada → Vancouver"/>
    <s v="Canada-2025-06"/>
    <x v="3"/>
    <s v="Vancouver"/>
    <s v="Non-Profit"/>
    <s v="Marketplace"/>
    <s v="I. Johnson"/>
    <x v="1"/>
    <s v="PRN-3775"/>
    <n v="255.4"/>
    <n v="322.70999999999998"/>
    <s v="Valid"/>
    <n v="322.70999999999998"/>
    <s v="Low"/>
    <n v="0.115"/>
    <s v="Valid"/>
    <n v="0.115"/>
    <n v="16"/>
    <n v="4569.5735999999997"/>
    <n v="4086.4"/>
    <n v="483.17359999999962"/>
    <n v="0.10573713048412212"/>
    <n v="0"/>
  </r>
  <r>
    <x v="369"/>
    <d v="2023-12-26T00:00:00"/>
    <s v="Dec-2023"/>
    <s v="Q4-2023"/>
    <d v="2024-01-03T00:00:00"/>
    <s v="Valid"/>
    <n v="8"/>
    <d v="2024-01-03T00:00:00"/>
    <s v="Europe"/>
    <s v="Europe → France → Lyon"/>
    <s v="France-2023-12"/>
    <x v="7"/>
    <s v="Lyon"/>
    <s v="Small Business"/>
    <s v="Retail"/>
    <s v="M. Rossi"/>
    <x v="4"/>
    <s v="LAP-2942"/>
    <n v="492.75"/>
    <n v="731.29"/>
    <s v="Valid"/>
    <n v="731.29"/>
    <s v="Medium"/>
    <n v="5.8000000000000003E-2"/>
    <s v="Valid"/>
    <n v="5.8000000000000003E-2"/>
    <n v="6"/>
    <n v="4133.25108"/>
    <n v="2956.5"/>
    <n v="1176.75108"/>
    <n v="0.28470350753528384"/>
    <n v="0"/>
  </r>
  <r>
    <x v="370"/>
    <d v="2023-02-05T00:00:00"/>
    <s v="Feb-2023"/>
    <s v="Q1-2023"/>
    <d v="2023-02-28T00:00:00"/>
    <s v="Valid"/>
    <n v="23"/>
    <d v="2023-02-28T00:00:00"/>
    <s v="Americas"/>
    <s v="Americas → USA → Austin"/>
    <s v="USA-2023-02"/>
    <x v="10"/>
    <s v="Austin"/>
    <s v="Non-Profit"/>
    <s v="Distributor"/>
    <s v="L. Okafor"/>
    <x v="3"/>
    <s v="PHN-2036"/>
    <n v="1214.49"/>
    <n v="1533.95"/>
    <s v="Valid"/>
    <n v="1533.95"/>
    <s v="Medium"/>
    <n v="0"/>
    <s v="Valid"/>
    <n v="0"/>
    <n v="11"/>
    <n v="16873.45"/>
    <n v="13359.39"/>
    <n v="3514.0600000000013"/>
    <n v="0.20825972163369086"/>
    <n v="0"/>
  </r>
  <r>
    <x v="371"/>
    <d v="2023-04-06T00:00:00"/>
    <s v="Apr-2023"/>
    <s v="Q2-2023"/>
    <d v="2023-04-08T00:00:00"/>
    <s v="Valid"/>
    <n v="2"/>
    <d v="2023-04-08T00:00:00"/>
    <s v="Africa"/>
    <s v="Africa → Nigeria → Abuja"/>
    <s v="Nigeria-2023-04"/>
    <x v="1"/>
    <s v="Abuja"/>
    <s v="Small Business"/>
    <s v="Marketplace"/>
    <s v="K. Singh"/>
    <x v="5"/>
    <s v="MON-4373"/>
    <n v="720.35"/>
    <n v="1571.66"/>
    <s v="Valid"/>
    <n v="1571.66"/>
    <s v="Medium"/>
    <n v="0.107"/>
    <s v="Valid"/>
    <n v="0.107"/>
    <n v="23"/>
    <n v="32280.32474"/>
    <n v="16568.05"/>
    <n v="15712.274740000001"/>
    <n v="0.4867446305622265"/>
    <n v="1"/>
  </r>
  <r>
    <x v="372"/>
    <d v="2025-04-04T00:00:00"/>
    <s v="Apr-2025"/>
    <s v="Q2-2025"/>
    <d v="2025-04-10T00:00:00"/>
    <s v="Valid"/>
    <n v="6"/>
    <d v="2025-04-10T00:00:00"/>
    <s v="Europe"/>
    <s v="Europe → United Kingdom → Birmingham"/>
    <s v="United Kingdom-2025-04"/>
    <x v="8"/>
    <s v="Birmingham"/>
    <s v="Non-Profit"/>
    <s v="Direct"/>
    <s v="N. Brown"/>
    <x v="1"/>
    <s v="PRN-8657"/>
    <n v="290.14"/>
    <n v="250.73"/>
    <s v="Valid"/>
    <n v="250.73"/>
    <s v="Low"/>
    <n v="3.4000000000000002E-2"/>
    <s v="Valid"/>
    <n v="3.4000000000000002E-2"/>
    <n v="17"/>
    <n v="4117.4880599999997"/>
    <n v="4932.38"/>
    <n v="-814.89194000000043"/>
    <n v="-0.19790997038131072"/>
    <n v="1"/>
  </r>
  <r>
    <x v="373"/>
    <d v="2024-05-17T00:00:00"/>
    <s v="May-2024"/>
    <s v="Q2-2024"/>
    <d v="2024-05-27T00:00:00"/>
    <s v="Valid"/>
    <n v="10"/>
    <d v="2024-05-27T00:00:00"/>
    <s v="Americas"/>
    <s v="Americas → USA → Austin"/>
    <s v="USA-2024-05"/>
    <x v="10"/>
    <s v="Austin"/>
    <s v="Non-Profit"/>
    <s v="Online"/>
    <s v="C. Otieno"/>
    <x v="3"/>
    <s v="PHN-7974"/>
    <n v="1484.23"/>
    <n v="3472.81"/>
    <s v="Valid"/>
    <n v="3472.81"/>
    <s v="High"/>
    <n v="0.25600000000000001"/>
    <s v="Valid"/>
    <n v="0.25600000000000001"/>
    <n v="12"/>
    <n v="31005.24768"/>
    <n v="17810.760000000002"/>
    <n v="13194.487679999998"/>
    <n v="0.42555659661803413"/>
    <n v="0"/>
  </r>
  <r>
    <x v="374"/>
    <d v="2024-03-03T00:00:00"/>
    <s v="Mar-2024"/>
    <s v="Q1-2024"/>
    <d v="2024-03-19T00:00:00"/>
    <s v="Valid"/>
    <n v="16"/>
    <d v="2024-03-19T00:00:00"/>
    <s v="Asia"/>
    <s v="Asia → China → Beijing"/>
    <s v="China-2024-03"/>
    <x v="9"/>
    <s v="Beijing"/>
    <s v="Consumer"/>
    <s v="Distributor"/>
    <s v="G. Dubois"/>
    <x v="3"/>
    <s v="PHN-4915"/>
    <n v="988.83"/>
    <n v="1206.04"/>
    <s v="Valid"/>
    <n v="1206.04"/>
    <s v="Medium"/>
    <n v="6.3E-2"/>
    <s v="Valid"/>
    <n v="6.3E-2"/>
    <n v="34"/>
    <n v="38422.022320000004"/>
    <n v="33620.22"/>
    <n v="4801.8023200000025"/>
    <n v="0.12497526236406606"/>
    <n v="0"/>
  </r>
  <r>
    <x v="375"/>
    <d v="2025-06-27T00:00:00"/>
    <s v="Jun-2025"/>
    <s v="Q2-2025"/>
    <d v="2025-07-11T00:00:00"/>
    <s v="Valid"/>
    <n v="14"/>
    <d v="2025-07-11T00:00:00"/>
    <s v="Asia"/>
    <s v="Asia → China → Shanghai"/>
    <s v="China-2025-06"/>
    <x v="9"/>
    <s v="Shanghai"/>
    <s v="Small Business"/>
    <s v="Marketplace"/>
    <s v="L. Okafor"/>
    <x v="2"/>
    <s v="NET-3535"/>
    <n v="1227.7"/>
    <n v="2197.23"/>
    <s v="Valid"/>
    <n v="2197.23"/>
    <s v="High"/>
    <n v="9.9000000000000005E-2"/>
    <s v="Valid"/>
    <n v="9.9000000000000005E-2"/>
    <n v="22"/>
    <n v="43553.493060000001"/>
    <n v="27009.4"/>
    <n v="16544.093059999999"/>
    <n v="0.37985685871873898"/>
    <n v="0"/>
  </r>
  <r>
    <x v="376"/>
    <d v="2023-03-13T00:00:00"/>
    <s v="Mar-2023"/>
    <s v="Q1-2023"/>
    <d v="2023-04-04T00:00:00"/>
    <s v="Valid"/>
    <n v="22"/>
    <d v="2023-04-04T00:00:00"/>
    <s v="Africa"/>
    <s v="Africa → South Africa → Durban"/>
    <s v="South Africa-2023-03"/>
    <x v="11"/>
    <s v="Durban"/>
    <s v="Small Business"/>
    <s v="Retail"/>
    <s v="A. Patel"/>
    <x v="0"/>
    <s v="CMP-2574"/>
    <n v="1113.7"/>
    <n v="1620.6"/>
    <s v="Valid"/>
    <n v="1620.6"/>
    <s v="Medium"/>
    <n v="0.13900000000000001"/>
    <s v="Valid"/>
    <n v="0.13900000000000001"/>
    <n v="11"/>
    <n v="15348.702599999999"/>
    <n v="12250.7"/>
    <n v="3098.002599999998"/>
    <n v="0.20184133348182787"/>
    <n v="0"/>
  </r>
  <r>
    <x v="377"/>
    <d v="2025-01-07T00:00:00"/>
    <s v="Jan-2025"/>
    <s v="Q1-2025"/>
    <d v="2025-01-20T00:00:00"/>
    <s v="Valid"/>
    <n v="13"/>
    <d v="2025-01-20T00:00:00"/>
    <s v="Africa"/>
    <s v="Africa → South Africa → Cape Town"/>
    <s v="South Africa-2025-01"/>
    <x v="11"/>
    <s v="Cape Town"/>
    <s v="Corporate"/>
    <s v="Direct"/>
    <s v="K. Singh"/>
    <x v="2"/>
    <s v="NET-7901"/>
    <n v="432.13"/>
    <n v="1034.6600000000001"/>
    <s v="Valid"/>
    <n v="1034.6600000000001"/>
    <s v="Medium"/>
    <n v="9.1999999999999998E-2"/>
    <s v="Valid"/>
    <n v="9.1999999999999998E-2"/>
    <n v="7"/>
    <n v="6576.298960000001"/>
    <n v="3024.91"/>
    <n v="3551.3889600000011"/>
    <n v="0.54002851476204794"/>
    <n v="0"/>
  </r>
  <r>
    <x v="378"/>
    <d v="2025-02-06T00:00:00"/>
    <s v="Feb-2025"/>
    <s v="Q1-2025"/>
    <d v="2025-02-15T00:00:00"/>
    <s v="Valid"/>
    <n v="9"/>
    <d v="2025-02-15T00:00:00"/>
    <s v="Americas"/>
    <s v="Americas → Brazil → São Paulo"/>
    <s v="Brazil-2025-02"/>
    <x v="5"/>
    <s v="São Paulo"/>
    <s v="Non-Profit"/>
    <s v="Distributor"/>
    <s v="F. Müller"/>
    <x v="2"/>
    <s v="NET-5482"/>
    <n v="837.39"/>
    <n v="1905.42"/>
    <s v="Valid"/>
    <n v="1905.42"/>
    <s v="Medium"/>
    <n v="3.2000000000000001E-2"/>
    <s v="Valid"/>
    <n v="3.2000000000000001E-2"/>
    <n v="18"/>
    <n v="33200.038079999998"/>
    <n v="15073.02"/>
    <n v="18127.018079999998"/>
    <n v="0.54599389423350919"/>
    <n v="0"/>
  </r>
  <r>
    <x v="379"/>
    <d v="2025-01-31T00:00:00"/>
    <s v="Jan-2025"/>
    <s v="Q1-2025"/>
    <d v="2025-02-17T00:00:00"/>
    <s v="Valid"/>
    <n v="17"/>
    <d v="2025-02-17T00:00:00"/>
    <s v="Europe"/>
    <s v="Europe → United Kingdom → London"/>
    <s v="United Kingdom-2025-01"/>
    <x v="8"/>
    <s v="London"/>
    <s v="Enterprise"/>
    <s v="Retail"/>
    <s v="H. Kim"/>
    <x v="0"/>
    <s v="CMP-5820"/>
    <n v="378.26"/>
    <n v="541.55999999999995"/>
    <s v="Valid"/>
    <n v="541.55999999999995"/>
    <s v="Low"/>
    <n v="0.16300000000000001"/>
    <s v="Valid"/>
    <n v="0.16300000000000001"/>
    <n v="25"/>
    <n v="11332.142999999998"/>
    <n v="9456.5"/>
    <n v="1875.6429999999982"/>
    <n v="0.16551529573885526"/>
    <n v="0"/>
  </r>
  <r>
    <x v="380"/>
    <d v="2025-08-07T00:00:00"/>
    <s v="Aug-2025"/>
    <s v="Q3-2025"/>
    <d v="2025-09-06T00:00:00"/>
    <s v="Valid"/>
    <n v="30"/>
    <d v="2025-09-06T00:00:00"/>
    <s v="Americas"/>
    <s v="Americas → Canada → Montreal"/>
    <s v="Canada-2025-08"/>
    <x v="3"/>
    <s v="Montreal"/>
    <s v="Education"/>
    <s v="Direct"/>
    <s v="M. Rossi"/>
    <x v="2"/>
    <s v="NET-1336"/>
    <n v="833.73"/>
    <n v="1116.5999999999999"/>
    <s v="Valid"/>
    <n v="1116.5999999999999"/>
    <s v="Medium"/>
    <n v="0.17599999999999999"/>
    <s v="Valid"/>
    <n v="0.17599999999999999"/>
    <n v="14"/>
    <n v="12881.097599999999"/>
    <n v="11672.220000000001"/>
    <n v="1208.877599999998"/>
    <n v="9.3848958958279924E-2"/>
    <n v="0"/>
  </r>
  <r>
    <x v="381"/>
    <d v="2025-07-23T00:00:00"/>
    <s v="Jul-2025"/>
    <s v="Q3-2025"/>
    <d v="2025-08-17T00:00:00"/>
    <s v="Valid"/>
    <n v="25"/>
    <d v="2025-08-17T00:00:00"/>
    <s v="Europe"/>
    <s v="Europe → United Kingdom → Birmingham"/>
    <s v="United Kingdom-2025-07"/>
    <x v="8"/>
    <s v="Birmingham"/>
    <s v="Education"/>
    <s v="Online"/>
    <s v="I. Johnson"/>
    <x v="1"/>
    <s v="PRN-5876"/>
    <n v="1142.06"/>
    <n v="1455"/>
    <s v="Valid"/>
    <n v="1455"/>
    <s v="Medium"/>
    <n v="7.8E-2"/>
    <s v="Valid"/>
    <n v="7.8E-2"/>
    <n v="28"/>
    <n v="37562.28"/>
    <n v="31977.68"/>
    <n v="5584.5999999999985"/>
    <n v="0.1486757459877302"/>
    <n v="0"/>
  </r>
  <r>
    <x v="382"/>
    <d v="2023-06-20T00:00:00"/>
    <s v="Jun-2023"/>
    <s v="Q2-2023"/>
    <d v="2023-07-08T00:00:00"/>
    <s v="Valid"/>
    <n v="18"/>
    <d v="2023-07-08T00:00:00"/>
    <s v="Americas"/>
    <s v="Americas → USA → New York"/>
    <s v="USA-2023-06"/>
    <x v="10"/>
    <s v="New York"/>
    <s v="Consumer"/>
    <s v="Marketplace"/>
    <s v="O. Wang"/>
    <x v="2"/>
    <s v="NET-3828"/>
    <n v="1145.53"/>
    <n v="1278.3"/>
    <s v="Valid"/>
    <n v="1278.3"/>
    <s v="Medium"/>
    <n v="0.09"/>
    <s v="Valid"/>
    <n v="0.09"/>
    <n v="41"/>
    <n v="47693.373"/>
    <n v="46966.729999999996"/>
    <n v="726.64300000000367"/>
    <n v="1.5235722581416158E-2"/>
    <n v="0"/>
  </r>
  <r>
    <x v="383"/>
    <d v="2024-07-18T00:00:00"/>
    <s v="Jul-2024"/>
    <s v="Q3-2024"/>
    <d v="2024-08-07T00:00:00"/>
    <s v="Valid"/>
    <n v="20"/>
    <d v="2024-08-07T00:00:00"/>
    <s v="Europe"/>
    <s v="Europe → France → Marseille"/>
    <s v="France-2024-07"/>
    <x v="7"/>
    <s v="Marseille"/>
    <s v="Corporate"/>
    <s v="Retail"/>
    <s v="F. Müller"/>
    <x v="5"/>
    <s v="MON-7622"/>
    <n v="941.35"/>
    <n v="899.83"/>
    <s v="Valid"/>
    <n v="899.83"/>
    <s v="Medium"/>
    <n v="5.8000000000000003E-2"/>
    <s v="Valid"/>
    <n v="5.8000000000000003E-2"/>
    <n v="18"/>
    <n v="15257.51748"/>
    <n v="16944.3"/>
    <n v="-1686.7825199999988"/>
    <n v="-0.11055419220139073"/>
    <n v="0"/>
  </r>
  <r>
    <x v="384"/>
    <d v="2023-05-20T00:00:00"/>
    <s v="May-2023"/>
    <s v="Q2-2023"/>
    <d v="2023-06-19T00:00:00"/>
    <s v="Valid"/>
    <n v="30"/>
    <d v="2023-06-19T00:00:00"/>
    <s v="Asia"/>
    <s v="Asia → India → Delhi"/>
    <s v="India-2023-05"/>
    <x v="4"/>
    <s v="Delhi"/>
    <s v="Non-Profit"/>
    <s v="Marketplace"/>
    <s v="H. Kim"/>
    <x v="4"/>
    <s v="LAP-2806"/>
    <n v="1161.2"/>
    <n v="878.73"/>
    <s v="Valid"/>
    <n v="878.73"/>
    <s v="Medium"/>
    <n v="0.19"/>
    <s v="Valid"/>
    <n v="0.19"/>
    <n v="31"/>
    <n v="22064.910300000003"/>
    <n v="35997.200000000004"/>
    <n v="-13932.289700000001"/>
    <n v="-0.63142290227212028"/>
    <n v="0"/>
  </r>
  <r>
    <x v="385"/>
    <d v="2025-05-12T00:00:00"/>
    <s v="May-2025"/>
    <s v="Q2-2025"/>
    <d v="2025-05-26T00:00:00"/>
    <s v="Valid"/>
    <n v="14"/>
    <d v="2025-05-26T00:00:00"/>
    <s v="Asia"/>
    <s v="Asia → India → Hyderabad"/>
    <s v="India-2025-05"/>
    <x v="4"/>
    <s v="Hyderabad"/>
    <s v="Corporate"/>
    <s v="Marketplace"/>
    <s v="G. Dubois"/>
    <x v="1"/>
    <s v="PRN-8850"/>
    <n v="320.12"/>
    <n v="594.41999999999996"/>
    <s v="Valid"/>
    <n v="594.41999999999996"/>
    <s v="Low"/>
    <n v="0.104"/>
    <s v="Valid"/>
    <n v="0.104"/>
    <n v="18"/>
    <n v="9586.8057599999993"/>
    <n v="5762.16"/>
    <n v="3824.6457599999994"/>
    <n v="0.39894891538931104"/>
    <n v="0"/>
  </r>
  <r>
    <x v="386"/>
    <d v="2024-05-07T00:00:00"/>
    <s v="May-2024"/>
    <s v="Q2-2024"/>
    <d v="2024-05-12T00:00:00"/>
    <s v="Valid"/>
    <n v="5"/>
    <d v="2024-05-12T00:00:00"/>
    <s v="Africa"/>
    <s v="Africa → Nigeria → Abuja"/>
    <s v="Nigeria-2024-05"/>
    <x v="1"/>
    <s v="Abuja"/>
    <s v="Non-Profit"/>
    <s v="Distributor"/>
    <s v="L. Okafor"/>
    <x v="4"/>
    <s v="LAP-9100"/>
    <n v="1163.99"/>
    <n v="1617.85"/>
    <s v="Valid"/>
    <n v="1617.85"/>
    <s v="Medium"/>
    <n v="0.127"/>
    <s v="Valid"/>
    <n v="0.127"/>
    <n v="14"/>
    <n v="19773.362699999998"/>
    <n v="16295.86"/>
    <n v="3477.5026999999973"/>
    <n v="0.17586804797749436"/>
    <n v="1"/>
  </r>
  <r>
    <x v="387"/>
    <d v="2023-09-30T00:00:00"/>
    <s v="Sep-2023"/>
    <s v="Q3-2023"/>
    <d v="2023-10-03T00:00:00"/>
    <s v="Valid"/>
    <n v="3"/>
    <d v="2023-10-03T00:00:00"/>
    <s v="Asia"/>
    <s v="Asia → China → Beijing"/>
    <s v="China-2023-09"/>
    <x v="9"/>
    <s v="Beijing"/>
    <s v="Non-Profit"/>
    <s v="Retail"/>
    <s v="J. Njeri"/>
    <x v="4"/>
    <s v="LAP-5763"/>
    <n v="1019.36"/>
    <n v="972.91"/>
    <s v="Valid"/>
    <n v="972.91"/>
    <s v="Medium"/>
    <n v="0.14699999999999999"/>
    <s v="Valid"/>
    <n v="0.14699999999999999"/>
    <n v="17"/>
    <n v="14108.16791"/>
    <n v="17329.12"/>
    <n v="-3220.9520899999989"/>
    <n v="-0.22830406545678819"/>
    <n v="1"/>
  </r>
  <r>
    <x v="388"/>
    <d v="2023-10-26T00:00:00"/>
    <s v="Oct-2023"/>
    <s v="Q4-2023"/>
    <d v="2023-11-05T00:00:00"/>
    <s v="Valid"/>
    <n v="10"/>
    <d v="2023-11-05T00:00:00"/>
    <s v="Africa"/>
    <s v="Africa → South Africa → Cape Town"/>
    <s v="South Africa-2023-10"/>
    <x v="11"/>
    <s v="Cape Town"/>
    <s v="Non-Profit"/>
    <s v="Online"/>
    <s v="I. Johnson"/>
    <x v="4"/>
    <s v="LAP-7320"/>
    <n v="20.38"/>
    <n v="42.56"/>
    <s v="Valid"/>
    <n v="42.56"/>
    <s v="Low"/>
    <n v="7.1999999999999995E-2"/>
    <s v="Valid"/>
    <n v="7.1999999999999995E-2"/>
    <n v="11"/>
    <n v="434.45248000000004"/>
    <n v="224.17999999999998"/>
    <n v="210.27248000000006"/>
    <n v="0.48399419885921713"/>
    <n v="0"/>
  </r>
  <r>
    <x v="389"/>
    <d v="2025-06-15T00:00:00"/>
    <s v="Jun-2025"/>
    <s v="Q2-2025"/>
    <d v="2025-06-30T00:00:00"/>
    <s v="Valid"/>
    <n v="15"/>
    <d v="2025-06-30T00:00:00"/>
    <s v="Africa"/>
    <s v="Africa → South Africa → Johannesburg"/>
    <s v="South Africa-2025-06"/>
    <x v="11"/>
    <s v="Johannesburg"/>
    <s v="Small Business"/>
    <s v="Direct"/>
    <s v="C. Otieno"/>
    <x v="5"/>
    <s v="MON-5891"/>
    <n v="1487.59"/>
    <n v="1480.83"/>
    <s v="Valid"/>
    <n v="1480.83"/>
    <s v="Medium"/>
    <n v="8.9999999999999993E-3"/>
    <s v="Valid"/>
    <n v="8.9999999999999993E-3"/>
    <n v="11"/>
    <n v="16142.527829999999"/>
    <n v="16363.49"/>
    <n v="-220.9621700000007"/>
    <n v="-1.3688201273492908E-2"/>
    <n v="0"/>
  </r>
  <r>
    <x v="390"/>
    <d v="2024-08-10T00:00:00"/>
    <s v="Aug-2024"/>
    <s v="Q3-2024"/>
    <d v="2024-09-07T00:00:00"/>
    <s v="Valid"/>
    <n v="28"/>
    <d v="2024-09-07T00:00:00"/>
    <s v="Europe"/>
    <s v="Europe → France → Marseille"/>
    <s v="France-2024-08"/>
    <x v="7"/>
    <s v="Marseille"/>
    <s v="Non-Profit"/>
    <s v="Direct"/>
    <s v="F. Müller"/>
    <x v="1"/>
    <s v="PRN-1183"/>
    <n v="229.96"/>
    <n v="564.26"/>
    <s v="Valid"/>
    <n v="564.26"/>
    <s v="Low"/>
    <n v="0.105"/>
    <s v="Valid"/>
    <n v="0.105"/>
    <n v="5"/>
    <n v="2525.0635000000002"/>
    <n v="1149.8"/>
    <n v="1375.2635000000002"/>
    <n v="0.54464511486542821"/>
    <n v="0"/>
  </r>
  <r>
    <x v="391"/>
    <d v="2023-10-09T00:00:00"/>
    <s v="Oct-2023"/>
    <s v="Q4-2023"/>
    <d v="2023-10-26T00:00:00"/>
    <s v="Valid"/>
    <n v="17"/>
    <d v="2023-10-26T00:00:00"/>
    <s v="Asia"/>
    <s v="Asia → China → Shanghai"/>
    <s v="China-2023-10"/>
    <x v="9"/>
    <s v="Shanghai"/>
    <s v="Consumer"/>
    <s v="Marketplace"/>
    <s v="C. Otieno"/>
    <x v="0"/>
    <s v="CMP-2096"/>
    <n v="1132.03"/>
    <n v="2137.21"/>
    <s v="Valid"/>
    <n v="2137.21"/>
    <s v="High"/>
    <n v="0.35699999999999998"/>
    <s v="High Discount"/>
    <n v="0.3"/>
    <n v="35"/>
    <n v="52361.645000000004"/>
    <n v="39621.049999999996"/>
    <n v="12740.595000000008"/>
    <n v="0.24331922727026639"/>
    <n v="0"/>
  </r>
  <r>
    <x v="392"/>
    <d v="2024-03-09T00:00:00"/>
    <s v="Mar-2024"/>
    <s v="Q1-2024"/>
    <d v="2024-03-26T00:00:00"/>
    <s v="Valid"/>
    <n v="17"/>
    <d v="2024-03-26T00:00:00"/>
    <s v="Americas"/>
    <s v="Americas → USA → San Francisco"/>
    <s v="USA-2024-03"/>
    <x v="10"/>
    <s v="San Francisco"/>
    <s v="Education"/>
    <s v="Direct"/>
    <s v="I. Johnson"/>
    <x v="3"/>
    <s v="PHN-3398"/>
    <n v="1137.4100000000001"/>
    <n v="1680.93"/>
    <s v="Valid"/>
    <n v="1680.93"/>
    <s v="Medium"/>
    <n v="0.254"/>
    <s v="Valid"/>
    <n v="0.254"/>
    <n v="9"/>
    <n v="11285.764020000001"/>
    <n v="10236.69"/>
    <n v="1049.07402"/>
    <n v="9.2955516183121464E-2"/>
    <n v="0"/>
  </r>
  <r>
    <x v="393"/>
    <d v="2023-05-29T00:00:00"/>
    <s v="May-2023"/>
    <s v="Q2-2023"/>
    <d v="2023-06-20T00:00:00"/>
    <s v="Valid"/>
    <n v="22"/>
    <d v="2023-06-20T00:00:00"/>
    <s v="Europe"/>
    <s v="Europe → United Kingdom → London"/>
    <s v="United Kingdom-2023-05"/>
    <x v="8"/>
    <s v="London"/>
    <s v="Small Business"/>
    <s v="Direct"/>
    <s v="K. Singh"/>
    <x v="0"/>
    <s v="CMP-8545"/>
    <n v="1295.3900000000001"/>
    <n v="2905.06"/>
    <s v="Valid"/>
    <n v="2905.06"/>
    <s v="High"/>
    <n v="0.14799999999999999"/>
    <s v="Valid"/>
    <n v="0.14799999999999999"/>
    <n v="8"/>
    <n v="19800.88896"/>
    <n v="10363.120000000001"/>
    <n v="9437.7689599999994"/>
    <n v="0.47663359857556614"/>
    <n v="0"/>
  </r>
  <r>
    <x v="394"/>
    <d v="2025-05-27T00:00:00"/>
    <s v="May-2025"/>
    <s v="Q2-2025"/>
    <d v="2025-06-08T00:00:00"/>
    <s v="Valid"/>
    <n v="12"/>
    <d v="2025-06-08T00:00:00"/>
    <s v="Asia"/>
    <s v="Asia → Japan → Osaka"/>
    <s v="Japan-2025-05"/>
    <x v="2"/>
    <s v="Osaka"/>
    <s v="Corporate"/>
    <s v="Retail"/>
    <s v="H. Kim"/>
    <x v="6"/>
    <s v="ACC-1249"/>
    <n v="653.6"/>
    <n v="842.09"/>
    <s v="Valid"/>
    <n v="842.09"/>
    <s v="Medium"/>
    <n v="9.8000000000000004E-2"/>
    <s v="Valid"/>
    <n v="9.8000000000000004E-2"/>
    <n v="19"/>
    <n v="14431.738420000001"/>
    <n v="12418.4"/>
    <n v="2013.3384200000019"/>
    <n v="0.13950768517324622"/>
    <n v="0"/>
  </r>
  <r>
    <x v="395"/>
    <d v="2025-08-21T00:00:00"/>
    <s v="Aug-2025"/>
    <s v="Q3-2025"/>
    <d v="2025-09-14T00:00:00"/>
    <s v="Valid"/>
    <n v="24"/>
    <d v="2025-09-14T00:00:00"/>
    <s v="Europe"/>
    <s v="Europe → Germany → Berlin"/>
    <s v="Germany-2025-08"/>
    <x v="6"/>
    <s v="Berlin"/>
    <s v="Non-Profit"/>
    <s v="Online"/>
    <s v="A. Patel"/>
    <x v="5"/>
    <s v="MON-9662"/>
    <n v="1397.67"/>
    <n v="3131.37"/>
    <s v="Valid"/>
    <n v="3131.37"/>
    <s v="High"/>
    <n v="0.10299999999999999"/>
    <s v="Valid"/>
    <n v="0.10299999999999999"/>
    <n v="20"/>
    <n v="56176.777799999996"/>
    <n v="27953.4"/>
    <n v="28223.377799999995"/>
    <n v="0.50240293062874808"/>
    <n v="0"/>
  </r>
  <r>
    <x v="396"/>
    <d v="2024-12-12T00:00:00"/>
    <s v="Dec-2024"/>
    <s v="Q4-2024"/>
    <d v="2024-12-20T00:00:00"/>
    <s v="Valid"/>
    <n v="8"/>
    <d v="2024-12-20T00:00:00"/>
    <s v="Asia"/>
    <s v="Asia → Japan → Tokyo"/>
    <s v="Japan-2024-12"/>
    <x v="2"/>
    <s v="Tokyo"/>
    <s v="Corporate"/>
    <s v="Retail"/>
    <s v="B. Chen"/>
    <x v="4"/>
    <s v="LAP-8347"/>
    <n v="1202.47"/>
    <n v="1444.72"/>
    <s v="Valid"/>
    <n v="1444.72"/>
    <s v="Medium"/>
    <n v="0.24099999999999999"/>
    <s v="Valid"/>
    <n v="0.24099999999999999"/>
    <n v="17"/>
    <n v="18641.222160000001"/>
    <n v="20441.990000000002"/>
    <n v="-1800.7678400000004"/>
    <n v="-9.6601382921343834E-2"/>
    <n v="0"/>
  </r>
  <r>
    <x v="397"/>
    <d v="2025-09-14T00:00:00"/>
    <s v="Sep-2025"/>
    <s v="Q3-2025"/>
    <d v="2025-09-23T00:00:00"/>
    <s v="Valid"/>
    <n v="9"/>
    <d v="2025-09-23T00:00:00"/>
    <s v="Africa"/>
    <s v="Africa → South Africa → Durban"/>
    <s v="South Africa-2025-09"/>
    <x v="11"/>
    <s v="Durban"/>
    <s v="Non-Profit"/>
    <s v="Online"/>
    <s v="D. Smith"/>
    <x v="0"/>
    <s v="CMP-6898"/>
    <n v="1310.3"/>
    <n v="2875.8"/>
    <s v="Valid"/>
    <n v="2875.8"/>
    <s v="High"/>
    <n v="8.3000000000000004E-2"/>
    <s v="Valid"/>
    <n v="8.3000000000000004E-2"/>
    <n v="5"/>
    <n v="13185.543"/>
    <n v="6551.5"/>
    <n v="6634.0429999999997"/>
    <n v="0.50313005691157353"/>
    <n v="0"/>
  </r>
  <r>
    <x v="398"/>
    <d v="2024-09-06T00:00:00"/>
    <s v="Sep-2024"/>
    <s v="Q3-2024"/>
    <d v="2024-10-04T00:00:00"/>
    <s v="Valid"/>
    <n v="28"/>
    <d v="2024-10-04T00:00:00"/>
    <s v="Africa"/>
    <s v="Africa → South Africa → Cape Town"/>
    <s v="South Africa-2024-09"/>
    <x v="11"/>
    <s v="Cape Town"/>
    <s v="Corporate"/>
    <s v="Marketplace"/>
    <s v="D. Smith"/>
    <x v="5"/>
    <s v="MON-3504"/>
    <n v="1174.17"/>
    <n v="1641.61"/>
    <s v="Valid"/>
    <n v="1641.61"/>
    <s v="Medium"/>
    <n v="0.122"/>
    <s v="Valid"/>
    <n v="0.122"/>
    <n v="9"/>
    <n v="12972.00222"/>
    <n v="10567.53"/>
    <n v="2404.4722199999997"/>
    <n v="0.18535860380079394"/>
    <n v="0"/>
  </r>
  <r>
    <x v="399"/>
    <d v="2025-04-12T00:00:00"/>
    <s v="Apr-2025"/>
    <s v="Q2-2025"/>
    <d v="2025-04-30T00:00:00"/>
    <s v="Valid"/>
    <n v="18"/>
    <d v="2025-04-30T00:00:00"/>
    <s v="Africa"/>
    <s v="Africa → Kenya → Kisumu"/>
    <s v="Kenya-2025-04"/>
    <x v="0"/>
    <s v="Kisumu"/>
    <s v="Corporate"/>
    <s v="Marketplace"/>
    <s v="F. Müller"/>
    <x v="2"/>
    <s v="NET-3432"/>
    <n v="1119.04"/>
    <n v="1299.02"/>
    <s v="Valid"/>
    <n v="1299.02"/>
    <s v="Medium"/>
    <n v="2.5000000000000001E-2"/>
    <s v="Valid"/>
    <n v="2.5000000000000001E-2"/>
    <n v="14"/>
    <n v="17731.623"/>
    <n v="15666.56"/>
    <n v="2065.0630000000001"/>
    <n v="0.11646215352085933"/>
    <n v="0"/>
  </r>
  <r>
    <x v="400"/>
    <d v="2024-08-12T00:00:00"/>
    <s v="Aug-2024"/>
    <s v="Q3-2024"/>
    <d v="2024-08-15T00:00:00"/>
    <s v="Valid"/>
    <n v="3"/>
    <d v="2024-08-15T00:00:00"/>
    <s v="Americas"/>
    <s v="Americas → USA → Chicago"/>
    <s v="USA-2024-08"/>
    <x v="10"/>
    <s v="Chicago"/>
    <s v="Corporate"/>
    <s v="Marketplace"/>
    <s v="D. Smith"/>
    <x v="1"/>
    <s v="PRN-5591"/>
    <n v="850.7"/>
    <n v="1118.56"/>
    <s v="Valid"/>
    <n v="1118.56"/>
    <s v="Medium"/>
    <n v="0.18"/>
    <s v="Valid"/>
    <n v="0.18"/>
    <n v="19"/>
    <n v="17427.164800000002"/>
    <n v="16163.300000000001"/>
    <n v="1263.8648000000012"/>
    <n v="7.2522685962090688E-2"/>
    <n v="1"/>
  </r>
  <r>
    <x v="401"/>
    <d v="2024-11-05T00:00:00"/>
    <s v="Nov-2024"/>
    <s v="Q4-2024"/>
    <d v="2024-11-08T00:00:00"/>
    <s v="Valid"/>
    <n v="3"/>
    <d v="2024-11-08T00:00:00"/>
    <s v="Americas"/>
    <s v="Americas → Canada → Toronto"/>
    <s v="Canada-2024-11"/>
    <x v="3"/>
    <s v="Toronto"/>
    <s v="Education"/>
    <s v="Marketplace"/>
    <s v="O. Wang"/>
    <x v="0"/>
    <s v="CMP-2015"/>
    <n v="1020.4"/>
    <n v="1184.71"/>
    <s v="Valid"/>
    <n v="1184.71"/>
    <s v="Medium"/>
    <n v="0.106"/>
    <s v="Valid"/>
    <n v="0.106"/>
    <n v="16"/>
    <n v="16946.091840000001"/>
    <n v="16326.4"/>
    <n v="619.69184000000132"/>
    <n v="3.6568422138328345E-2"/>
    <n v="1"/>
  </r>
  <r>
    <x v="402"/>
    <d v="2024-07-24T00:00:00"/>
    <s v="Jul-2024"/>
    <s v="Q3-2024"/>
    <d v="2024-08-08T00:00:00"/>
    <s v="Valid"/>
    <n v="15"/>
    <d v="2024-08-08T00:00:00"/>
    <s v="Europe"/>
    <s v="Europe → France → Marseille"/>
    <s v="France-2024-07"/>
    <x v="7"/>
    <s v="Marseille"/>
    <s v="Enterprise"/>
    <s v="Marketplace"/>
    <s v="H. Kim"/>
    <x v="4"/>
    <s v="LAP-9901"/>
    <n v="501.5"/>
    <n v="1201.47"/>
    <s v="Valid"/>
    <n v="1201.47"/>
    <s v="Medium"/>
    <n v="0.126"/>
    <s v="Valid"/>
    <n v="0.126"/>
    <n v="5"/>
    <n v="5250.4239000000007"/>
    <n v="2507.5"/>
    <n v="2742.9239000000007"/>
    <n v="0.52241951359394057"/>
    <n v="0"/>
  </r>
  <r>
    <x v="403"/>
    <d v="2025-01-20T00:00:00"/>
    <s v="Jan-2025"/>
    <s v="Q1-2025"/>
    <d v="2025-02-03T00:00:00"/>
    <s v="Valid"/>
    <n v="14"/>
    <d v="2025-02-03T00:00:00"/>
    <s v="Americas"/>
    <s v="Americas → Brazil → Brasília"/>
    <s v="Brazil-2025-01"/>
    <x v="5"/>
    <s v="Brasília"/>
    <s v="Enterprise"/>
    <s v="Marketplace"/>
    <s v="F. Müller"/>
    <x v="0"/>
    <s v="CMP-8658"/>
    <n v="974.11"/>
    <n v="880.99"/>
    <s v="Valid"/>
    <n v="880.99"/>
    <s v="Medium"/>
    <n v="0.111"/>
    <s v="Valid"/>
    <n v="0.111"/>
    <n v="10"/>
    <n v="7832.0010999999995"/>
    <n v="9741.1"/>
    <n v="-1909.0989000000009"/>
    <n v="-0.2437562093805121"/>
    <n v="0"/>
  </r>
  <r>
    <x v="404"/>
    <d v="2023-03-06T00:00:00"/>
    <s v="Mar-2023"/>
    <s v="Q1-2023"/>
    <d v="2023-04-04T00:00:00"/>
    <s v="Valid"/>
    <n v="29"/>
    <d v="2023-04-04T00:00:00"/>
    <s v="Asia"/>
    <s v="Asia → China → Beijing"/>
    <s v="China-2023-03"/>
    <x v="9"/>
    <s v="Beijing"/>
    <s v="Small Business"/>
    <s v="Direct"/>
    <s v="C. Otieno"/>
    <x v="5"/>
    <s v="MON-2073"/>
    <n v="1126.29"/>
    <n v="2050.87"/>
    <s v="Valid"/>
    <n v="2050.87"/>
    <s v="High"/>
    <n v="6.4000000000000001E-2"/>
    <s v="Valid"/>
    <n v="6.4000000000000001E-2"/>
    <n v="7"/>
    <n v="13437.300239999999"/>
    <n v="7884.03"/>
    <n v="5553.2702399999989"/>
    <n v="0.41327276616690373"/>
    <n v="0"/>
  </r>
  <r>
    <x v="405"/>
    <d v="2024-12-20T00:00:00"/>
    <s v="Dec-2024"/>
    <s v="Q4-2024"/>
    <d v="2025-01-14T00:00:00"/>
    <s v="Valid"/>
    <n v="25"/>
    <d v="2025-01-14T00:00:00"/>
    <s v="Asia"/>
    <s v="Asia → India → Delhi"/>
    <s v="India-2024-12"/>
    <x v="4"/>
    <s v="Delhi"/>
    <s v="Small Business"/>
    <s v="Retail"/>
    <s v="M. Rossi"/>
    <x v="1"/>
    <s v="PRN-9378"/>
    <n v="1361.34"/>
    <n v="1737.9"/>
    <s v="Valid"/>
    <n v="1737.9"/>
    <s v="Medium"/>
    <n v="7.6999999999999999E-2"/>
    <s v="Valid"/>
    <n v="7.6999999999999999E-2"/>
    <n v="14"/>
    <n v="22457.143800000002"/>
    <n v="19058.759999999998"/>
    <n v="3398.3838000000032"/>
    <n v="0.15132751654731813"/>
    <n v="0"/>
  </r>
  <r>
    <x v="406"/>
    <d v="2025-02-21T00:00:00"/>
    <s v="Feb-2025"/>
    <s v="Q1-2025"/>
    <d v="2025-03-21T00:00:00"/>
    <s v="Valid"/>
    <n v="28"/>
    <d v="2025-03-21T00:00:00"/>
    <s v="Africa"/>
    <s v="Africa → Nigeria → Abuja"/>
    <s v="Nigeria-2025-02"/>
    <x v="1"/>
    <s v="Abuja"/>
    <s v="Enterprise"/>
    <s v="Marketplace"/>
    <s v="I. Johnson"/>
    <x v="3"/>
    <s v="PHN-5887"/>
    <n v="1437.39"/>
    <n v="1388.31"/>
    <s v="Valid"/>
    <n v="1388.31"/>
    <s v="Medium"/>
    <n v="0.13800000000000001"/>
    <s v="Valid"/>
    <n v="0.13800000000000001"/>
    <n v="18"/>
    <n v="21541.017959999997"/>
    <n v="25873.02"/>
    <n v="-4332.002040000003"/>
    <n v="-0.20110479681341872"/>
    <n v="0"/>
  </r>
  <r>
    <x v="407"/>
    <d v="2025-03-08T00:00:00"/>
    <s v="Mar-2025"/>
    <s v="Q1-2025"/>
    <d v="2025-03-15T00:00:00"/>
    <s v="Valid"/>
    <n v="7"/>
    <d v="2025-03-15T00:00:00"/>
    <s v="Asia"/>
    <s v="Asia → India → Bengaluru"/>
    <s v="India-2025-03"/>
    <x v="4"/>
    <s v="Bengaluru"/>
    <s v="Corporate"/>
    <s v="Distributor"/>
    <s v="K. Singh"/>
    <x v="4"/>
    <s v="LAP-8119"/>
    <n v="475.66"/>
    <n v="529.14"/>
    <s v="Valid"/>
    <n v="529.14"/>
    <s v="Low"/>
    <n v="0.19600000000000001"/>
    <s v="Valid"/>
    <n v="0.19600000000000001"/>
    <n v="11"/>
    <n v="4679.7141600000004"/>
    <n v="5232.26"/>
    <n v="-552.54583999999977"/>
    <n v="-0.11807256193613323"/>
    <n v="1"/>
  </r>
  <r>
    <x v="408"/>
    <d v="2023-12-16T00:00:00"/>
    <s v="Dec-2023"/>
    <s v="Q4-2023"/>
    <d v="2023-12-19T00:00:00"/>
    <s v="Valid"/>
    <n v="3"/>
    <d v="2023-12-19T00:00:00"/>
    <s v="Asia"/>
    <s v="Asia → China → Beijing"/>
    <s v="China-2023-12"/>
    <x v="9"/>
    <s v="Beijing"/>
    <s v="Education"/>
    <s v="Retail"/>
    <s v="A. Patel"/>
    <x v="6"/>
    <s v="ACC-9644"/>
    <n v="1415.05"/>
    <n v="1972.38"/>
    <s v="Valid"/>
    <n v="1972.38"/>
    <s v="High"/>
    <n v="0"/>
    <s v="Valid"/>
    <n v="0"/>
    <n v="12"/>
    <n v="23668.560000000001"/>
    <n v="16980.599999999999"/>
    <n v="6687.9600000000028"/>
    <n v="0.28256725377462771"/>
    <n v="1"/>
  </r>
  <r>
    <x v="409"/>
    <d v="2024-08-30T00:00:00"/>
    <s v="Aug-2024"/>
    <s v="Q3-2024"/>
    <d v="2024-09-05T00:00:00"/>
    <s v="Valid"/>
    <n v="6"/>
    <d v="2024-09-05T00:00:00"/>
    <s v="Asia"/>
    <s v="Asia → Japan → Nagoya"/>
    <s v="Japan-2024-08"/>
    <x v="2"/>
    <s v="Nagoya"/>
    <s v="Education"/>
    <s v="Online"/>
    <s v="N. Brown"/>
    <x v="4"/>
    <s v="LAP-7009"/>
    <n v="466.16"/>
    <n v="876.81"/>
    <s v="Valid"/>
    <n v="876.81"/>
    <s v="Medium"/>
    <n v="0.24099999999999999"/>
    <s v="Valid"/>
    <n v="0.24099999999999999"/>
    <n v="8"/>
    <n v="5323.9903199999999"/>
    <n v="3729.28"/>
    <n v="1594.7103199999997"/>
    <n v="0.29953291124691594"/>
    <n v="1"/>
  </r>
  <r>
    <x v="410"/>
    <d v="2024-05-18T00:00:00"/>
    <s v="May-2024"/>
    <s v="Q2-2024"/>
    <d v="2024-05-21T00:00:00"/>
    <s v="Valid"/>
    <n v="3"/>
    <d v="2024-05-21T00:00:00"/>
    <s v="Europe"/>
    <s v="Europe → France → Marseille"/>
    <s v="France-2024-05"/>
    <x v="7"/>
    <s v="Marseille"/>
    <s v="Non-Profit"/>
    <s v="Marketplace"/>
    <s v="D. Smith"/>
    <x v="1"/>
    <s v="PRN-1725"/>
    <n v="663.66"/>
    <n v="824.26"/>
    <s v="Valid"/>
    <n v="824.26"/>
    <s v="Medium"/>
    <n v="0.23899999999999999"/>
    <s v="Valid"/>
    <n v="0.23899999999999999"/>
    <n v="11"/>
    <n v="6899.8804600000003"/>
    <n v="7300.2599999999993"/>
    <n v="-400.379539999999"/>
    <n v="-5.8027025587048933E-2"/>
    <n v="1"/>
  </r>
  <r>
    <x v="411"/>
    <d v="2023-03-17T00:00:00"/>
    <s v="Mar-2023"/>
    <s v="Q1-2023"/>
    <d v="2023-04-06T00:00:00"/>
    <s v="Valid"/>
    <n v="20"/>
    <d v="2023-04-06T00:00:00"/>
    <s v="Europe"/>
    <s v="Europe → Germany → Munich"/>
    <s v="Germany-2023-03"/>
    <x v="6"/>
    <s v="Munich"/>
    <s v="Consumer"/>
    <s v="Retail"/>
    <s v="O. Wang"/>
    <x v="3"/>
    <s v="PHN-8483"/>
    <n v="692.18"/>
    <n v="1159.3499999999999"/>
    <s v="Valid"/>
    <n v="1159.3499999999999"/>
    <s v="Medium"/>
    <n v="0.112"/>
    <s v="Valid"/>
    <n v="0.112"/>
    <n v="2"/>
    <n v="2059.0056"/>
    <n v="1384.36"/>
    <n v="674.64560000000006"/>
    <n v="0.32765602968734037"/>
    <n v="0"/>
  </r>
  <r>
    <x v="412"/>
    <d v="2023-08-25T00:00:00"/>
    <s v="Aug-2023"/>
    <s v="Q3-2023"/>
    <d v="2023-09-16T00:00:00"/>
    <s v="Valid"/>
    <n v="22"/>
    <d v="2023-09-16T00:00:00"/>
    <s v="Africa"/>
    <s v="Africa → Nigeria → Abuja"/>
    <s v="Nigeria-2023-08"/>
    <x v="1"/>
    <s v="Abuja"/>
    <s v="Corporate"/>
    <s v="Marketplace"/>
    <s v="L. Okafor"/>
    <x v="3"/>
    <s v="PHN-3971"/>
    <n v="1196.83"/>
    <n v="2513.5100000000002"/>
    <s v="Valid"/>
    <n v="2513.5100000000002"/>
    <s v="High"/>
    <n v="8.3000000000000004E-2"/>
    <s v="Valid"/>
    <n v="8.3000000000000004E-2"/>
    <n v="7"/>
    <n v="16134.22069"/>
    <n v="8377.81"/>
    <n v="7756.4106900000006"/>
    <n v="0.48074281609445374"/>
    <n v="0"/>
  </r>
  <r>
    <x v="413"/>
    <d v="2024-06-06T00:00:00"/>
    <s v="Jun-2024"/>
    <s v="Q2-2024"/>
    <d v="2024-06-24T00:00:00"/>
    <s v="Valid"/>
    <n v="18"/>
    <d v="2024-06-24T00:00:00"/>
    <s v="Asia"/>
    <s v="Asia → India → Bengaluru"/>
    <s v="India-2024-06"/>
    <x v="4"/>
    <s v="Bengaluru"/>
    <s v="Small Business"/>
    <s v="Direct"/>
    <s v="H. Kim"/>
    <x v="2"/>
    <s v="NET-6578"/>
    <n v="1253.25"/>
    <n v="3087.13"/>
    <s v="Valid"/>
    <n v="3087.13"/>
    <s v="High"/>
    <n v="7.1999999999999995E-2"/>
    <s v="Valid"/>
    <n v="7.1999999999999995E-2"/>
    <n v="11"/>
    <n v="31513.423040000001"/>
    <n v="13785.75"/>
    <n v="17727.673040000001"/>
    <n v="0.562543555408064"/>
    <n v="0"/>
  </r>
  <r>
    <x v="414"/>
    <d v="2023-08-29T00:00:00"/>
    <s v="Aug-2023"/>
    <s v="Q3-2023"/>
    <d v="2023-09-13T00:00:00"/>
    <s v="Valid"/>
    <n v="15"/>
    <d v="2023-09-13T00:00:00"/>
    <s v="Americas"/>
    <s v="Americas → Canada → Vancouver"/>
    <s v="Canada-2023-08"/>
    <x v="3"/>
    <s v="Vancouver"/>
    <s v="Small Business"/>
    <s v="Marketplace"/>
    <s v="O. Wang"/>
    <x v="1"/>
    <s v="PRN-9975"/>
    <n v="1287.6400000000001"/>
    <n v="2717.15"/>
    <s v="Valid"/>
    <n v="2717.15"/>
    <s v="High"/>
    <n v="3.2000000000000001E-2"/>
    <s v="Valid"/>
    <n v="3.2000000000000001E-2"/>
    <n v="7"/>
    <n v="18411.4084"/>
    <n v="9013.4800000000014"/>
    <n v="9397.9283999999989"/>
    <n v="0.51044049405802105"/>
    <n v="0"/>
  </r>
  <r>
    <x v="415"/>
    <d v="2024-11-30T00:00:00"/>
    <s v="Nov-2024"/>
    <s v="Q4-2024"/>
    <d v="2024-12-10T00:00:00"/>
    <s v="Valid"/>
    <n v="10"/>
    <d v="2024-12-10T00:00:00"/>
    <s v="Asia"/>
    <s v="Asia → India → Hyderabad"/>
    <s v="India-2024-11"/>
    <x v="4"/>
    <s v="Hyderabad"/>
    <s v="Small Business"/>
    <s v="Retail"/>
    <s v="F. Müller"/>
    <x v="6"/>
    <s v="ACC-1075"/>
    <n v="851.49"/>
    <n v="901.79"/>
    <s v="Valid"/>
    <n v="901.79"/>
    <s v="Medium"/>
    <n v="0.245"/>
    <s v="Valid"/>
    <n v="0.245"/>
    <n v="16"/>
    <n v="10893.6232"/>
    <n v="13623.84"/>
    <n v="-2730.2168000000001"/>
    <n v="-0.25062522816100341"/>
    <n v="0"/>
  </r>
  <r>
    <x v="416"/>
    <d v="2025-06-05T00:00:00"/>
    <s v="Jun-2025"/>
    <s v="Q2-2025"/>
    <d v="2025-06-14T00:00:00"/>
    <s v="Valid"/>
    <n v="9"/>
    <d v="2025-06-14T00:00:00"/>
    <s v="Asia"/>
    <s v="Asia → India → Delhi"/>
    <s v="India-2025-06"/>
    <x v="4"/>
    <s v="Delhi"/>
    <s v="Non-Profit"/>
    <s v="Retail"/>
    <s v="A. Patel"/>
    <x v="6"/>
    <s v="ACC-2902"/>
    <n v="618.69000000000005"/>
    <n v="796.15"/>
    <s v="Valid"/>
    <n v="796.15"/>
    <s v="Medium"/>
    <n v="0.09"/>
    <s v="Valid"/>
    <n v="0.09"/>
    <n v="11"/>
    <n v="7969.4615000000003"/>
    <n v="6805.59"/>
    <n v="1163.8715000000002"/>
    <n v="0.14604142325049191"/>
    <n v="0"/>
  </r>
  <r>
    <x v="417"/>
    <d v="2025-03-14T00:00:00"/>
    <s v="Mar-2025"/>
    <s v="Q1-2025"/>
    <d v="2025-04-08T00:00:00"/>
    <s v="Valid"/>
    <n v="25"/>
    <d v="2025-04-08T00:00:00"/>
    <s v="Asia"/>
    <s v="Asia → China → unknown"/>
    <s v="China-2025-03"/>
    <x v="9"/>
    <s v="unknown"/>
    <s v="Corporate"/>
    <s v="Distributor"/>
    <s v="D. Smith"/>
    <x v="1"/>
    <s v="PRN-5815"/>
    <n v="80.59"/>
    <n v="157.82"/>
    <s v="Valid"/>
    <n v="157.82"/>
    <s v="Low"/>
    <n v="0.217"/>
    <s v="Valid"/>
    <n v="0.217"/>
    <n v="6"/>
    <n v="741.43835999999999"/>
    <n v="483.54"/>
    <n v="257.89835999999997"/>
    <n v="0.34783519967863541"/>
    <n v="0"/>
  </r>
  <r>
    <x v="418"/>
    <d v="2024-01-16T00:00:00"/>
    <s v="Jan-2024"/>
    <s v="Q1-2024"/>
    <d v="2024-02-11T00:00:00"/>
    <s v="Valid"/>
    <n v="26"/>
    <d v="2024-02-11T00:00:00"/>
    <s v="Europe"/>
    <s v="Europe → Germany → Frankfurt"/>
    <s v="Germany-2024-01"/>
    <x v="6"/>
    <s v="Frankfurt"/>
    <s v="Non-Profit"/>
    <s v="Distributor"/>
    <s v="E. Garcia"/>
    <x v="5"/>
    <s v="MON-4195"/>
    <n v="504.93"/>
    <n v="819.06"/>
    <s v="Valid"/>
    <n v="819.06"/>
    <s v="Medium"/>
    <n v="0.22600000000000001"/>
    <s v="Valid"/>
    <n v="0.22600000000000001"/>
    <n v="15"/>
    <n v="9509.2865999999995"/>
    <n v="7573.95"/>
    <n v="1935.3365999999996"/>
    <n v="0.20352069312959814"/>
    <n v="0"/>
  </r>
  <r>
    <x v="419"/>
    <d v="2023-10-12T00:00:00"/>
    <s v="Oct-2023"/>
    <s v="Q4-2023"/>
    <d v="2023-10-29T00:00:00"/>
    <s v="Valid"/>
    <n v="17"/>
    <d v="2023-10-29T00:00:00"/>
    <s v="Asia"/>
    <s v="Asia → Japan → Nagoya"/>
    <s v="Japan-2023-10"/>
    <x v="2"/>
    <s v="Nagoya"/>
    <s v="Non-Profit"/>
    <s v="Direct"/>
    <s v="H. Kim"/>
    <x v="3"/>
    <s v="PHN-8478"/>
    <n v="1102.19"/>
    <n v="1711.16"/>
    <s v="Valid"/>
    <n v="1711.16"/>
    <s v="Medium"/>
    <n v="0.151"/>
    <s v="Valid"/>
    <n v="0.151"/>
    <n v="10"/>
    <n v="14527.748400000002"/>
    <n v="11021.900000000001"/>
    <n v="3505.8484000000008"/>
    <n v="0.24132083675127525"/>
    <n v="0"/>
  </r>
  <r>
    <x v="420"/>
    <d v="2025-02-25T00:00:00"/>
    <s v="Feb-2025"/>
    <s v="Q1-2025"/>
    <d v="2025-03-17T00:00:00"/>
    <s v="Valid"/>
    <n v="20"/>
    <d v="2025-03-17T00:00:00"/>
    <s v="Americas"/>
    <s v="Americas → USA → San Francisco"/>
    <s v="USA-2025-02"/>
    <x v="10"/>
    <s v="San Francisco"/>
    <s v="Non-Profit"/>
    <s v="Marketplace"/>
    <s v="H. Kim"/>
    <x v="3"/>
    <s v="PHN-1044"/>
    <n v="1205.26"/>
    <n v="1696.35"/>
    <s v="Valid"/>
    <n v="1696.35"/>
    <s v="Medium"/>
    <n v="1.9E-2"/>
    <s v="Valid"/>
    <n v="1.9E-2"/>
    <n v="6"/>
    <n v="9984.7160999999978"/>
    <n v="7231.5599999999995"/>
    <n v="2753.1560999999983"/>
    <n v="0.27573704374028213"/>
    <n v="0"/>
  </r>
  <r>
    <x v="421"/>
    <d v="2025-07-03T00:00:00"/>
    <s v="Jul-2025"/>
    <s v="Q3-2025"/>
    <d v="2025-07-06T00:00:00"/>
    <s v="Valid"/>
    <n v="3"/>
    <d v="2025-07-06T00:00:00"/>
    <s v="Africa"/>
    <s v="Africa → Nigeria → Lagos"/>
    <s v="Nigeria-2025-07"/>
    <x v="1"/>
    <s v="Lagos"/>
    <s v="Consumer"/>
    <s v="Online"/>
    <s v="Unassigned"/>
    <x v="4"/>
    <s v="LAP-8910"/>
    <n v="1313.3"/>
    <n v="2884.34"/>
    <s v="Valid"/>
    <n v="2884.34"/>
    <s v="High"/>
    <n v="0.157"/>
    <s v="Valid"/>
    <n v="0.157"/>
    <n v="42"/>
    <n v="102122.94203999999"/>
    <n v="55158.6"/>
    <n v="46964.342039999996"/>
    <n v="0.45988042551305253"/>
    <n v="1"/>
  </r>
  <r>
    <x v="422"/>
    <d v="2025-09-15T00:00:00"/>
    <s v="Sep-2025"/>
    <s v="Q3-2025"/>
    <d v="2025-09-25T00:00:00"/>
    <s v="Valid"/>
    <n v="10"/>
    <d v="2025-09-25T00:00:00"/>
    <s v="Asia"/>
    <s v="Asia → India → Delhi"/>
    <s v="India-2025-09"/>
    <x v="4"/>
    <s v="Delhi"/>
    <s v="Consumer"/>
    <s v="Retail"/>
    <s v="A. Patel"/>
    <x v="3"/>
    <s v="PHN-2859"/>
    <n v="1488.91"/>
    <n v="1483.74"/>
    <s v="Valid"/>
    <n v="1483.74"/>
    <s v="Medium"/>
    <n v="0.16800000000000001"/>
    <s v="Valid"/>
    <n v="0.16800000000000001"/>
    <n v="24"/>
    <n v="29627.320319999999"/>
    <n v="35733.840000000004"/>
    <n v="-6106.5196800000049"/>
    <n v="-0.20611110333450519"/>
    <n v="0"/>
  </r>
  <r>
    <x v="423"/>
    <d v="2024-02-19T00:00:00"/>
    <s v="Feb-2024"/>
    <s v="Q1-2024"/>
    <d v="2024-03-06T00:00:00"/>
    <s v="Valid"/>
    <n v="16"/>
    <d v="2024-03-06T00:00:00"/>
    <s v="Asia"/>
    <s v="Asia → China → Beijing"/>
    <s v="China-2024-02"/>
    <x v="9"/>
    <s v="Beijing"/>
    <s v="Education"/>
    <s v="Marketplace"/>
    <s v="O. Wang"/>
    <x v="1"/>
    <s v="PRN-6308"/>
    <n v="1477.84"/>
    <n v="3197.47"/>
    <s v="Valid"/>
    <n v="3197.47"/>
    <s v="High"/>
    <n v="0.24299999999999999"/>
    <s v="Valid"/>
    <n v="0.24299999999999999"/>
    <n v="24"/>
    <n v="58091.634960000003"/>
    <n v="35468.159999999996"/>
    <n v="22623.474960000007"/>
    <n v="0.38944462443823091"/>
    <n v="0"/>
  </r>
  <r>
    <x v="424"/>
    <d v="2024-02-27T00:00:00"/>
    <s v="Feb-2024"/>
    <s v="Q1-2024"/>
    <d v="2024-03-26T00:00:00"/>
    <s v="Valid"/>
    <n v="28"/>
    <d v="2024-03-26T00:00:00"/>
    <s v="Asia"/>
    <s v="Asia → India → Mumbai"/>
    <s v="India-2024-02"/>
    <x v="4"/>
    <s v="Mumbai"/>
    <s v="Education"/>
    <s v="Marketplace"/>
    <s v="G. Dubois"/>
    <x v="4"/>
    <s v="LAP-8469"/>
    <n v="1035.19"/>
    <n v="2322.6999999999998"/>
    <s v="Valid"/>
    <n v="2322.6999999999998"/>
    <s v="High"/>
    <n v="0.17299999999999999"/>
    <s v="Valid"/>
    <n v="0.17299999999999999"/>
    <n v="8"/>
    <n v="15366.983199999999"/>
    <n v="8281.52"/>
    <n v="7085.4631999999983"/>
    <n v="0.46108355217047409"/>
    <n v="0"/>
  </r>
  <r>
    <x v="425"/>
    <d v="2025-08-28T00:00:00"/>
    <s v="Aug-2025"/>
    <s v="Q3-2025"/>
    <d v="2025-09-05T00:00:00"/>
    <s v="Valid"/>
    <n v="8"/>
    <d v="2025-09-05T00:00:00"/>
    <s v="Africa"/>
    <s v="Africa → Nigeria → Port Harcourt"/>
    <s v="Nigeria-2025-08"/>
    <x v="1"/>
    <s v="Port Harcourt"/>
    <s v="Small Business"/>
    <s v="Marketplace"/>
    <s v="E. Garcia"/>
    <x v="4"/>
    <s v="LAP-7553"/>
    <n v="1271.0999999999999"/>
    <n v="1932.42"/>
    <s v="Valid"/>
    <n v="1932.42"/>
    <s v="High"/>
    <n v="0.25"/>
    <s v="Valid"/>
    <n v="0.25"/>
    <n v="21"/>
    <n v="30435.614999999998"/>
    <n v="26693.1"/>
    <n v="3742.5149999999994"/>
    <n v="0.12296498690760807"/>
    <n v="0"/>
  </r>
  <r>
    <x v="426"/>
    <d v="2024-08-18T00:00:00"/>
    <s v="Aug-2024"/>
    <s v="Q3-2024"/>
    <d v="2024-09-12T00:00:00"/>
    <s v="Valid"/>
    <n v="25"/>
    <d v="2024-09-12T00:00:00"/>
    <s v="Asia"/>
    <s v="Asia → India → Mumbai"/>
    <s v="India-2024-08"/>
    <x v="4"/>
    <s v="Mumbai"/>
    <s v="Consumer"/>
    <s v="Marketplace"/>
    <s v="C. Otieno"/>
    <x v="3"/>
    <s v="PHN-3077"/>
    <n v="1154.03"/>
    <n v="1590.36"/>
    <s v="Valid"/>
    <n v="1590.36"/>
    <s v="Medium"/>
    <n v="0.314"/>
    <s v="High Discount"/>
    <n v="0.3"/>
    <n v="18"/>
    <n v="20038.536"/>
    <n v="20772.54"/>
    <n v="-734.00400000000081"/>
    <n v="-3.6629622044245191E-2"/>
    <n v="0"/>
  </r>
  <r>
    <x v="427"/>
    <d v="2024-02-25T00:00:00"/>
    <s v="Feb-2024"/>
    <s v="Q1-2024"/>
    <d v="2024-03-09T00:00:00"/>
    <s v="Valid"/>
    <n v="13"/>
    <d v="2024-03-09T00:00:00"/>
    <s v="Europe"/>
    <s v="Europe → France → Marseille"/>
    <s v="France-2024-02"/>
    <x v="7"/>
    <s v="Marseille"/>
    <s v="Small Business"/>
    <s v="Distributor"/>
    <s v="E. Garcia"/>
    <x v="5"/>
    <s v="MON-3350"/>
    <n v="322.44"/>
    <n v="395.61"/>
    <s v="Valid"/>
    <n v="395.61"/>
    <s v="Low"/>
    <n v="0"/>
    <s v="Valid"/>
    <n v="0"/>
    <n v="34"/>
    <n v="13450.74"/>
    <n v="10962.96"/>
    <n v="2487.7800000000007"/>
    <n v="0.18495487980586947"/>
    <n v="0"/>
  </r>
  <r>
    <x v="428"/>
    <d v="2025-05-07T00:00:00"/>
    <s v="May-2025"/>
    <s v="Q2-2025"/>
    <d v="2025-05-13T00:00:00"/>
    <s v="Valid"/>
    <n v="6"/>
    <d v="2025-05-13T00:00:00"/>
    <s v="Asia"/>
    <s v="Asia → India → Bengaluru"/>
    <s v="India-2025-05"/>
    <x v="4"/>
    <s v="Bengaluru"/>
    <s v="Enterprise"/>
    <s v="Direct"/>
    <s v="J. Njeri"/>
    <x v="3"/>
    <s v="PHN-5683"/>
    <n v="935.98"/>
    <n v="2077.69"/>
    <s v="Valid"/>
    <n v="2077.69"/>
    <s v="High"/>
    <n v="0.17499999999999999"/>
    <s v="Valid"/>
    <n v="0.17499999999999999"/>
    <n v="24"/>
    <n v="41138.261999999995"/>
    <n v="22463.52"/>
    <n v="18674.741999999995"/>
    <n v="0.45395067978321491"/>
    <n v="1"/>
  </r>
  <r>
    <x v="429"/>
    <d v="2024-11-01T00:00:00"/>
    <s v="Nov-2024"/>
    <s v="Q4-2024"/>
    <d v="2024-11-12T00:00:00"/>
    <s v="Valid"/>
    <n v="11"/>
    <d v="2024-11-12T00:00:00"/>
    <s v="Europe"/>
    <s v="Europe → Germany → Frankfurt"/>
    <s v="Germany-2024-11"/>
    <x v="6"/>
    <s v="Frankfurt"/>
    <s v="Consumer"/>
    <s v="Online"/>
    <s v="B. Chen"/>
    <x v="1"/>
    <s v="PRN-2409"/>
    <n v="599.84"/>
    <n v="1330.85"/>
    <s v="Valid"/>
    <n v="1330.85"/>
    <s v="Medium"/>
    <n v="0.115"/>
    <s v="Valid"/>
    <n v="0.115"/>
    <n v="11"/>
    <n v="12955.824749999998"/>
    <n v="6598.2400000000007"/>
    <n v="6357.5847499999973"/>
    <n v="0.49071246892252063"/>
    <n v="0"/>
  </r>
  <r>
    <x v="430"/>
    <d v="2024-12-28T00:00:00"/>
    <s v="Dec-2024"/>
    <s v="Q4-2024"/>
    <d v="2025-01-08T00:00:00"/>
    <s v="Valid"/>
    <n v="11"/>
    <d v="2025-01-08T00:00:00"/>
    <s v="Asia"/>
    <s v="Asia → China → Shenzhen"/>
    <s v="China-2024-12"/>
    <x v="9"/>
    <s v="Shenzhen"/>
    <s v="Enterprise"/>
    <s v="Online"/>
    <s v="K. Singh"/>
    <x v="4"/>
    <s v="LAP-8825"/>
    <n v="1201.31"/>
    <n v="2764.65"/>
    <s v="Valid"/>
    <n v="2764.65"/>
    <s v="High"/>
    <n v="0"/>
    <s v="Valid"/>
    <n v="0"/>
    <n v="21"/>
    <n v="58057.65"/>
    <n v="25227.51"/>
    <n v="32830.14"/>
    <n v="0.56547483406579491"/>
    <n v="0"/>
  </r>
  <r>
    <x v="431"/>
    <d v="2023-10-21T00:00:00"/>
    <s v="Oct-2023"/>
    <s v="Q4-2023"/>
    <d v="2023-10-21T00:00:00"/>
    <s v="Valid"/>
    <n v="0"/>
    <d v="2023-10-21T00:00:00"/>
    <s v="Europe"/>
    <s v="Europe → United Kingdom → Manchester"/>
    <s v="United Kingdom-2023-10"/>
    <x v="8"/>
    <s v="Manchester"/>
    <s v="Enterprise"/>
    <s v="Distributor"/>
    <s v="J. Njeri"/>
    <x v="5"/>
    <s v="MON-8697"/>
    <n v="384.19"/>
    <n v="278.35000000000002"/>
    <s v="Valid"/>
    <n v="278.35000000000002"/>
    <s v="Low"/>
    <n v="5.6000000000000001E-2"/>
    <s v="Valid"/>
    <n v="5.6000000000000001E-2"/>
    <n v="10"/>
    <n v="2627.6239999999998"/>
    <n v="3841.9"/>
    <n v="-1214.2760000000003"/>
    <n v="-0.46211938998882657"/>
    <n v="1"/>
  </r>
  <r>
    <x v="432"/>
    <d v="2024-12-10T00:00:00"/>
    <s v="Dec-2024"/>
    <s v="Q4-2024"/>
    <d v="2024-12-19T00:00:00"/>
    <s v="Valid"/>
    <n v="9"/>
    <d v="2024-12-19T00:00:00"/>
    <s v="Africa"/>
    <s v="Africa → Nigeria → Lagos"/>
    <s v="Nigeria-2024-12"/>
    <x v="1"/>
    <s v="Lagos"/>
    <s v="Corporate"/>
    <s v="Retail"/>
    <s v="O. Wang"/>
    <x v="5"/>
    <s v="MON-4789"/>
    <n v="488.68"/>
    <n v="984.36"/>
    <s v="Valid"/>
    <n v="984.36"/>
    <s v="Medium"/>
    <n v="5.8999999999999997E-2"/>
    <s v="Valid"/>
    <n v="5.8999999999999997E-2"/>
    <n v="14"/>
    <n v="12967.958640000001"/>
    <n v="6841.52"/>
    <n v="6126.4386400000003"/>
    <n v="0.47242891576649876"/>
    <n v="0"/>
  </r>
  <r>
    <x v="433"/>
    <d v="2024-09-07T00:00:00"/>
    <s v="Sep-2024"/>
    <s v="Q3-2024"/>
    <d v="2024-09-18T00:00:00"/>
    <s v="Valid"/>
    <n v="11"/>
    <d v="2024-09-18T00:00:00"/>
    <s v="Asia"/>
    <s v="Asia → China → Beijing"/>
    <s v="China-2024-09"/>
    <x v="9"/>
    <s v="Beijing"/>
    <s v="Consumer"/>
    <s v="Distributor"/>
    <s v="O. Wang"/>
    <x v="2"/>
    <s v="NET-7998"/>
    <n v="181.74"/>
    <n v="190.84"/>
    <s v="Valid"/>
    <n v="190.84"/>
    <s v="Low"/>
    <n v="0.214"/>
    <s v="Valid"/>
    <n v="0.214"/>
    <n v="13"/>
    <n v="1950.0031200000001"/>
    <n v="2362.62"/>
    <n v="-412.61687999999981"/>
    <n v="-0.21159806144310159"/>
    <n v="0"/>
  </r>
  <r>
    <x v="434"/>
    <d v="2023-10-18T00:00:00"/>
    <s v="Oct-2023"/>
    <s v="Q4-2023"/>
    <d v="2023-10-20T00:00:00"/>
    <s v="Valid"/>
    <n v="2"/>
    <d v="2023-10-20T00:00:00"/>
    <s v="Africa"/>
    <s v="Africa → Kenya → Kisumu"/>
    <s v="Kenya-2023-10"/>
    <x v="0"/>
    <s v="Kisumu"/>
    <s v="Consumer"/>
    <s v="Retail"/>
    <s v="J. Njeri"/>
    <x v="3"/>
    <s v="PHN-8891"/>
    <n v="774.12"/>
    <n v="908.3"/>
    <s v="Valid"/>
    <n v="908.3"/>
    <s v="Medium"/>
    <n v="0"/>
    <s v="Valid"/>
    <n v="0"/>
    <n v="30"/>
    <n v="27249"/>
    <n v="23223.599999999999"/>
    <n v="4025.4000000000015"/>
    <n v="0.14772652207420461"/>
    <n v="1"/>
  </r>
  <r>
    <x v="435"/>
    <d v="2024-12-24T00:00:00"/>
    <s v="Dec-2024"/>
    <s v="Q4-2024"/>
    <d v="2025-01-13T00:00:00"/>
    <s v="Valid"/>
    <n v="20"/>
    <d v="2025-01-13T00:00:00"/>
    <s v="Asia"/>
    <s v="Asia → India → Bengaluru"/>
    <s v="India-2024-12"/>
    <x v="4"/>
    <s v="Bengaluru"/>
    <s v="Corporate"/>
    <s v="Marketplace"/>
    <s v="D. Smith"/>
    <x v="2"/>
    <s v="NET-9832"/>
    <n v="126.15"/>
    <n v="284.23"/>
    <s v="Valid"/>
    <n v="284.23"/>
    <s v="Low"/>
    <n v="0.113"/>
    <s v="Valid"/>
    <n v="0.113"/>
    <n v="22"/>
    <n v="5546.4642200000008"/>
    <n v="2775.3"/>
    <n v="2771.1642200000006"/>
    <n v="0.49962716968541088"/>
    <n v="0"/>
  </r>
  <r>
    <x v="436"/>
    <d v="2023-04-21T00:00:00"/>
    <s v="Apr-2023"/>
    <s v="Q2-2023"/>
    <d v="2023-04-19T00:00:00"/>
    <s v="Invalid RequiredDate"/>
    <n v="-2"/>
    <d v="2023-05-17T00:00:00"/>
    <s v="Asia"/>
    <s v="Asia → Japan → Nagoya"/>
    <s v="Japan-2023-04"/>
    <x v="2"/>
    <s v="Nagoya"/>
    <s v="Small Business"/>
    <s v="Direct"/>
    <s v="M. Rossi"/>
    <x v="0"/>
    <s v="CMP-8604"/>
    <n v="607.04"/>
    <n v="1229.3399999999999"/>
    <s v="Valid"/>
    <n v="1229.3399999999999"/>
    <s v="Medium"/>
    <n v="0.14699999999999999"/>
    <s v="Valid"/>
    <n v="0.14699999999999999"/>
    <n v="7"/>
    <n v="7340.3891399999993"/>
    <n v="4249.28"/>
    <n v="3091.1091399999996"/>
    <n v="0.42110970972310058"/>
    <n v="1"/>
  </r>
  <r>
    <x v="437"/>
    <d v="2023-12-30T00:00:00"/>
    <s v="Dec-2023"/>
    <s v="Q4-2023"/>
    <d v="2024-01-08T00:00:00"/>
    <s v="Valid"/>
    <n v="9"/>
    <d v="2024-01-08T00:00:00"/>
    <s v="Europe"/>
    <s v="Europe → France → Marseille"/>
    <s v="France-2023-12"/>
    <x v="7"/>
    <s v="Marseille"/>
    <s v="Consumer"/>
    <s v="Marketplace"/>
    <s v="L. Okafor"/>
    <x v="6"/>
    <s v="ACC-6594"/>
    <n v="861.1"/>
    <n v="1224.72"/>
    <s v="Valid"/>
    <n v="1224.72"/>
    <s v="Medium"/>
    <n v="0.17399999999999999"/>
    <s v="Valid"/>
    <n v="0.17399999999999999"/>
    <n v="24"/>
    <n v="24278.849280000002"/>
    <n v="20666.400000000001"/>
    <n v="3612.4492800000007"/>
    <n v="0.14878997098827909"/>
    <n v="0"/>
  </r>
  <r>
    <x v="438"/>
    <d v="2023-02-21T00:00:00"/>
    <s v="Feb-2023"/>
    <s v="Q1-2023"/>
    <d v="2023-03-12T00:00:00"/>
    <s v="Valid"/>
    <n v="19"/>
    <d v="2023-03-12T00:00:00"/>
    <s v="Africa"/>
    <s v="Africa → Kenya → Nakuru"/>
    <s v="Kenya-2023-02"/>
    <x v="0"/>
    <s v="Nakuru"/>
    <s v="Corporate"/>
    <s v="Online"/>
    <s v="F. Müller"/>
    <x v="2"/>
    <s v="NET-2499"/>
    <n v="352.65"/>
    <n v="485.86"/>
    <s v="Valid"/>
    <n v="485.86"/>
    <s v="Low"/>
    <n v="4.1000000000000002E-2"/>
    <s v="Valid"/>
    <n v="4.1000000000000002E-2"/>
    <n v="6"/>
    <n v="2795.6384399999997"/>
    <n v="2115.8999999999996"/>
    <n v="679.73844000000008"/>
    <n v="0.24314247159943908"/>
    <n v="0"/>
  </r>
  <r>
    <x v="439"/>
    <d v="2023-05-17T00:00:00"/>
    <s v="May-2023"/>
    <s v="Q2-2023"/>
    <d v="2023-06-03T00:00:00"/>
    <s v="Valid"/>
    <n v="17"/>
    <d v="2023-06-03T00:00:00"/>
    <s v="Asia"/>
    <s v="Asia → China → Beijing"/>
    <s v="China-2023-05"/>
    <x v="9"/>
    <s v="Beijing"/>
    <s v="Non-Profit"/>
    <s v="Distributor"/>
    <s v="M. Rossi"/>
    <x v="1"/>
    <s v="PRN-1923"/>
    <n v="979.59"/>
    <n v="2210.94"/>
    <s v="Valid"/>
    <n v="2210.94"/>
    <s v="High"/>
    <n v="0.15"/>
    <s v="Valid"/>
    <n v="0.15"/>
    <n v="11"/>
    <n v="20672.289000000001"/>
    <n v="10775.49"/>
    <n v="9896.7990000000009"/>
    <n v="0.47874712858358359"/>
    <n v="0"/>
  </r>
  <r>
    <x v="440"/>
    <d v="2024-03-23T00:00:00"/>
    <s v="Mar-2024"/>
    <s v="Q1-2024"/>
    <d v="2024-03-26T00:00:00"/>
    <s v="Valid"/>
    <n v="3"/>
    <d v="2024-03-26T00:00:00"/>
    <s v="Asia"/>
    <s v="Asia → India → Bengaluru"/>
    <s v="India-2024-03"/>
    <x v="4"/>
    <s v="Bengaluru"/>
    <s v="Education"/>
    <s v="Direct"/>
    <s v="G. Dubois"/>
    <x v="3"/>
    <s v="PHN-4346"/>
    <n v="382.21"/>
    <n v="571.89"/>
    <s v="Valid"/>
    <n v="571.89"/>
    <s v="Low"/>
    <n v="0.14799999999999999"/>
    <s v="Valid"/>
    <n v="0.14799999999999999"/>
    <n v="26"/>
    <n v="12668.50728"/>
    <n v="9937.4599999999991"/>
    <n v="2731.0472800000007"/>
    <n v="0.2155776698578809"/>
    <n v="1"/>
  </r>
  <r>
    <x v="441"/>
    <d v="2023-09-20T00:00:00"/>
    <s v="Sep-2023"/>
    <s v="Q3-2023"/>
    <d v="2023-09-28T00:00:00"/>
    <s v="Valid"/>
    <n v="8"/>
    <d v="2023-09-28T00:00:00"/>
    <s v="Asia"/>
    <s v="Asia → India → unknown"/>
    <s v="India-2023-09"/>
    <x v="4"/>
    <s v="unknown"/>
    <s v="Corporate"/>
    <s v="Unknown"/>
    <s v="B. Chen"/>
    <x v="6"/>
    <s v="ACC-1375"/>
    <n v="1362.06"/>
    <n v="3398.37"/>
    <s v="Valid"/>
    <n v="3398.37"/>
    <s v="High"/>
    <n v="0.157"/>
    <s v="Valid"/>
    <n v="0.157"/>
    <n v="11"/>
    <n v="31513.085009999999"/>
    <n v="14982.66"/>
    <n v="16530.425009999999"/>
    <n v="0.52455749745714919"/>
    <n v="0"/>
  </r>
  <r>
    <x v="442"/>
    <d v="2024-08-22T00:00:00"/>
    <s v="Aug-2024"/>
    <s v="Q3-2024"/>
    <d v="2024-09-04T00:00:00"/>
    <s v="Valid"/>
    <n v="13"/>
    <d v="2024-09-04T00:00:00"/>
    <s v="Europe"/>
    <s v="Europe → Germany → Frankfurt"/>
    <s v="Germany-2024-08"/>
    <x v="6"/>
    <s v="Frankfurt"/>
    <s v="Non-Profit"/>
    <s v="Retail"/>
    <s v="L. Okafor"/>
    <x v="1"/>
    <s v="PRN-4892"/>
    <n v="90.04"/>
    <n v="194.62"/>
    <s v="Valid"/>
    <n v="194.62"/>
    <s v="Low"/>
    <n v="4.2999999999999997E-2"/>
    <s v="Valid"/>
    <n v="4.2999999999999997E-2"/>
    <n v="32"/>
    <n v="5960.04288"/>
    <n v="2881.28"/>
    <n v="3078.7628799999998"/>
    <n v="0.51656723650954672"/>
    <n v="0"/>
  </r>
  <r>
    <x v="443"/>
    <d v="2024-09-25T00:00:00"/>
    <s v="Sep-2024"/>
    <s v="Q3-2024"/>
    <d v="2024-10-03T00:00:00"/>
    <s v="Valid"/>
    <n v="8"/>
    <d v="2024-10-03T00:00:00"/>
    <s v="Americas"/>
    <s v="Americas → Canada → Toronto"/>
    <s v="Canada-2024-09"/>
    <x v="3"/>
    <s v="Toronto"/>
    <s v="Consumer"/>
    <s v="Online"/>
    <s v="E. Garcia"/>
    <x v="1"/>
    <s v="PRN-9557"/>
    <n v="558.19000000000005"/>
    <n v="1031.6400000000001"/>
    <s v="Valid"/>
    <n v="1031.6400000000001"/>
    <s v="Medium"/>
    <n v="0"/>
    <s v="Valid"/>
    <n v="0"/>
    <n v="21"/>
    <n v="21664.440000000002"/>
    <n v="11721.990000000002"/>
    <n v="9942.4500000000007"/>
    <n v="0.45892947152107322"/>
    <n v="0"/>
  </r>
  <r>
    <x v="444"/>
    <d v="2023-06-13T00:00:00"/>
    <s v="Jun-2023"/>
    <s v="Q2-2023"/>
    <d v="2023-06-24T00:00:00"/>
    <s v="Valid"/>
    <n v="11"/>
    <d v="2023-06-24T00:00:00"/>
    <s v="Americas"/>
    <s v="Americas → Canada → Toronto"/>
    <s v="Canada-2023-06"/>
    <x v="3"/>
    <s v="Toronto"/>
    <s v="Corporate"/>
    <s v="Online"/>
    <s v="C. Otieno"/>
    <x v="1"/>
    <s v="PRN-8008"/>
    <n v="247.07"/>
    <n v="495.19"/>
    <s v="Valid"/>
    <n v="495.19"/>
    <s v="Low"/>
    <n v="2.8000000000000001E-2"/>
    <s v="Valid"/>
    <n v="2.8000000000000001E-2"/>
    <n v="4"/>
    <n v="1925.29872"/>
    <n v="988.28"/>
    <n v="937.01872000000003"/>
    <n v="0.48668744764968214"/>
    <n v="0"/>
  </r>
  <r>
    <x v="445"/>
    <d v="2023-12-24T00:00:00"/>
    <s v="Dec-2023"/>
    <s v="Q4-2023"/>
    <d v="2024-01-13T00:00:00"/>
    <s v="Valid"/>
    <n v="20"/>
    <d v="2024-01-13T00:00:00"/>
    <s v="Asia"/>
    <s v="Asia → Japan → Nagoya"/>
    <s v="Japan-2023-12"/>
    <x v="2"/>
    <s v="Nagoya"/>
    <s v="Education"/>
    <s v="Direct"/>
    <s v="B. Chen"/>
    <x v="4"/>
    <s v="LAP-1946"/>
    <n v="625.37"/>
    <n v="1319.04"/>
    <s v="Valid"/>
    <n v="1319.04"/>
    <s v="Medium"/>
    <n v="7.3999999999999996E-2"/>
    <s v="Valid"/>
    <n v="7.3999999999999996E-2"/>
    <n v="8"/>
    <n v="9771.4483199999995"/>
    <n v="5002.96"/>
    <n v="4768.4883199999995"/>
    <n v="0.48800220436513547"/>
    <n v="0"/>
  </r>
  <r>
    <x v="446"/>
    <d v="2025-03-30T00:00:00"/>
    <s v="Mar-2025"/>
    <s v="Q1-2025"/>
    <d v="2025-04-29T00:00:00"/>
    <s v="Valid"/>
    <n v="30"/>
    <d v="2025-04-29T00:00:00"/>
    <s v="Africa"/>
    <s v="Africa → South Africa → Durban"/>
    <s v="South Africa-2025-03"/>
    <x v="11"/>
    <s v="Durban"/>
    <s v="Consumer"/>
    <s v="Marketplace"/>
    <s v="J. Njeri"/>
    <x v="5"/>
    <s v="MON-7106"/>
    <n v="194.6"/>
    <n v="314.87"/>
    <s v="Valid"/>
    <n v="314.87"/>
    <s v="Low"/>
    <n v="0.29299999999999998"/>
    <s v="Valid"/>
    <n v="0.29299999999999998"/>
    <n v="25"/>
    <n v="5565.3272500000003"/>
    <n v="4865"/>
    <n v="700.32725000000028"/>
    <n v="0.1258375686712763"/>
    <n v="0"/>
  </r>
  <r>
    <x v="447"/>
    <d v="2024-06-03T00:00:00"/>
    <s v="Jun-2024"/>
    <s v="Q2-2024"/>
    <d v="2024-06-24T00:00:00"/>
    <s v="Valid"/>
    <n v="21"/>
    <d v="2024-06-24T00:00:00"/>
    <s v="Americas"/>
    <s v="Americas → Canada → Toronto"/>
    <s v="Canada-2024-06"/>
    <x v="3"/>
    <s v="Toronto"/>
    <s v="Small Business"/>
    <s v="Direct"/>
    <s v="G. Dubois"/>
    <x v="5"/>
    <s v="MON-5386"/>
    <n v="1205.5"/>
    <n v="2210.17"/>
    <s v="Valid"/>
    <n v="2210.17"/>
    <s v="High"/>
    <n v="0.104"/>
    <s v="Valid"/>
    <n v="0.104"/>
    <n v="23"/>
    <n v="45547.183360000003"/>
    <n v="27726.5"/>
    <n v="17820.683360000003"/>
    <n v="0.39125763758314652"/>
    <n v="0"/>
  </r>
  <r>
    <x v="448"/>
    <d v="2024-06-11T00:00:00"/>
    <s v="Jun-2024"/>
    <s v="Q2-2024"/>
    <d v="2024-07-09T00:00:00"/>
    <s v="Valid"/>
    <n v="28"/>
    <d v="2024-07-09T00:00:00"/>
    <s v="Africa"/>
    <s v="Africa → Nigeria → Port Harcourt"/>
    <s v="Nigeria-2024-06"/>
    <x v="1"/>
    <s v="Port Harcourt"/>
    <s v="Corporate"/>
    <s v="Marketplace"/>
    <s v="I. Johnson"/>
    <x v="3"/>
    <s v="PHN-2436"/>
    <n v="895.54"/>
    <n v="1045"/>
    <s v="Valid"/>
    <n v="1045"/>
    <s v="Medium"/>
    <n v="0.216"/>
    <s v="Valid"/>
    <n v="0.216"/>
    <n v="15"/>
    <n v="12289.2"/>
    <n v="13433.099999999999"/>
    <n v="-1143.8999999999978"/>
    <n v="-9.3081730299775234E-2"/>
    <n v="0"/>
  </r>
  <r>
    <x v="449"/>
    <d v="2023-07-22T00:00:00"/>
    <s v="Jul-2023"/>
    <s v="Q3-2023"/>
    <d v="2023-07-21T00:00:00"/>
    <s v="Invalid RequiredDate"/>
    <n v="-1"/>
    <d v="2023-08-17T00:00:00"/>
    <s v="Asia"/>
    <s v="Asia → India → Delhi"/>
    <s v="India-2023-07"/>
    <x v="4"/>
    <s v="Delhi"/>
    <s v="Small Business"/>
    <s v="Distributor"/>
    <s v="E. Garcia"/>
    <x v="1"/>
    <s v="PRN-2301"/>
    <n v="946.99"/>
    <n v="2132.19"/>
    <s v="Valid"/>
    <n v="2132.19"/>
    <s v="High"/>
    <n v="0.16500000000000001"/>
    <s v="Valid"/>
    <n v="0.16500000000000001"/>
    <n v="7"/>
    <n v="12462.65055"/>
    <n v="6628.93"/>
    <n v="5833.72055"/>
    <n v="0.46809629513362228"/>
    <n v="1"/>
  </r>
  <r>
    <x v="450"/>
    <d v="2023-01-19T00:00:00"/>
    <s v="Jan-2023"/>
    <s v="Q1-2023"/>
    <d v="2023-02-03T00:00:00"/>
    <s v="Valid"/>
    <n v="15"/>
    <d v="2023-02-03T00:00:00"/>
    <s v="Europe"/>
    <s v="Europe → United Kingdom → London"/>
    <s v="United Kingdom-2023-01"/>
    <x v="8"/>
    <s v="London"/>
    <s v="Enterprise"/>
    <s v="Distributor"/>
    <s v="G. Dubois"/>
    <x v="6"/>
    <s v="ACC-3645"/>
    <n v="873.06"/>
    <n v="2101.5500000000002"/>
    <s v="Valid"/>
    <n v="2101.5500000000002"/>
    <s v="High"/>
    <n v="6.6000000000000003E-2"/>
    <s v="Valid"/>
    <n v="6.6000000000000003E-2"/>
    <n v="10"/>
    <n v="19628.476999999999"/>
    <n v="8730.5999999999985"/>
    <n v="10897.877"/>
    <n v="0.55520746719167269"/>
    <n v="0"/>
  </r>
  <r>
    <x v="451"/>
    <d v="2024-05-01T00:00:00"/>
    <s v="May-2024"/>
    <s v="Q2-2024"/>
    <d v="2024-05-16T00:00:00"/>
    <s v="Valid"/>
    <n v="15"/>
    <d v="2024-05-16T00:00:00"/>
    <s v="Asia"/>
    <s v="Asia → India → Bengaluru"/>
    <s v="India-2024-05"/>
    <x v="4"/>
    <s v="Bengaluru"/>
    <s v="Small Business"/>
    <s v="Retail"/>
    <s v="L. Okafor"/>
    <x v="0"/>
    <s v="CMP-6811"/>
    <n v="901.19"/>
    <n v="2125.44"/>
    <s v="Valid"/>
    <n v="2125.44"/>
    <s v="High"/>
    <n v="7.0999999999999994E-2"/>
    <s v="Valid"/>
    <n v="7.0999999999999994E-2"/>
    <n v="12"/>
    <n v="23694.405119999999"/>
    <n v="10814.28"/>
    <n v="12880.125119999999"/>
    <n v="0.54359352154100415"/>
    <n v="0"/>
  </r>
  <r>
    <x v="452"/>
    <d v="2025-06-09T00:00:00"/>
    <s v="Jun-2025"/>
    <s v="Q2-2025"/>
    <d v="2025-06-24T00:00:00"/>
    <s v="Valid"/>
    <n v="15"/>
    <d v="2025-06-24T00:00:00"/>
    <s v="Asia"/>
    <s v="Asia → Japan → Nagoya"/>
    <s v="Japan-2025-06"/>
    <x v="2"/>
    <s v="Nagoya"/>
    <s v="Corporate"/>
    <s v="Direct"/>
    <s v="B. Chen"/>
    <x v="3"/>
    <s v="PHN-5675"/>
    <n v="400.39"/>
    <n v="712.75"/>
    <s v="Valid"/>
    <n v="712.75"/>
    <s v="Medium"/>
    <n v="0.115"/>
    <s v="Valid"/>
    <n v="0.115"/>
    <n v="19"/>
    <n v="11984.891250000001"/>
    <n v="7607.41"/>
    <n v="4377.4812500000007"/>
    <n v="0.36524997671547504"/>
    <n v="0"/>
  </r>
  <r>
    <x v="453"/>
    <d v="2023-05-24T00:00:00"/>
    <s v="May-2023"/>
    <s v="Q2-2023"/>
    <d v="2023-06-21T00:00:00"/>
    <s v="Valid"/>
    <n v="28"/>
    <d v="2023-06-21T00:00:00"/>
    <s v="Americas"/>
    <s v="Americas → USA → Austin"/>
    <s v="USA-2023-05"/>
    <x v="10"/>
    <s v="Austin"/>
    <s v="Small Business"/>
    <s v="Marketplace"/>
    <s v="G. Dubois"/>
    <x v="5"/>
    <s v="MON-6882"/>
    <n v="813.97"/>
    <n v="1568.83"/>
    <s v="Valid"/>
    <n v="1568.83"/>
    <s v="Medium"/>
    <n v="1.7000000000000001E-2"/>
    <s v="Valid"/>
    <n v="1.7000000000000001E-2"/>
    <n v="15"/>
    <n v="23132.398349999996"/>
    <n v="12209.550000000001"/>
    <n v="10922.848349999995"/>
    <n v="0.4721883215364911"/>
    <n v="0"/>
  </r>
  <r>
    <x v="454"/>
    <d v="2024-12-27T00:00:00"/>
    <s v="Dec-2024"/>
    <s v="Q4-2024"/>
    <d v="2024-12-29T00:00:00"/>
    <s v="Valid"/>
    <n v="2"/>
    <d v="2024-12-29T00:00:00"/>
    <s v="Americas"/>
    <s v="Americas → Canada → Vancouver"/>
    <s v="Canada-2024-12"/>
    <x v="3"/>
    <s v="Vancouver"/>
    <s v="Enterprise"/>
    <s v="Marketplace"/>
    <s v="C. Otieno"/>
    <x v="6"/>
    <s v="ACC-8620"/>
    <n v="1146.72"/>
    <n v="2074.34"/>
    <s v="Valid"/>
    <n v="2074.34"/>
    <s v="High"/>
    <n v="0.111"/>
    <s v="Valid"/>
    <n v="0.111"/>
    <n v="8"/>
    <n v="14752.706080000002"/>
    <n v="9173.76"/>
    <n v="5578.9460800000015"/>
    <n v="0.37816425337472737"/>
    <n v="1"/>
  </r>
  <r>
    <x v="455"/>
    <d v="2023-12-05T00:00:00"/>
    <s v="Dec-2023"/>
    <s v="Q4-2023"/>
    <d v="2023-12-12T00:00:00"/>
    <s v="Valid"/>
    <n v="7"/>
    <d v="2023-12-12T00:00:00"/>
    <s v="Americas"/>
    <s v="Americas → Brazil → Brasília"/>
    <s v="Brazil-2023-12"/>
    <x v="5"/>
    <s v="Brasília"/>
    <s v="Corporate"/>
    <s v="Direct"/>
    <s v="F. Müller"/>
    <x v="3"/>
    <s v="PHN-6506"/>
    <n v="307.43"/>
    <n v="495.19"/>
    <s v="Valid"/>
    <n v="495.19"/>
    <s v="Low"/>
    <n v="0"/>
    <s v="Valid"/>
    <n v="0"/>
    <n v="42"/>
    <n v="20797.98"/>
    <n v="12912.06"/>
    <n v="7885.92"/>
    <n v="0.37916759223732305"/>
    <n v="1"/>
  </r>
  <r>
    <x v="456"/>
    <d v="2023-05-02T00:00:00"/>
    <s v="May-2023"/>
    <s v="Q2-2023"/>
    <d v="2023-05-19T00:00:00"/>
    <s v="Valid"/>
    <n v="17"/>
    <d v="2023-05-19T00:00:00"/>
    <s v="Asia"/>
    <s v="Asia → China → Shanghai"/>
    <s v="China-2023-05"/>
    <x v="9"/>
    <s v="Shanghai"/>
    <s v="Non-Profit"/>
    <s v="Direct"/>
    <s v="J. Njeri"/>
    <x v="5"/>
    <s v="MON-5086"/>
    <n v="714.28"/>
    <n v="757.59"/>
    <s v="Valid"/>
    <n v="757.59"/>
    <s v="Medium"/>
    <n v="0.13600000000000001"/>
    <s v="Valid"/>
    <n v="0.13600000000000001"/>
    <n v="12"/>
    <n v="7854.6931199999999"/>
    <n v="8571.36"/>
    <n v="-716.66688000000067"/>
    <n v="-9.1240595787910383E-2"/>
    <n v="0"/>
  </r>
  <r>
    <x v="457"/>
    <d v="2023-11-30T00:00:00"/>
    <s v="Nov-2023"/>
    <s v="Q4-2023"/>
    <d v="2023-12-10T00:00:00"/>
    <s v="Valid"/>
    <n v="10"/>
    <d v="2023-12-10T00:00:00"/>
    <s v="Europe"/>
    <s v="Europe → Germany → Munich"/>
    <s v="Germany-2023-11"/>
    <x v="6"/>
    <s v="Munich"/>
    <s v="Small Business"/>
    <s v="Direct"/>
    <s v="F. Müller"/>
    <x v="4"/>
    <s v="LAP-4899"/>
    <n v="174.74"/>
    <n v="415.96"/>
    <s v="Valid"/>
    <n v="415.96"/>
    <s v="Low"/>
    <n v="0.125"/>
    <s v="Valid"/>
    <n v="0.125"/>
    <n v="21"/>
    <n v="7643.2649999999994"/>
    <n v="3669.54"/>
    <n v="3973.7249999999995"/>
    <n v="0.51989889137691803"/>
    <n v="0"/>
  </r>
  <r>
    <x v="458"/>
    <d v="2024-05-05T00:00:00"/>
    <s v="May-2024"/>
    <s v="Q2-2024"/>
    <d v="2024-05-18T00:00:00"/>
    <s v="Valid"/>
    <n v="13"/>
    <d v="2024-05-18T00:00:00"/>
    <s v="Europe"/>
    <s v="Europe → France → Marseille"/>
    <s v="France-2024-05"/>
    <x v="7"/>
    <s v="Marseille"/>
    <s v="Corporate"/>
    <s v="Marketplace"/>
    <s v="A. Patel"/>
    <x v="0"/>
    <s v="CMP-3313"/>
    <n v="1264.04"/>
    <n v="1870.89"/>
    <s v="Valid"/>
    <n v="1870.89"/>
    <s v="Medium"/>
    <n v="0"/>
    <s v="Valid"/>
    <n v="0"/>
    <n v="13"/>
    <n v="24321.57"/>
    <n v="16432.52"/>
    <n v="7889.0499999999993"/>
    <n v="0.32436433996653996"/>
    <n v="0"/>
  </r>
  <r>
    <x v="459"/>
    <d v="2023-07-09T00:00:00"/>
    <s v="Jul-2023"/>
    <s v="Q3-2023"/>
    <d v="2023-07-19T00:00:00"/>
    <s v="Valid"/>
    <n v="10"/>
    <d v="2023-07-19T00:00:00"/>
    <s v="Asia"/>
    <s v="Asia → Japan → Tokyo"/>
    <s v="Japan-2023-07"/>
    <x v="2"/>
    <s v="Tokyo"/>
    <s v="Enterprise"/>
    <s v="Distributor"/>
    <s v="N. Brown"/>
    <x v="0"/>
    <s v="CMP-6649"/>
    <n v="141.26"/>
    <n v="206.88"/>
    <s v="Valid"/>
    <n v="206.88"/>
    <s v="Low"/>
    <n v="0.107"/>
    <s v="Valid"/>
    <n v="0.107"/>
    <n v="9"/>
    <n v="1662.6945600000001"/>
    <n v="1271.3399999999999"/>
    <n v="391.35456000000022"/>
    <n v="0.23537369365062469"/>
    <n v="0"/>
  </r>
  <r>
    <x v="460"/>
    <d v="2023-05-17T00:00:00"/>
    <s v="May-2023"/>
    <s v="Q2-2023"/>
    <d v="2023-06-15T00:00:00"/>
    <s v="Valid"/>
    <n v="29"/>
    <d v="2023-06-15T00:00:00"/>
    <s v="Africa"/>
    <s v="Africa → South Africa → Durban"/>
    <s v="South Africa-2023-05"/>
    <x v="11"/>
    <s v="Durban"/>
    <s v="Enterprise"/>
    <s v="Retail"/>
    <s v="K. Singh"/>
    <x v="6"/>
    <s v="ACC-5206"/>
    <n v="40.89"/>
    <n v="62.82"/>
    <s v="Valid"/>
    <n v="62.82"/>
    <s v="Low"/>
    <n v="0.129"/>
    <s v="Valid"/>
    <n v="0.129"/>
    <n v="17"/>
    <n v="930.17574000000002"/>
    <n v="695.13"/>
    <n v="235.04574000000002"/>
    <n v="0.25268960465470752"/>
    <n v="0"/>
  </r>
  <r>
    <x v="461"/>
    <d v="2024-03-07T00:00:00"/>
    <s v="Mar-2024"/>
    <s v="Q1-2024"/>
    <d v="2024-04-03T00:00:00"/>
    <s v="Valid"/>
    <n v="27"/>
    <d v="2024-04-03T00:00:00"/>
    <s v="Europe"/>
    <s v="Europe → Germany → Frankfurt"/>
    <s v="Germany-2024-03"/>
    <x v="6"/>
    <s v="Frankfurt"/>
    <s v="Corporate"/>
    <s v="Direct"/>
    <s v="M. Rossi"/>
    <x v="1"/>
    <s v="PRN-6911"/>
    <n v="738.16"/>
    <n v="956.49"/>
    <s v="Valid"/>
    <n v="956.49"/>
    <s v="Medium"/>
    <n v="0.152"/>
    <s v="Valid"/>
    <n v="0.152"/>
    <n v="5"/>
    <n v="4055.5175999999997"/>
    <n v="3690.7999999999997"/>
    <n v="364.71759999999995"/>
    <n v="8.9931208780847108E-2"/>
    <n v="0"/>
  </r>
  <r>
    <x v="462"/>
    <d v="2025-04-10T00:00:00"/>
    <s v="Apr-2025"/>
    <s v="Q2-2025"/>
    <d v="2025-04-19T00:00:00"/>
    <s v="Valid"/>
    <n v="9"/>
    <d v="2025-04-19T00:00:00"/>
    <s v="Africa"/>
    <s v="Africa → South Africa → Durban"/>
    <s v="South Africa-2025-04"/>
    <x v="11"/>
    <s v="Durban"/>
    <s v="Enterprise"/>
    <s v="Unknown"/>
    <s v="G. Dubois"/>
    <x v="2"/>
    <s v="NET-5270"/>
    <n v="113.74"/>
    <n v="165.7"/>
    <s v="Valid"/>
    <n v="165.7"/>
    <s v="Low"/>
    <n v="0.124"/>
    <s v="Valid"/>
    <n v="0.124"/>
    <n v="13"/>
    <n v="1886.9915999999998"/>
    <n v="1478.62"/>
    <n v="408.37159999999994"/>
    <n v="0.21641410592394794"/>
    <n v="0"/>
  </r>
  <r>
    <x v="463"/>
    <d v="2025-07-27T00:00:00"/>
    <s v="Jul-2025"/>
    <s v="Q3-2025"/>
    <d v="2025-08-15T00:00:00"/>
    <s v="Valid"/>
    <n v="19"/>
    <d v="2025-08-15T00:00:00"/>
    <s v="Asia"/>
    <s v="Asia → Japan → Tokyo"/>
    <s v="Japan-2025-07"/>
    <x v="2"/>
    <s v="Tokyo"/>
    <s v="Small Business"/>
    <s v="Marketplace"/>
    <s v="J. Njeri"/>
    <x v="0"/>
    <s v="CMP-5658"/>
    <n v="275.43"/>
    <n v="608.36"/>
    <s v="Valid"/>
    <n v="608.36"/>
    <s v="Low"/>
    <n v="0.25700000000000001"/>
    <s v="Valid"/>
    <n v="0.25700000000000001"/>
    <n v="4"/>
    <n v="1808.04592"/>
    <n v="1101.72"/>
    <n v="706.32592"/>
    <n v="0.39065706915231446"/>
    <n v="0"/>
  </r>
  <r>
    <x v="464"/>
    <d v="2024-11-22T00:00:00"/>
    <s v="Nov-2024"/>
    <s v="Q4-2024"/>
    <d v="2024-12-15T00:00:00"/>
    <s v="Valid"/>
    <n v="23"/>
    <d v="2024-12-15T00:00:00"/>
    <s v="Africa"/>
    <s v="Africa → Kenya → Mombasa"/>
    <s v="Kenya-2024-11"/>
    <x v="0"/>
    <s v="Mombasa"/>
    <s v="Non-Profit"/>
    <s v="Distributor"/>
    <s v="C. Otieno"/>
    <x v="0"/>
    <s v="CMP-3938"/>
    <n v="1335.76"/>
    <n v="2665.91"/>
    <s v="Valid"/>
    <n v="2665.91"/>
    <s v="High"/>
    <n v="0.21099999999999999"/>
    <s v="Valid"/>
    <n v="0.21099999999999999"/>
    <n v="40"/>
    <n v="84136.119600000005"/>
    <n v="53430.400000000001"/>
    <n v="30705.719600000004"/>
    <n v="0.36495288522909253"/>
    <n v="0"/>
  </r>
  <r>
    <x v="465"/>
    <d v="2024-06-23T00:00:00"/>
    <s v="Jun-2024"/>
    <s v="Q2-2024"/>
    <d v="2024-06-28T00:00:00"/>
    <s v="Valid"/>
    <n v="5"/>
    <d v="2024-06-28T00:00:00"/>
    <s v="Africa"/>
    <s v="Africa → Nigeria → Port Harcourt"/>
    <s v="Nigeria-2024-06"/>
    <x v="1"/>
    <s v="Port Harcourt"/>
    <s v="Non-Profit"/>
    <s v="Direct"/>
    <s v="M. Rossi"/>
    <x v="6"/>
    <s v="ACC-7671"/>
    <n v="242.31"/>
    <n v="587.95000000000005"/>
    <s v="Valid"/>
    <n v="587.95000000000005"/>
    <s v="Low"/>
    <n v="0.22900000000000001"/>
    <s v="Valid"/>
    <n v="0.22900000000000001"/>
    <n v="6"/>
    <n v="2719.8567000000003"/>
    <n v="1453.8600000000001"/>
    <n v="1265.9967000000001"/>
    <n v="0.46546448568411714"/>
    <n v="1"/>
  </r>
  <r>
    <x v="466"/>
    <d v="2023-12-18T00:00:00"/>
    <s v="Dec-2023"/>
    <s v="Q4-2023"/>
    <d v="2024-01-14T00:00:00"/>
    <s v="Valid"/>
    <n v="27"/>
    <d v="2024-01-14T00:00:00"/>
    <s v="Asia"/>
    <s v="Asia → India → Mumbai"/>
    <s v="India-2023-12"/>
    <x v="4"/>
    <s v="Mumbai"/>
    <s v="Consumer"/>
    <s v="Distributor"/>
    <s v="D. Smith"/>
    <x v="2"/>
    <s v="NET-6014"/>
    <n v="1408.3"/>
    <n v="2193.13"/>
    <s v="Valid"/>
    <n v="2193.13"/>
    <s v="High"/>
    <n v="7.0999999999999994E-2"/>
    <s v="Valid"/>
    <n v="7.0999999999999994E-2"/>
    <n v="7"/>
    <n v="14261.92439"/>
    <n v="9858.1"/>
    <n v="4403.8243899999998"/>
    <n v="0.30878191957656281"/>
    <n v="0"/>
  </r>
  <r>
    <x v="467"/>
    <d v="2025-06-01T00:00:00"/>
    <s v="Jun-2025"/>
    <s v="Q2-2025"/>
    <d v="2025-06-05T00:00:00"/>
    <s v="Valid"/>
    <n v="4"/>
    <d v="2025-06-05T00:00:00"/>
    <s v="Europe"/>
    <s v="Europe → Germany → Munich"/>
    <s v="Germany-2025-06"/>
    <x v="6"/>
    <s v="Munich"/>
    <s v="Enterprise"/>
    <s v="Direct"/>
    <s v="M. Rossi"/>
    <x v="0"/>
    <s v="CMP-4159"/>
    <n v="1171.42"/>
    <n v="2187.8000000000002"/>
    <s v="Valid"/>
    <n v="2187.8000000000002"/>
    <s v="High"/>
    <n v="0.23"/>
    <s v="Valid"/>
    <n v="0.23"/>
    <n v="15"/>
    <n v="25269.09"/>
    <n v="17571.300000000003"/>
    <n v="7697.7899999999972"/>
    <n v="0.30463265594447592"/>
    <n v="1"/>
  </r>
  <r>
    <x v="468"/>
    <d v="2025-03-23T00:00:00"/>
    <s v="Mar-2025"/>
    <s v="Q1-2025"/>
    <d v="2025-04-02T00:00:00"/>
    <s v="Valid"/>
    <n v="10"/>
    <d v="2025-04-02T00:00:00"/>
    <s v="Europe"/>
    <s v="Europe → Germany → Berlin"/>
    <s v="Germany-2025-03"/>
    <x v="6"/>
    <s v="Berlin"/>
    <s v="Enterprise"/>
    <s v="Online"/>
    <s v="E. Garcia"/>
    <x v="1"/>
    <s v="PRN-3159"/>
    <n v="663.61"/>
    <n v="1002.11"/>
    <s v="Valid"/>
    <n v="1002.11"/>
    <s v="Medium"/>
    <n v="4.5999999999999999E-2"/>
    <s v="Valid"/>
    <n v="4.5999999999999999E-2"/>
    <n v="17"/>
    <n v="16252.219979999998"/>
    <n v="11281.37"/>
    <n v="4970.8499799999972"/>
    <n v="0.30585667595670812"/>
    <n v="0"/>
  </r>
  <r>
    <x v="469"/>
    <d v="2023-05-14T00:00:00"/>
    <s v="May-2023"/>
    <s v="Q2-2023"/>
    <d v="2023-05-22T00:00:00"/>
    <s v="Valid"/>
    <n v="8"/>
    <d v="2023-05-22T00:00:00"/>
    <s v="Africa"/>
    <s v="Africa → Kenya → Mombasa"/>
    <s v="Kenya-2023-05"/>
    <x v="0"/>
    <s v="Mombasa"/>
    <s v="Small Business"/>
    <s v="Distributor"/>
    <s v="F. Müller"/>
    <x v="1"/>
    <s v="PRN-9488"/>
    <n v="432.01"/>
    <n v="913.78"/>
    <s v="Valid"/>
    <n v="913.78"/>
    <s v="Medium"/>
    <n v="4.9000000000000002E-2"/>
    <s v="Valid"/>
    <n v="4.9000000000000002E-2"/>
    <n v="12"/>
    <n v="10428.057360000001"/>
    <n v="5184.12"/>
    <n v="5243.9373600000008"/>
    <n v="0.50286809699711899"/>
    <n v="0"/>
  </r>
  <r>
    <x v="470"/>
    <d v="2023-08-29T00:00:00"/>
    <s v="Aug-2023"/>
    <s v="Q3-2023"/>
    <d v="2023-09-19T00:00:00"/>
    <s v="Valid"/>
    <n v="21"/>
    <d v="2023-09-19T00:00:00"/>
    <s v="Europe"/>
    <s v="Europe → France → Lyon"/>
    <s v="France-2023-08"/>
    <x v="7"/>
    <s v="Lyon"/>
    <s v="Small Business"/>
    <s v="Direct"/>
    <s v="B. Chen"/>
    <x v="1"/>
    <s v="PRN-7079"/>
    <n v="784.46"/>
    <n v="1843.51"/>
    <s v="Valid"/>
    <n v="1843.51"/>
    <s v="Medium"/>
    <n v="0.13800000000000001"/>
    <s v="Valid"/>
    <n v="0.13800000000000001"/>
    <n v="23"/>
    <n v="36549.429260000004"/>
    <n v="18042.580000000002"/>
    <n v="18506.849260000003"/>
    <n v="0.50635125184441798"/>
    <n v="0"/>
  </r>
  <r>
    <x v="471"/>
    <d v="2025-07-03T00:00:00"/>
    <s v="Jul-2025"/>
    <s v="Q3-2025"/>
    <d v="2025-07-23T00:00:00"/>
    <s v="Valid"/>
    <n v="20"/>
    <d v="2025-07-23T00:00:00"/>
    <s v="Asia"/>
    <s v="Asia → China → Beijing"/>
    <s v="China-2025-07"/>
    <x v="9"/>
    <s v="Beijing"/>
    <s v="Small Business"/>
    <s v="Online"/>
    <s v="M. Rossi"/>
    <x v="0"/>
    <s v="CMP-1220"/>
    <n v="647.36"/>
    <n v="1383.6"/>
    <s v="Valid"/>
    <n v="1383.6"/>
    <s v="Medium"/>
    <n v="7.3999999999999996E-2"/>
    <s v="Valid"/>
    <n v="7.3999999999999996E-2"/>
    <n v="12"/>
    <n v="15374.563199999999"/>
    <n v="7768.32"/>
    <n v="7606.243199999999"/>
    <n v="0.49472906000997802"/>
    <n v="0"/>
  </r>
  <r>
    <x v="472"/>
    <d v="2024-02-06T00:00:00"/>
    <s v="Feb-2024"/>
    <s v="Q1-2024"/>
    <d v="2024-02-28T00:00:00"/>
    <s v="Valid"/>
    <n v="22"/>
    <d v="2024-02-28T00:00:00"/>
    <s v="Africa"/>
    <s v="Africa → Kenya → Kisumu"/>
    <s v="Kenya-2024-02"/>
    <x v="0"/>
    <s v="Kisumu"/>
    <s v="Non-Profit"/>
    <s v="Online"/>
    <s v="K. Singh"/>
    <x v="5"/>
    <s v="MON-2462"/>
    <n v="834.93"/>
    <n v="1588.53"/>
    <s v="Valid"/>
    <n v="1588.53"/>
    <s v="Medium"/>
    <n v="0.126"/>
    <s v="Valid"/>
    <n v="0.126"/>
    <n v="6"/>
    <n v="8330.2513199999994"/>
    <n v="5009.58"/>
    <n v="3320.6713199999995"/>
    <n v="0.39862798761274343"/>
    <n v="0"/>
  </r>
  <r>
    <x v="473"/>
    <d v="2025-08-13T00:00:00"/>
    <s v="Aug-2025"/>
    <s v="Q3-2025"/>
    <d v="2025-09-03T00:00:00"/>
    <s v="Valid"/>
    <n v="21"/>
    <d v="2025-09-03T00:00:00"/>
    <s v="Europe"/>
    <s v="Europe → France → Paris"/>
    <s v="France-2025-08"/>
    <x v="7"/>
    <s v="Paris"/>
    <s v="Education"/>
    <s v="Retail"/>
    <s v="I. Johnson"/>
    <x v="3"/>
    <s v="PHN-9465"/>
    <n v="603.47"/>
    <n v="1344.05"/>
    <s v="Valid"/>
    <n v="1344.05"/>
    <s v="Medium"/>
    <n v="0.20499999999999999"/>
    <s v="Valid"/>
    <n v="0.20499999999999999"/>
    <n v="18"/>
    <n v="19233.355499999998"/>
    <n v="10862.460000000001"/>
    <n v="8370.8954999999969"/>
    <n v="0.43522803392262976"/>
    <n v="0"/>
  </r>
  <r>
    <x v="474"/>
    <d v="2023-05-23T00:00:00"/>
    <s v="May-2023"/>
    <s v="Q2-2023"/>
    <d v="2023-05-25T00:00:00"/>
    <s v="Valid"/>
    <n v="2"/>
    <d v="2023-05-25T00:00:00"/>
    <s v="Americas"/>
    <s v="Americas → Brazil → Rio de Janeiro"/>
    <s v="Brazil-2023-05"/>
    <x v="5"/>
    <s v="Rio de Janeiro"/>
    <s v="Enterprise"/>
    <s v="Retail"/>
    <s v="M. Rossi"/>
    <x v="1"/>
    <s v="PRN-1271"/>
    <n v="690.49"/>
    <n v="1290.29"/>
    <s v="Valid"/>
    <n v="1290.29"/>
    <s v="Medium"/>
    <n v="4.2000000000000003E-2"/>
    <s v="Valid"/>
    <n v="4.2000000000000003E-2"/>
    <n v="22"/>
    <n v="27194.152039999997"/>
    <n v="15190.78"/>
    <n v="12003.372039999997"/>
    <n v="0.44139534199647718"/>
    <n v="1"/>
  </r>
  <r>
    <x v="475"/>
    <d v="2024-05-10T00:00:00"/>
    <s v="May-2024"/>
    <s v="Q2-2024"/>
    <d v="2024-05-16T00:00:00"/>
    <s v="Valid"/>
    <n v="6"/>
    <d v="2024-05-16T00:00:00"/>
    <s v="Europe"/>
    <s v="Europe → United Kingdom → Birmingham"/>
    <s v="United Kingdom-2024-05"/>
    <x v="8"/>
    <s v="Birmingham"/>
    <s v="Non-Profit"/>
    <s v="Direct"/>
    <s v="G. Dubois"/>
    <x v="4"/>
    <s v="LAP-1066"/>
    <n v="210.76"/>
    <n v="221.58"/>
    <s v="Valid"/>
    <n v="221.58"/>
    <s v="Low"/>
    <n v="8.8999999999999996E-2"/>
    <s v="Valid"/>
    <n v="8.8999999999999996E-2"/>
    <n v="5"/>
    <n v="1009.2969000000002"/>
    <n v="1053.8"/>
    <n v="-44.50309999999979"/>
    <n v="-4.4093170205912434E-2"/>
    <n v="1"/>
  </r>
  <r>
    <x v="476"/>
    <d v="2023-03-14T00:00:00"/>
    <s v="Mar-2023"/>
    <s v="Q1-2023"/>
    <d v="2023-03-18T00:00:00"/>
    <s v="Valid"/>
    <n v="4"/>
    <d v="2023-03-18T00:00:00"/>
    <s v="Europe"/>
    <s v="Europe → Germany → Frankfurt"/>
    <s v="Germany-2023-03"/>
    <x v="6"/>
    <s v="Frankfurt"/>
    <s v="Enterprise"/>
    <s v="Direct"/>
    <s v="A. Patel"/>
    <x v="0"/>
    <s v="CMP-8675"/>
    <n v="472.33"/>
    <n v="360.34"/>
    <s v="Valid"/>
    <n v="360.34"/>
    <s v="Low"/>
    <n v="0.16500000000000001"/>
    <s v="Valid"/>
    <n v="0.16500000000000001"/>
    <n v="14"/>
    <n v="4212.3745999999992"/>
    <n v="6612.62"/>
    <n v="-2400.2454000000007"/>
    <n v="-0.56980815523861561"/>
    <n v="1"/>
  </r>
  <r>
    <x v="477"/>
    <d v="2023-07-16T00:00:00"/>
    <s v="Jul-2023"/>
    <s v="Q3-2023"/>
    <d v="2023-08-13T00:00:00"/>
    <s v="Valid"/>
    <n v="28"/>
    <d v="2023-08-13T00:00:00"/>
    <s v="Europe"/>
    <s v="Europe → United Kingdom → Manchester"/>
    <s v="United Kingdom-2023-07"/>
    <x v="8"/>
    <s v="Manchester"/>
    <s v="Non-Profit"/>
    <s v="Online"/>
    <s v="J. Njeri"/>
    <x v="4"/>
    <s v="LAP-1178"/>
    <n v="1039.03"/>
    <n v="2545.81"/>
    <s v="Valid"/>
    <n v="2545.81"/>
    <s v="High"/>
    <n v="0.216"/>
    <s v="Valid"/>
    <n v="0.216"/>
    <n v="21"/>
    <n v="41914.215840000004"/>
    <n v="21819.63"/>
    <n v="20094.585840000003"/>
    <n v="0.47942172929364774"/>
    <n v="0"/>
  </r>
  <r>
    <x v="478"/>
    <d v="2023-04-16T00:00:00"/>
    <s v="Apr-2023"/>
    <s v="Q2-2023"/>
    <d v="2023-04-19T00:00:00"/>
    <s v="Valid"/>
    <n v="3"/>
    <d v="2023-04-19T00:00:00"/>
    <s v="Europe"/>
    <s v="Europe → Germany → Munich"/>
    <s v="Germany-2023-04"/>
    <x v="6"/>
    <s v="Munich"/>
    <s v="Corporate"/>
    <s v="Direct"/>
    <s v="B. Chen"/>
    <x v="6"/>
    <s v="ACC-1731"/>
    <n v="553.61"/>
    <n v="699.47"/>
    <s v="Valid"/>
    <n v="699.47"/>
    <s v="Medium"/>
    <n v="0.02"/>
    <s v="Valid"/>
    <n v="0.02"/>
    <n v="33"/>
    <n v="22620.859800000002"/>
    <n v="18269.13"/>
    <n v="4351.729800000001"/>
    <n v="0.19237685209472014"/>
    <n v="1"/>
  </r>
  <r>
    <x v="479"/>
    <d v="2024-01-02T00:00:00"/>
    <s v="Jan-2024"/>
    <s v="Q1-2024"/>
    <d v="2024-01-15T00:00:00"/>
    <s v="Valid"/>
    <n v="13"/>
    <d v="2024-01-15T00:00:00"/>
    <s v="Asia"/>
    <s v="Asia → Japan → Nagoya"/>
    <s v="Japan-2024-01"/>
    <x v="2"/>
    <s v="Nagoya"/>
    <s v="Small Business"/>
    <s v="Marketplace"/>
    <s v="G. Dubois"/>
    <x v="2"/>
    <s v="NET-1893"/>
    <n v="1219.06"/>
    <n v="2738.69"/>
    <s v="Valid"/>
    <n v="2738.69"/>
    <s v="High"/>
    <n v="7.5999999999999998E-2"/>
    <s v="Valid"/>
    <n v="7.5999999999999998E-2"/>
    <n v="16"/>
    <n v="40488.792960000006"/>
    <n v="19504.96"/>
    <n v="20983.832960000007"/>
    <n v="0.51826274447673737"/>
    <n v="0"/>
  </r>
  <r>
    <x v="480"/>
    <d v="2024-09-03T00:00:00"/>
    <s v="Sep-2024"/>
    <s v="Q3-2024"/>
    <d v="2024-09-07T00:00:00"/>
    <s v="Valid"/>
    <n v="4"/>
    <d v="2024-09-07T00:00:00"/>
    <s v="Asia"/>
    <s v="Asia → Japan → Tokyo"/>
    <s v="Japan-2024-09"/>
    <x v="2"/>
    <s v="Tokyo"/>
    <s v="Small Business"/>
    <s v="Distributor"/>
    <s v="N. Brown"/>
    <x v="1"/>
    <s v="PRN-3917"/>
    <n v="43.23"/>
    <n v="94.78"/>
    <s v="Valid"/>
    <n v="94.78"/>
    <s v="Low"/>
    <n v="9.0999999999999998E-2"/>
    <s v="Valid"/>
    <n v="9.0999999999999998E-2"/>
    <n v="55"/>
    <n v="4738.5261"/>
    <n v="2377.6499999999996"/>
    <n v="2360.8761000000004"/>
    <n v="0.49823005090127082"/>
    <n v="1"/>
  </r>
  <r>
    <x v="481"/>
    <d v="2025-08-30T00:00:00"/>
    <s v="Aug-2025"/>
    <s v="Q3-2025"/>
    <d v="2025-09-03T00:00:00"/>
    <s v="Valid"/>
    <n v="4"/>
    <d v="2025-09-03T00:00:00"/>
    <s v="Europe"/>
    <s v="Europe → France → Marseille"/>
    <s v="France-2025-08"/>
    <x v="7"/>
    <s v="Marseille"/>
    <s v="Small Business"/>
    <s v="Marketplace"/>
    <s v="J. Njeri"/>
    <x v="4"/>
    <s v="LAP-3220"/>
    <n v="1286.56"/>
    <n v="2777.35"/>
    <s v="Valid"/>
    <n v="2777.35"/>
    <s v="High"/>
    <n v="0.13200000000000001"/>
    <s v="Valid"/>
    <n v="0.13200000000000001"/>
    <n v="15"/>
    <n v="36161.097000000002"/>
    <n v="19298.399999999998"/>
    <n v="16862.697000000004"/>
    <n v="0.46632150014696744"/>
    <n v="1"/>
  </r>
  <r>
    <x v="482"/>
    <d v="2025-04-28T00:00:00"/>
    <s v="Apr-2025"/>
    <s v="Q2-2025"/>
    <d v="2025-05-19T00:00:00"/>
    <s v="Valid"/>
    <n v="21"/>
    <d v="2025-05-19T00:00:00"/>
    <s v="Europe"/>
    <s v="Europe → Germany → Berlin"/>
    <s v="Germany-2025-04"/>
    <x v="6"/>
    <s v="Berlin"/>
    <s v="Corporate"/>
    <s v="Distributor"/>
    <s v="B. Chen"/>
    <x v="3"/>
    <s v="PHN-2462"/>
    <n v="350.76"/>
    <n v="492.18"/>
    <s v="Valid"/>
    <n v="492.18"/>
    <s v="Low"/>
    <n v="5.2999999999999999E-2"/>
    <s v="Valid"/>
    <n v="5.2999999999999999E-2"/>
    <n v="11"/>
    <n v="5127.0390600000001"/>
    <n v="3858.3599999999997"/>
    <n v="1268.6790600000004"/>
    <n v="0.24744868239798437"/>
    <n v="0"/>
  </r>
  <r>
    <x v="483"/>
    <d v="2023-08-10T00:00:00"/>
    <s v="Aug-2023"/>
    <s v="Q3-2023"/>
    <d v="2023-08-15T00:00:00"/>
    <s v="Valid"/>
    <n v="5"/>
    <d v="2023-08-15T00:00:00"/>
    <s v="Americas"/>
    <s v="Americas → Brazil → São Paulo"/>
    <s v="Brazil-2023-08"/>
    <x v="5"/>
    <s v="São Paulo"/>
    <s v="Education"/>
    <s v="Direct"/>
    <s v="G. Dubois"/>
    <x v="2"/>
    <s v="NET-2894"/>
    <n v="1307.52"/>
    <n v="1921.65"/>
    <s v="Valid"/>
    <n v="1921.65"/>
    <s v="High"/>
    <n v="0.123"/>
    <s v="Valid"/>
    <n v="0.123"/>
    <n v="13"/>
    <n v="21908.731650000002"/>
    <n v="16997.759999999998"/>
    <n v="4910.9716500000031"/>
    <n v="0.22415590863289445"/>
    <n v="1"/>
  </r>
  <r>
    <x v="484"/>
    <d v="2024-12-08T00:00:00"/>
    <s v="Dec-2024"/>
    <s v="Q4-2024"/>
    <d v="2024-12-08T00:00:00"/>
    <s v="Valid"/>
    <n v="0"/>
    <d v="2024-12-08T00:00:00"/>
    <s v="Europe"/>
    <s v="Europe → France → Lyon"/>
    <s v="France-2024-12"/>
    <x v="7"/>
    <s v="Lyon"/>
    <s v="Enterprise"/>
    <s v="Retail"/>
    <s v="H. Kim"/>
    <x v="0"/>
    <s v="CMP-2335"/>
    <n v="257.44"/>
    <n v="290.33"/>
    <s v="Valid"/>
    <n v="290.33"/>
    <s v="Low"/>
    <n v="9.1999999999999998E-2"/>
    <s v="Valid"/>
    <n v="9.1999999999999998E-2"/>
    <n v="23"/>
    <n v="6063.2517199999993"/>
    <n v="5921.12"/>
    <n v="142.1317199999994"/>
    <n v="2.3441500792581216E-2"/>
    <n v="1"/>
  </r>
  <r>
    <x v="485"/>
    <d v="2023-10-25T00:00:00"/>
    <s v="Oct-2023"/>
    <s v="Q4-2023"/>
    <d v="2023-11-24T00:00:00"/>
    <s v="Valid"/>
    <n v="30"/>
    <d v="2023-11-24T00:00:00"/>
    <s v="Europe"/>
    <s v="Europe → France → Paris"/>
    <s v="France-2023-10"/>
    <x v="7"/>
    <s v="Paris"/>
    <s v="Enterprise"/>
    <s v="Distributor"/>
    <s v="C. Otieno"/>
    <x v="3"/>
    <s v="PHN-5938"/>
    <n v="287.85000000000002"/>
    <n v="602.91999999999996"/>
    <s v="Valid"/>
    <n v="602.91999999999996"/>
    <s v="Low"/>
    <n v="0.222"/>
    <s v="Valid"/>
    <n v="0.222"/>
    <n v="11"/>
    <n v="5159.7893599999998"/>
    <n v="3166.3500000000004"/>
    <n v="1993.4393599999994"/>
    <n v="0.38634122847216373"/>
    <n v="0"/>
  </r>
  <r>
    <x v="486"/>
    <d v="2024-11-17T00:00:00"/>
    <s v="Nov-2024"/>
    <s v="Q4-2024"/>
    <d v="2024-11-28T00:00:00"/>
    <s v="Valid"/>
    <n v="11"/>
    <d v="2024-11-28T00:00:00"/>
    <s v="Americas"/>
    <s v="Americas → Canada → unknown"/>
    <s v="Canada-2024-11"/>
    <x v="3"/>
    <s v="unknown"/>
    <s v="Consumer"/>
    <s v="Distributor"/>
    <s v="A. Patel"/>
    <x v="1"/>
    <s v="PRN-1371"/>
    <n v="1008.16"/>
    <n v="2077.5"/>
    <s v="Valid"/>
    <n v="2077.5"/>
    <s v="High"/>
    <n v="7.3999999999999996E-2"/>
    <s v="Valid"/>
    <n v="7.3999999999999996E-2"/>
    <n v="15"/>
    <n v="28856.475000000002"/>
    <n v="15122.4"/>
    <n v="13734.075000000003"/>
    <n v="0.47594430712691005"/>
    <n v="0"/>
  </r>
  <r>
    <x v="487"/>
    <d v="2024-05-12T00:00:00"/>
    <s v="May-2024"/>
    <s v="Q2-2024"/>
    <d v="2024-05-24T00:00:00"/>
    <s v="Valid"/>
    <n v="12"/>
    <d v="2024-05-24T00:00:00"/>
    <s v="Europe"/>
    <s v="Europe → United Kingdom → Manchester"/>
    <s v="United Kingdom-2024-05"/>
    <x v="8"/>
    <s v="Manchester"/>
    <s v="Education"/>
    <s v="Marketplace"/>
    <s v="K. Singh"/>
    <x v="1"/>
    <s v="PRN-5813"/>
    <n v="111.02"/>
    <n v="172.88"/>
    <s v="Valid"/>
    <n v="172.88"/>
    <s v="Low"/>
    <n v="0.19700000000000001"/>
    <s v="Valid"/>
    <n v="0.19700000000000001"/>
    <n v="29"/>
    <n v="4025.8565599999993"/>
    <n v="3219.58"/>
    <n v="806.27655999999934"/>
    <n v="0.20027453735212053"/>
    <n v="0"/>
  </r>
  <r>
    <x v="488"/>
    <d v="2025-05-15T00:00:00"/>
    <s v="May-2025"/>
    <s v="Q2-2025"/>
    <d v="2025-06-05T00:00:00"/>
    <s v="Valid"/>
    <n v="21"/>
    <d v="2025-06-05T00:00:00"/>
    <s v="Asia"/>
    <s v="Asia → Japan → Osaka"/>
    <s v="Japan-2025-05"/>
    <x v="2"/>
    <s v="Osaka"/>
    <s v="Enterprise"/>
    <s v="Direct"/>
    <s v="H. Kim"/>
    <x v="3"/>
    <s v="PHN-6480"/>
    <n v="1466.5"/>
    <n v="2778.74"/>
    <s v="Valid"/>
    <n v="2778.74"/>
    <s v="High"/>
    <n v="0.13500000000000001"/>
    <s v="Valid"/>
    <n v="0.13500000000000001"/>
    <n v="4"/>
    <n v="9614.4403999999995"/>
    <n v="5866"/>
    <n v="3748.4403999999995"/>
    <n v="0.38987608680792279"/>
    <n v="0"/>
  </r>
  <r>
    <x v="489"/>
    <d v="2024-04-21T00:00:00"/>
    <s v="Apr-2024"/>
    <s v="Q2-2024"/>
    <d v="2024-05-19T00:00:00"/>
    <s v="Valid"/>
    <n v="28"/>
    <d v="2024-05-19T00:00:00"/>
    <s v="Africa"/>
    <s v="Africa → Nigeria → Lagos"/>
    <s v="Nigeria-2024-04"/>
    <x v="1"/>
    <s v="Lagos"/>
    <s v="Corporate"/>
    <s v="Distributor"/>
    <s v="A. Patel"/>
    <x v="6"/>
    <s v="ACC-2990"/>
    <n v="187.22"/>
    <n v="309.47000000000003"/>
    <s v="Valid"/>
    <n v="309.47000000000003"/>
    <s v="Low"/>
    <n v="0"/>
    <s v="Valid"/>
    <n v="0"/>
    <n v="5"/>
    <n v="1547.3500000000001"/>
    <n v="936.1"/>
    <n v="611.25000000000011"/>
    <n v="0.39503021294471197"/>
    <n v="0"/>
  </r>
  <r>
    <x v="490"/>
    <d v="2024-08-19T00:00:00"/>
    <s v="Aug-2024"/>
    <s v="Q3-2024"/>
    <d v="2024-09-07T00:00:00"/>
    <s v="Valid"/>
    <n v="19"/>
    <d v="2024-09-07T00:00:00"/>
    <s v="Europe"/>
    <s v="Europe → France → Lyon"/>
    <s v="France-2024-08"/>
    <x v="7"/>
    <s v="Lyon"/>
    <s v="Corporate"/>
    <s v="Direct"/>
    <s v="J. Njeri"/>
    <x v="0"/>
    <s v="CMP-5435"/>
    <n v="297.58999999999997"/>
    <n v="666.41"/>
    <s v="Valid"/>
    <n v="666.41"/>
    <s v="Medium"/>
    <n v="0"/>
    <s v="Valid"/>
    <n v="0"/>
    <n v="10"/>
    <n v="6664.0999999999995"/>
    <n v="2975.8999999999996"/>
    <n v="3688.2"/>
    <n v="0.55344307558409989"/>
    <n v="0"/>
  </r>
  <r>
    <x v="491"/>
    <d v="2025-07-23T00:00:00"/>
    <s v="Jul-2025"/>
    <s v="Q3-2025"/>
    <d v="2025-08-19T00:00:00"/>
    <s v="Valid"/>
    <n v="27"/>
    <d v="2025-08-19T00:00:00"/>
    <s v="Asia"/>
    <s v="Asia → Japan → Nagoya"/>
    <s v="Japan-2025-07"/>
    <x v="2"/>
    <s v="Nagoya"/>
    <s v="Consumer"/>
    <s v="Marketplace"/>
    <s v="B. Chen"/>
    <x v="6"/>
    <s v="ACC-1596"/>
    <n v="896.09"/>
    <n v="744.27"/>
    <s v="Valid"/>
    <n v="744.27"/>
    <s v="Medium"/>
    <n v="8.3000000000000004E-2"/>
    <s v="Valid"/>
    <n v="8.3000000000000004E-2"/>
    <n v="11"/>
    <n v="7507.4514899999995"/>
    <n v="9856.99"/>
    <n v="-2349.5385100000003"/>
    <n v="-0.31296086469950679"/>
    <n v="0"/>
  </r>
  <r>
    <x v="492"/>
    <d v="2024-03-01T00:00:00"/>
    <s v="Mar-2024"/>
    <s v="Q1-2024"/>
    <d v="2024-02-29T00:00:00"/>
    <s v="Invalid RequiredDate"/>
    <n v="-1"/>
    <d v="2024-03-27T00:00:00"/>
    <s v="Americas"/>
    <s v="Americas → Brazil → São Paulo"/>
    <s v="Brazil-2024-03"/>
    <x v="5"/>
    <s v="São Paulo"/>
    <s v="Non-Profit"/>
    <s v="Direct"/>
    <s v="I. Johnson"/>
    <x v="3"/>
    <s v="PHN-7852"/>
    <n v="5.34"/>
    <n v="12.69"/>
    <s v="Valid"/>
    <n v="12.69"/>
    <s v="Low"/>
    <n v="0.13200000000000001"/>
    <s v="Valid"/>
    <n v="0.13200000000000001"/>
    <n v="10"/>
    <n v="110.14919999999999"/>
    <n v="53.4"/>
    <n v="56.749199999999995"/>
    <n v="0.51520301554618642"/>
    <n v="1"/>
  </r>
  <r>
    <x v="493"/>
    <d v="2024-05-27T00:00:00"/>
    <s v="May-2024"/>
    <s v="Q2-2024"/>
    <d v="2024-06-17T00:00:00"/>
    <s v="Valid"/>
    <n v="21"/>
    <d v="2024-06-17T00:00:00"/>
    <s v="Asia"/>
    <s v="Asia → India → Delhi"/>
    <s v="India-2024-05"/>
    <x v="4"/>
    <s v="Delhi"/>
    <s v="Small Business"/>
    <s v="Online"/>
    <s v="H. Kim"/>
    <x v="6"/>
    <s v="ACC-7240"/>
    <n v="465.02"/>
    <n v="651.55999999999995"/>
    <s v="Valid"/>
    <n v="651.55999999999995"/>
    <s v="Medium"/>
    <n v="4.2000000000000003E-2"/>
    <s v="Valid"/>
    <n v="4.2000000000000003E-2"/>
    <n v="19"/>
    <n v="11859.695119999998"/>
    <n v="8835.3799999999992"/>
    <n v="3024.3151199999993"/>
    <n v="0.25500783025187918"/>
    <n v="0"/>
  </r>
  <r>
    <x v="494"/>
    <d v="2024-08-04T00:00:00"/>
    <s v="Aug-2024"/>
    <s v="Q3-2024"/>
    <d v="2024-08-17T00:00:00"/>
    <s v="Valid"/>
    <n v="13"/>
    <d v="2024-08-17T00:00:00"/>
    <s v="Americas"/>
    <s v="Americas → USA → Austin"/>
    <s v="USA-2024-08"/>
    <x v="10"/>
    <s v="Austin"/>
    <s v="Consumer"/>
    <s v="Retail"/>
    <s v="D. Smith"/>
    <x v="5"/>
    <s v="MON-8867"/>
    <n v="352.79"/>
    <n v="754.22"/>
    <s v="Valid"/>
    <n v="754.22"/>
    <s v="Medium"/>
    <n v="0.113"/>
    <s v="Valid"/>
    <n v="0.113"/>
    <n v="7"/>
    <n v="4682.9519799999998"/>
    <n v="2469.5300000000002"/>
    <n v="2213.4219799999996"/>
    <n v="0.47265528014233443"/>
    <n v="0"/>
  </r>
  <r>
    <x v="495"/>
    <d v="2023-06-20T00:00:00"/>
    <s v="Jun-2023"/>
    <s v="Q2-2023"/>
    <d v="2023-07-04T00:00:00"/>
    <s v="Valid"/>
    <n v="14"/>
    <d v="2023-07-04T00:00:00"/>
    <s v="Americas"/>
    <s v="Americas → Brazil → Brasília"/>
    <s v="Brazil-2023-06"/>
    <x v="5"/>
    <s v="Brasília"/>
    <s v="Non-Profit"/>
    <s v="Direct"/>
    <s v="C. Otieno"/>
    <x v="2"/>
    <s v="NET-1228"/>
    <n v="1292.8599999999999"/>
    <n v="2981.01"/>
    <s v="Valid"/>
    <n v="2981.01"/>
    <s v="High"/>
    <n v="0.14199999999999999"/>
    <s v="Valid"/>
    <n v="0.14199999999999999"/>
    <n v="12"/>
    <n v="30692.47896"/>
    <n v="15514.32"/>
    <n v="15178.158960000001"/>
    <n v="0.49452372288927687"/>
    <n v="0"/>
  </r>
  <r>
    <x v="496"/>
    <d v="2024-09-09T00:00:00"/>
    <s v="Sep-2024"/>
    <s v="Q3-2024"/>
    <d v="2024-09-13T00:00:00"/>
    <s v="Valid"/>
    <n v="4"/>
    <d v="2024-09-13T00:00:00"/>
    <s v="Europe"/>
    <s v="Europe → United Kingdom → London"/>
    <s v="United Kingdom-2024-09"/>
    <x v="8"/>
    <s v="London"/>
    <s v="Consumer"/>
    <s v="Marketplace"/>
    <s v="F. Müller"/>
    <x v="2"/>
    <s v="NET-1145"/>
    <n v="1133.08"/>
    <n v="976.17"/>
    <s v="Valid"/>
    <n v="976.17"/>
    <s v="Medium"/>
    <n v="4.2000000000000003E-2"/>
    <s v="Valid"/>
    <n v="4.2000000000000003E-2"/>
    <n v="27"/>
    <n v="25249.613219999999"/>
    <n v="30593.159999999996"/>
    <n v="-5343.5467799999969"/>
    <n v="-0.21162885678452373"/>
    <n v="1"/>
  </r>
  <r>
    <x v="497"/>
    <d v="2023-10-25T00:00:00"/>
    <s v="Oct-2023"/>
    <s v="Q4-2023"/>
    <d v="2023-10-28T00:00:00"/>
    <s v="Valid"/>
    <n v="3"/>
    <d v="2023-10-28T00:00:00"/>
    <s v="Americas"/>
    <s v="Americas → Brazil → Brasília"/>
    <s v="Brazil-2023-10"/>
    <x v="5"/>
    <s v="Brasília"/>
    <s v="Corporate"/>
    <s v="Distributor"/>
    <s v="L. Okafor"/>
    <x v="6"/>
    <s v="ACC-2867"/>
    <n v="509.31"/>
    <n v="1145.9000000000001"/>
    <s v="Valid"/>
    <n v="1145.9000000000001"/>
    <s v="Medium"/>
    <n v="5.7000000000000002E-2"/>
    <s v="Valid"/>
    <n v="5.7000000000000002E-2"/>
    <n v="8"/>
    <n v="8644.6696000000011"/>
    <n v="4074.48"/>
    <n v="4570.1896000000015"/>
    <n v="0.52867140231709964"/>
    <n v="1"/>
  </r>
  <r>
    <x v="498"/>
    <d v="2025-09-08T00:00:00"/>
    <s v="Sep-2025"/>
    <s v="Q3-2025"/>
    <d v="2025-10-05T00:00:00"/>
    <s v="Valid"/>
    <n v="27"/>
    <d v="2025-10-05T00:00:00"/>
    <s v="Americas"/>
    <s v="Americas → Brazil → Rio de Janeiro"/>
    <s v="Brazil-2025-09"/>
    <x v="5"/>
    <s v="Rio de Janeiro"/>
    <s v="Education"/>
    <s v="Online"/>
    <s v="C. Otieno"/>
    <x v="5"/>
    <s v="MON-9274"/>
    <n v="660.78"/>
    <n v="1630.39"/>
    <s v="Valid"/>
    <n v="1630.39"/>
    <s v="Medium"/>
    <n v="0.218"/>
    <s v="Valid"/>
    <n v="0.218"/>
    <n v="13"/>
    <n v="16574.544740000001"/>
    <n v="8590.14"/>
    <n v="7984.4047400000018"/>
    <n v="0.48172694123724097"/>
    <n v="0"/>
  </r>
  <r>
    <x v="499"/>
    <d v="2023-05-02T00:00:00"/>
    <s v="May-2023"/>
    <s v="Q2-2023"/>
    <d v="2023-05-16T00:00:00"/>
    <s v="Valid"/>
    <n v="14"/>
    <d v="2023-05-16T00:00:00"/>
    <s v="Asia"/>
    <s v="Asia → India → Bengaluru"/>
    <s v="India-2023-05"/>
    <x v="4"/>
    <s v="Bengaluru"/>
    <s v="Non-Profit"/>
    <s v="Retail"/>
    <s v="L. Okafor"/>
    <x v="5"/>
    <s v="MON-4830"/>
    <n v="475.37"/>
    <n v="963.73"/>
    <s v="Valid"/>
    <n v="963.73"/>
    <s v="Medium"/>
    <n v="4.1000000000000002E-2"/>
    <s v="Valid"/>
    <n v="4.1000000000000002E-2"/>
    <n v="22"/>
    <n v="20332.775539999999"/>
    <n v="10458.14"/>
    <n v="9874.6355399999993"/>
    <n v="0.48565113604750881"/>
    <n v="0"/>
  </r>
  <r>
    <x v="500"/>
    <d v="2024-04-26T00:00:00"/>
    <s v="Apr-2024"/>
    <s v="Q2-2024"/>
    <d v="2024-04-24T00:00:00"/>
    <s v="Invalid RequiredDate"/>
    <n v="-2"/>
    <d v="2024-05-22T00:00:00"/>
    <s v="Europe"/>
    <s v="Europe → United Kingdom → London"/>
    <s v="United Kingdom-2024-04"/>
    <x v="8"/>
    <s v="London"/>
    <s v="Non-Profit"/>
    <s v="Distributor"/>
    <s v="N. Brown"/>
    <x v="3"/>
    <s v="PHN-9107"/>
    <n v="1232.77"/>
    <n v="891.73"/>
    <s v="Valid"/>
    <n v="891.73"/>
    <s v="Medium"/>
    <n v="0.16700000000000001"/>
    <s v="Valid"/>
    <n v="0.16700000000000001"/>
    <n v="10"/>
    <n v="7428.1108999999988"/>
    <n v="12327.7"/>
    <n v="-4899.589100000002"/>
    <n v="-0.65960096260813805"/>
    <n v="1"/>
  </r>
  <r>
    <x v="501"/>
    <d v="2023-02-23T00:00:00"/>
    <s v="Feb-2023"/>
    <s v="Q1-2023"/>
    <d v="2023-03-18T00:00:00"/>
    <s v="Valid"/>
    <n v="23"/>
    <d v="2023-03-18T00:00:00"/>
    <s v="Asia"/>
    <s v="Asia → China → Beijing"/>
    <s v="China-2023-02"/>
    <x v="9"/>
    <s v="Beijing"/>
    <s v="Education"/>
    <s v="Distributor"/>
    <s v="K. Singh"/>
    <x v="1"/>
    <s v="PRN-1060"/>
    <n v="770.11"/>
    <n v="1667.82"/>
    <s v="Valid"/>
    <n v="1667.82"/>
    <s v="Medium"/>
    <n v="6.9000000000000006E-2"/>
    <s v="Valid"/>
    <n v="6.9000000000000006E-2"/>
    <n v="7"/>
    <n v="10869.182940000001"/>
    <n v="5390.77"/>
    <n v="5478.4129400000002"/>
    <n v="0.50403171703355287"/>
    <n v="0"/>
  </r>
  <r>
    <x v="502"/>
    <d v="2025-03-24T00:00:00"/>
    <s v="Mar-2025"/>
    <s v="Q1-2025"/>
    <d v="2025-03-25T00:00:00"/>
    <s v="Valid"/>
    <n v="1"/>
    <d v="2025-03-25T00:00:00"/>
    <s v="Asia"/>
    <s v="Asia → China → Beijing"/>
    <s v="China-2025-03"/>
    <x v="9"/>
    <s v="Beijing"/>
    <s v="Non-Profit"/>
    <s v="Online"/>
    <s v="G. Dubois"/>
    <x v="2"/>
    <s v="NET-8329"/>
    <n v="1133.03"/>
    <n v="1921.51"/>
    <s v="Valid"/>
    <n v="1921.51"/>
    <s v="High"/>
    <n v="0.10100000000000001"/>
    <s v="Valid"/>
    <n v="0.10100000000000001"/>
    <n v="5"/>
    <n v="8637.1874499999994"/>
    <n v="5665.15"/>
    <n v="2972.0374499999998"/>
    <n v="0.3440978289755654"/>
    <n v="1"/>
  </r>
  <r>
    <x v="503"/>
    <d v="2025-03-10T00:00:00"/>
    <s v="Mar-2025"/>
    <s v="Q1-2025"/>
    <d v="2025-03-27T00:00:00"/>
    <s v="Valid"/>
    <n v="17"/>
    <d v="2025-03-27T00:00:00"/>
    <s v="Americas"/>
    <s v="Americas → Brazil → Rio de Janeiro"/>
    <s v="Brazil-2025-03"/>
    <x v="5"/>
    <s v="Rio de Janeiro"/>
    <s v="Enterprise"/>
    <s v="Direct"/>
    <s v="F. Müller"/>
    <x v="2"/>
    <s v="NET-6269"/>
    <n v="996.73"/>
    <n v="1217.43"/>
    <s v="Valid"/>
    <n v="1217.43"/>
    <s v="Medium"/>
    <n v="7.0000000000000007E-2"/>
    <s v="Valid"/>
    <n v="7.0000000000000007E-2"/>
    <n v="9"/>
    <n v="10189.8891"/>
    <n v="8970.57"/>
    <n v="1219.3191000000006"/>
    <n v="0.11965970267527255"/>
    <n v="0"/>
  </r>
  <r>
    <x v="504"/>
    <d v="2024-04-05T00:00:00"/>
    <s v="Apr-2024"/>
    <s v="Q2-2024"/>
    <d v="2024-04-09T00:00:00"/>
    <s v="Valid"/>
    <n v="4"/>
    <d v="2024-04-09T00:00:00"/>
    <s v="Africa"/>
    <s v="Africa → Nigeria → Lagos"/>
    <s v="Nigeria-2024-04"/>
    <x v="1"/>
    <s v="Lagos"/>
    <s v="Non-Profit"/>
    <s v="Direct"/>
    <s v="K. Singh"/>
    <x v="0"/>
    <s v="CMP-6529"/>
    <n v="395.07"/>
    <n v="970.27"/>
    <s v="Valid"/>
    <n v="970.27"/>
    <s v="Medium"/>
    <n v="0.123"/>
    <s v="Valid"/>
    <n v="0.123"/>
    <n v="38"/>
    <n v="32335.21802"/>
    <n v="15012.66"/>
    <n v="17322.55802"/>
    <n v="0.53571799049833657"/>
    <n v="1"/>
  </r>
  <r>
    <x v="505"/>
    <d v="2025-04-27T00:00:00"/>
    <s v="Apr-2025"/>
    <s v="Q2-2025"/>
    <d v="2025-05-17T00:00:00"/>
    <s v="Valid"/>
    <n v="20"/>
    <d v="2025-05-17T00:00:00"/>
    <s v="Americas"/>
    <s v="Americas → USA → Austin"/>
    <s v="USA-2025-04"/>
    <x v="10"/>
    <s v="Austin"/>
    <s v="Corporate"/>
    <s v="Direct"/>
    <s v="N. Brown"/>
    <x v="3"/>
    <s v="PHN-8776"/>
    <n v="932.26"/>
    <n v="1624.67"/>
    <s v="Valid"/>
    <n v="1624.67"/>
    <s v="Medium"/>
    <n v="0.23499999999999999"/>
    <s v="Valid"/>
    <n v="0.23499999999999999"/>
    <n v="28"/>
    <n v="34800.431400000001"/>
    <n v="26103.279999999999"/>
    <n v="8697.1514000000025"/>
    <n v="0.24991504559337163"/>
    <n v="0"/>
  </r>
  <r>
    <x v="506"/>
    <d v="2024-10-24T00:00:00"/>
    <s v="Oct-2024"/>
    <s v="Q4-2024"/>
    <d v="2024-10-28T00:00:00"/>
    <s v="Valid"/>
    <n v="4"/>
    <d v="2024-10-28T00:00:00"/>
    <s v="Asia"/>
    <s v="Asia → China → Shanghai"/>
    <s v="China-2024-10"/>
    <x v="9"/>
    <s v="Shanghai"/>
    <s v="Small Business"/>
    <s v="Distributor"/>
    <s v="I. Johnson"/>
    <x v="2"/>
    <s v="NET-3728"/>
    <n v="1331.77"/>
    <n v="2606.11"/>
    <s v="Valid"/>
    <n v="2606.11"/>
    <s v="High"/>
    <n v="0.02"/>
    <s v="Valid"/>
    <n v="0.02"/>
    <n v="6"/>
    <n v="15323.926799999999"/>
    <n v="7990.62"/>
    <n v="7333.3067999999994"/>
    <n v="0.47855271665745619"/>
    <n v="1"/>
  </r>
  <r>
    <x v="507"/>
    <d v="2023-04-13T00:00:00"/>
    <s v="Apr-2023"/>
    <s v="Q2-2023"/>
    <d v="2023-04-20T00:00:00"/>
    <s v="Valid"/>
    <n v="7"/>
    <d v="2023-04-20T00:00:00"/>
    <s v="Europe"/>
    <s v="Europe → France → Lyon"/>
    <s v="France-2023-04"/>
    <x v="7"/>
    <s v="Lyon"/>
    <s v="Small Business"/>
    <s v="Online"/>
    <s v="A. Patel"/>
    <x v="4"/>
    <s v="LAP-3565"/>
    <n v="227.02"/>
    <n v="434.72"/>
    <s v="Valid"/>
    <n v="434.72"/>
    <s v="Low"/>
    <n v="9.8000000000000004E-2"/>
    <s v="Valid"/>
    <n v="9.8000000000000004E-2"/>
    <n v="10"/>
    <n v="3921.1744000000008"/>
    <n v="2270.2000000000003"/>
    <n v="1650.9744000000005"/>
    <n v="0.42104079838938052"/>
    <n v="1"/>
  </r>
  <r>
    <x v="508"/>
    <d v="2024-11-12T00:00:00"/>
    <s v="Nov-2024"/>
    <s v="Q4-2024"/>
    <d v="2024-11-21T00:00:00"/>
    <s v="Valid"/>
    <n v="9"/>
    <d v="2024-11-21T00:00:00"/>
    <s v="Asia"/>
    <s v="Asia → India → Mumbai"/>
    <s v="India-2024-11"/>
    <x v="4"/>
    <s v="Mumbai"/>
    <s v="Corporate"/>
    <s v="Direct"/>
    <s v="H. Kim"/>
    <x v="4"/>
    <s v="LAP-5078"/>
    <n v="903.41"/>
    <n v="1860.41"/>
    <s v="Valid"/>
    <n v="1860.41"/>
    <s v="Medium"/>
    <n v="0.108"/>
    <s v="Valid"/>
    <n v="0.108"/>
    <n v="5"/>
    <n v="8297.4286000000011"/>
    <n v="4517.05"/>
    <n v="3780.3786000000009"/>
    <n v="0.455608451996803"/>
    <n v="0"/>
  </r>
  <r>
    <x v="509"/>
    <d v="2023-05-10T00:00:00"/>
    <s v="May-2023"/>
    <s v="Q2-2023"/>
    <d v="2023-05-14T00:00:00"/>
    <s v="Valid"/>
    <n v="4"/>
    <d v="2023-05-14T00:00:00"/>
    <s v="Asia"/>
    <s v="Asia → India → Delhi"/>
    <s v="India-2023-05"/>
    <x v="4"/>
    <s v="Delhi"/>
    <s v="Non-Profit"/>
    <s v="Distributor"/>
    <s v="C. Otieno"/>
    <x v="5"/>
    <s v="MON-2465"/>
    <n v="622.6"/>
    <n v="833.69"/>
    <s v="Valid"/>
    <n v="833.69"/>
    <s v="Medium"/>
    <n v="0.20899999999999999"/>
    <s v="Valid"/>
    <n v="0.20899999999999999"/>
    <n v="14"/>
    <n v="9232.2830599999998"/>
    <n v="8716.4"/>
    <n v="515.88306000000011"/>
    <n v="5.5878167582959715E-2"/>
    <n v="1"/>
  </r>
  <r>
    <x v="510"/>
    <d v="2024-03-02T00:00:00"/>
    <s v="Mar-2024"/>
    <s v="Q1-2024"/>
    <d v="2024-03-23T00:00:00"/>
    <s v="Valid"/>
    <n v="21"/>
    <d v="2024-03-23T00:00:00"/>
    <s v="Americas"/>
    <s v="Americas → USA → Chicago"/>
    <s v="USA-2024-03"/>
    <x v="10"/>
    <s v="Chicago"/>
    <s v="Small Business"/>
    <s v="Online"/>
    <s v="F. Müller"/>
    <x v="0"/>
    <s v="CMP-3223"/>
    <n v="225.01"/>
    <n v="333.48"/>
    <s v="Valid"/>
    <n v="333.48"/>
    <s v="Low"/>
    <n v="0.11899999999999999"/>
    <s v="Valid"/>
    <n v="0.11899999999999999"/>
    <n v="12"/>
    <n v="3525.5505600000001"/>
    <n v="2700.12"/>
    <n v="825.43056000000024"/>
    <n v="0.23412813004729685"/>
    <n v="0"/>
  </r>
  <r>
    <x v="511"/>
    <d v="2024-10-10T00:00:00"/>
    <s v="Oct-2024"/>
    <s v="Q4-2024"/>
    <d v="2024-10-11T00:00:00"/>
    <s v="Valid"/>
    <n v="1"/>
    <d v="2024-10-11T00:00:00"/>
    <s v="Europe"/>
    <s v="Europe → United Kingdom → Manchester"/>
    <s v="United Kingdom-2024-10"/>
    <x v="8"/>
    <s v="Manchester"/>
    <s v="Non-Profit"/>
    <s v="Distributor"/>
    <s v="L. Okafor"/>
    <x v="0"/>
    <s v="CMP-8127"/>
    <n v="1389.46"/>
    <n v="1784.7"/>
    <s v="Valid"/>
    <n v="1784.7"/>
    <s v="Medium"/>
    <n v="0.14599999999999999"/>
    <s v="Valid"/>
    <n v="0.14599999999999999"/>
    <n v="33"/>
    <n v="50296.415399999998"/>
    <n v="45852.18"/>
    <n v="4444.2353999999978"/>
    <n v="8.8360877503011831E-2"/>
    <n v="1"/>
  </r>
  <r>
    <x v="512"/>
    <d v="2023-06-01T00:00:00"/>
    <s v="Jun-2023"/>
    <s v="Q2-2023"/>
    <d v="2023-06-08T00:00:00"/>
    <s v="Valid"/>
    <n v="7"/>
    <d v="2023-06-08T00:00:00"/>
    <s v="Europe"/>
    <s v="Europe → Germany → Frankfurt"/>
    <s v="Germany-2023-06"/>
    <x v="6"/>
    <s v="Frankfurt"/>
    <s v="Consumer"/>
    <s v="Online"/>
    <s v="A. Patel"/>
    <x v="3"/>
    <s v="PHN-1924"/>
    <n v="804.17"/>
    <n v="1072.29"/>
    <s v="Valid"/>
    <n v="1072.29"/>
    <s v="Medium"/>
    <n v="3.2000000000000001E-2"/>
    <s v="Valid"/>
    <n v="3.2000000000000001E-2"/>
    <n v="5"/>
    <n v="5189.8836000000001"/>
    <n v="4020.85"/>
    <n v="1169.0336000000002"/>
    <n v="0.2252523736755869"/>
    <n v="1"/>
  </r>
  <r>
    <x v="513"/>
    <d v="2025-01-04T00:00:00"/>
    <s v="Jan-2025"/>
    <s v="Q1-2025"/>
    <d v="2025-01-05T00:00:00"/>
    <s v="Valid"/>
    <n v="1"/>
    <d v="2025-01-05T00:00:00"/>
    <s v="Asia"/>
    <s v="Asia → India → Delhi"/>
    <s v="India-2025-01"/>
    <x v="4"/>
    <s v="Delhi"/>
    <s v="Education"/>
    <s v="Retail"/>
    <s v="I. Johnson"/>
    <x v="0"/>
    <s v="CMP-1156"/>
    <n v="1428.33"/>
    <n v="3028.05"/>
    <s v="Valid"/>
    <n v="3028.05"/>
    <s v="High"/>
    <n v="0"/>
    <s v="Valid"/>
    <n v="0"/>
    <n v="11"/>
    <n v="33308.550000000003"/>
    <n v="15711.63"/>
    <n v="17596.920000000006"/>
    <n v="0.52830039134096207"/>
    <n v="1"/>
  </r>
  <r>
    <x v="514"/>
    <d v="2025-08-05T00:00:00"/>
    <s v="Aug-2025"/>
    <s v="Q3-2025"/>
    <d v="2025-08-28T00:00:00"/>
    <s v="Valid"/>
    <n v="23"/>
    <d v="2025-08-28T00:00:00"/>
    <s v="Asia"/>
    <s v="Asia → India → Mumbai"/>
    <s v="India-2025-08"/>
    <x v="4"/>
    <s v="Mumbai"/>
    <s v="Non-Profit"/>
    <s v="Distributor"/>
    <s v="N. Brown"/>
    <x v="4"/>
    <s v="LAP-3905"/>
    <n v="638.54"/>
    <n v="987.24"/>
    <s v="Valid"/>
    <n v="987.24"/>
    <s v="Medium"/>
    <n v="0"/>
    <s v="Valid"/>
    <n v="0"/>
    <n v="11"/>
    <n v="10859.64"/>
    <n v="7023.94"/>
    <n v="3835.7"/>
    <n v="0.35320692030306716"/>
    <n v="0"/>
  </r>
  <r>
    <x v="515"/>
    <d v="2023-09-30T00:00:00"/>
    <s v="Sep-2023"/>
    <s v="Q3-2023"/>
    <d v="2023-10-30T00:00:00"/>
    <s v="Valid"/>
    <n v="30"/>
    <d v="2023-10-30T00:00:00"/>
    <s v="Asia"/>
    <s v="Asia → Japan → Tokyo"/>
    <s v="Japan-2023-09"/>
    <x v="2"/>
    <s v="Tokyo"/>
    <s v="Enterprise"/>
    <s v="Online"/>
    <s v="D. Smith"/>
    <x v="1"/>
    <s v="PRN-1786"/>
    <n v="649.13"/>
    <n v="975.43"/>
    <s v="Valid"/>
    <n v="975.43"/>
    <s v="Medium"/>
    <n v="0.157"/>
    <s v="Valid"/>
    <n v="0.157"/>
    <n v="27"/>
    <n v="22201.762229999997"/>
    <n v="17526.509999999998"/>
    <n v="4675.2522299999982"/>
    <n v="0.21058023149543473"/>
    <n v="0"/>
  </r>
  <r>
    <x v="516"/>
    <d v="2025-05-17T00:00:00"/>
    <s v="May-2025"/>
    <s v="Q2-2025"/>
    <d v="2025-05-30T00:00:00"/>
    <s v="Valid"/>
    <n v="13"/>
    <d v="2025-05-30T00:00:00"/>
    <s v="Africa"/>
    <s v="Africa → Nigeria → Lagos"/>
    <s v="Nigeria-2025-05"/>
    <x v="1"/>
    <s v="Lagos"/>
    <s v="Consumer"/>
    <s v="Distributor"/>
    <s v="F. Müller"/>
    <x v="6"/>
    <s v="ACC-3349"/>
    <n v="66.400000000000006"/>
    <n v="141.43"/>
    <s v="Valid"/>
    <n v="141.43"/>
    <s v="Low"/>
    <n v="0.107"/>
    <s v="Valid"/>
    <n v="0.107"/>
    <n v="8"/>
    <n v="1010.3759200000001"/>
    <n v="531.20000000000005"/>
    <n v="479.17592000000002"/>
    <n v="0.47425508715607551"/>
    <n v="0"/>
  </r>
  <r>
    <x v="517"/>
    <d v="2024-05-01T00:00:00"/>
    <s v="May-2024"/>
    <s v="Q2-2024"/>
    <d v="2024-05-26T00:00:00"/>
    <s v="Valid"/>
    <n v="25"/>
    <d v="2024-05-26T00:00:00"/>
    <s v="Europe"/>
    <s v="Europe → Germany → Berlin"/>
    <s v="Germany-2024-05"/>
    <x v="6"/>
    <s v="Berlin"/>
    <s v="Non-Profit"/>
    <s v="Retail"/>
    <s v="B. Chen"/>
    <x v="2"/>
    <s v="NET-4228"/>
    <n v="930.71"/>
    <n v="1625.42"/>
    <s v="Valid"/>
    <n v="1625.42"/>
    <s v="Medium"/>
    <n v="0.13800000000000001"/>
    <s v="Valid"/>
    <n v="0.13800000000000001"/>
    <n v="7"/>
    <n v="9807.7842799999999"/>
    <n v="6514.97"/>
    <n v="3292.8142799999996"/>
    <n v="0.33573477821231196"/>
    <n v="0"/>
  </r>
  <r>
    <x v="518"/>
    <d v="2023-05-01T00:00:00"/>
    <s v="May-2023"/>
    <s v="Q2-2023"/>
    <d v="2023-05-18T00:00:00"/>
    <s v="Valid"/>
    <n v="17"/>
    <d v="2023-05-18T00:00:00"/>
    <s v="Africa"/>
    <s v="Africa → Nigeria → Port Harcourt"/>
    <s v="Nigeria-2023-05"/>
    <x v="1"/>
    <s v="Port Harcourt"/>
    <s v="Corporate"/>
    <s v="Direct"/>
    <s v="F. Müller"/>
    <x v="0"/>
    <s v="CMP-5633"/>
    <n v="327.97"/>
    <n v="299.94"/>
    <s v="Valid"/>
    <n v="299.94"/>
    <s v="Low"/>
    <n v="4.9000000000000002E-2"/>
    <s v="Valid"/>
    <n v="4.9000000000000002E-2"/>
    <n v="3"/>
    <n v="855.72881999999993"/>
    <n v="983.91000000000008"/>
    <n v="-128.18118000000015"/>
    <n v="-0.14979182306843442"/>
    <n v="0"/>
  </r>
  <r>
    <x v="519"/>
    <d v="2024-07-09T00:00:00"/>
    <s v="Jul-2024"/>
    <s v="Q3-2024"/>
    <d v="2024-08-08T00:00:00"/>
    <s v="Valid"/>
    <n v="30"/>
    <d v="2024-08-08T00:00:00"/>
    <s v="Europe"/>
    <s v="Europe → France → Marseille"/>
    <s v="France-2024-07"/>
    <x v="7"/>
    <s v="Marseille"/>
    <s v="Corporate"/>
    <s v="Direct"/>
    <s v="J. Njeri"/>
    <x v="0"/>
    <s v="CMP-5825"/>
    <n v="1062.3800000000001"/>
    <n v="1503.96"/>
    <s v="Valid"/>
    <n v="1503.96"/>
    <s v="Medium"/>
    <n v="0.18"/>
    <s v="Valid"/>
    <n v="0.18"/>
    <n v="6"/>
    <n v="7399.4832000000006"/>
    <n v="6374.2800000000007"/>
    <n v="1025.2031999999999"/>
    <n v="0.13855064905073369"/>
    <n v="0"/>
  </r>
  <r>
    <x v="520"/>
    <d v="2023-05-10T00:00:00"/>
    <s v="May-2023"/>
    <s v="Q2-2023"/>
    <d v="2023-05-27T00:00:00"/>
    <s v="Valid"/>
    <n v="17"/>
    <d v="2023-05-27T00:00:00"/>
    <s v="Asia"/>
    <s v="Asia → India → Mumbai"/>
    <s v="India-2023-05"/>
    <x v="4"/>
    <s v="Mumbai"/>
    <s v="Consumer"/>
    <s v="Retail"/>
    <s v="M. Rossi"/>
    <x v="4"/>
    <s v="LAP-6499"/>
    <n v="1286.1600000000001"/>
    <n v="3101.11"/>
    <s v="Valid"/>
    <n v="3101.11"/>
    <s v="High"/>
    <n v="0.1"/>
    <s v="Valid"/>
    <n v="0.1"/>
    <n v="23"/>
    <n v="64192.976999999999"/>
    <n v="29581.68"/>
    <n v="34611.296999999999"/>
    <n v="0.53917575749758417"/>
    <n v="0"/>
  </r>
  <r>
    <x v="521"/>
    <d v="2024-07-09T00:00:00"/>
    <s v="Jul-2024"/>
    <s v="Q3-2024"/>
    <d v="2024-07-12T00:00:00"/>
    <s v="Valid"/>
    <n v="3"/>
    <d v="2024-07-12T00:00:00"/>
    <s v="Asia"/>
    <s v="Asia → China → Shanghai"/>
    <s v="China-2024-07"/>
    <x v="9"/>
    <s v="Shanghai"/>
    <s v="Small Business"/>
    <s v="Retail"/>
    <s v="D. Smith"/>
    <x v="6"/>
    <s v="ACC-3721"/>
    <n v="748.39"/>
    <n v="979.42"/>
    <s v="Valid"/>
    <n v="979.42"/>
    <s v="Medium"/>
    <n v="0"/>
    <s v="Valid"/>
    <n v="0"/>
    <n v="23"/>
    <n v="22526.66"/>
    <n v="17212.97"/>
    <n v="5313.6899999999987"/>
    <n v="0.23588450307324738"/>
    <n v="1"/>
  </r>
  <r>
    <x v="522"/>
    <d v="2024-04-24T00:00:00"/>
    <s v="Apr-2024"/>
    <s v="Q2-2024"/>
    <d v="2024-05-10T00:00:00"/>
    <s v="Valid"/>
    <n v="16"/>
    <d v="2024-05-10T00:00:00"/>
    <s v="Africa"/>
    <s v="Africa → Kenya → Kisumu"/>
    <s v="Kenya-2024-04"/>
    <x v="0"/>
    <s v="Kisumu"/>
    <s v="Non-Profit"/>
    <s v="Online"/>
    <s v="N. Brown"/>
    <x v="5"/>
    <s v="MON-6190"/>
    <n v="513.30999999999995"/>
    <n v="1186.26"/>
    <s v="Valid"/>
    <n v="1186.26"/>
    <s v="Medium"/>
    <n v="9.4E-2"/>
    <s v="Valid"/>
    <n v="9.4E-2"/>
    <n v="15"/>
    <n v="16121.273400000002"/>
    <n v="7699.65"/>
    <n v="8421.6234000000022"/>
    <n v="0.52239194702820446"/>
    <n v="0"/>
  </r>
  <r>
    <x v="523"/>
    <d v="2024-01-13T00:00:00"/>
    <s v="Jan-2024"/>
    <s v="Q1-2024"/>
    <d v="2024-01-15T00:00:00"/>
    <s v="Valid"/>
    <n v="2"/>
    <d v="2024-01-15T00:00:00"/>
    <s v="Americas"/>
    <s v="Americas → USA → San Francisco"/>
    <s v="USA-2024-01"/>
    <x v="10"/>
    <s v="San Francisco"/>
    <s v="Non-Profit"/>
    <s v="Direct"/>
    <s v="E. Garcia"/>
    <x v="0"/>
    <s v="CMP-2410"/>
    <n v="1061.3699999999999"/>
    <n v="1938.33"/>
    <s v="Valid"/>
    <n v="1938.33"/>
    <s v="High"/>
    <n v="0.17"/>
    <s v="Valid"/>
    <n v="0.17"/>
    <n v="4"/>
    <n v="6435.2555999999995"/>
    <n v="4245.4799999999996"/>
    <n v="2189.7755999999999"/>
    <n v="0.34027795259600879"/>
    <n v="1"/>
  </r>
  <r>
    <x v="524"/>
    <d v="2024-04-16T00:00:00"/>
    <s v="Apr-2024"/>
    <s v="Q2-2024"/>
    <d v="2024-04-27T00:00:00"/>
    <s v="Valid"/>
    <n v="11"/>
    <d v="2024-04-27T00:00:00"/>
    <s v="Africa"/>
    <s v="Africa → Kenya → Nakuru"/>
    <s v="Kenya-2024-04"/>
    <x v="0"/>
    <s v="Nakuru"/>
    <s v="Enterprise"/>
    <s v="Online"/>
    <s v="D. Smith"/>
    <x v="1"/>
    <s v="PRN-2641"/>
    <n v="401.3"/>
    <n v="826.47"/>
    <s v="Valid"/>
    <n v="826.47"/>
    <s v="Medium"/>
    <n v="0.22500000000000001"/>
    <s v="Valid"/>
    <n v="0.22500000000000001"/>
    <n v="13"/>
    <n v="8326.6852500000005"/>
    <n v="5216.9000000000005"/>
    <n v="3109.7852499999999"/>
    <n v="0.37347217489696755"/>
    <n v="0"/>
  </r>
  <r>
    <x v="525"/>
    <d v="2025-02-07T00:00:00"/>
    <s v="Feb-2025"/>
    <s v="Q1-2025"/>
    <d v="2025-02-16T00:00:00"/>
    <s v="Valid"/>
    <n v="9"/>
    <d v="2025-02-16T00:00:00"/>
    <s v="Africa"/>
    <s v="Africa → Nigeria → Lagos"/>
    <s v="Nigeria-2025-02"/>
    <x v="1"/>
    <s v="Lagos"/>
    <s v="Small Business"/>
    <s v="Distributor"/>
    <s v="C. Otieno"/>
    <x v="1"/>
    <s v="PRN-1882"/>
    <n v="90.68"/>
    <n v="118.17"/>
    <s v="Valid"/>
    <n v="118.17"/>
    <s v="Low"/>
    <n v="0.13500000000000001"/>
    <s v="Valid"/>
    <n v="0.13500000000000001"/>
    <n v="21"/>
    <n v="2146.5580500000001"/>
    <n v="1904.2800000000002"/>
    <n v="242.27804999999989"/>
    <n v="0.11286815653552899"/>
    <n v="0"/>
  </r>
  <r>
    <x v="526"/>
    <d v="2023-01-12T00:00:00"/>
    <s v="Jan-2023"/>
    <s v="Q1-2023"/>
    <d v="2023-01-26T00:00:00"/>
    <s v="Valid"/>
    <n v="14"/>
    <d v="2023-01-26T00:00:00"/>
    <s v="Asia"/>
    <s v="Asia → China → Shenzhen"/>
    <s v="China-2023-01"/>
    <x v="9"/>
    <s v="Shenzhen"/>
    <s v="Non-Profit"/>
    <s v="Retail"/>
    <s v="M. Rossi"/>
    <x v="1"/>
    <s v="PRN-1641"/>
    <n v="1083.0899999999999"/>
    <n v="1425.87"/>
    <s v="Valid"/>
    <n v="1425.87"/>
    <s v="Medium"/>
    <n v="0"/>
    <s v="Valid"/>
    <n v="0"/>
    <n v="8"/>
    <n v="11406.96"/>
    <n v="8664.7199999999993"/>
    <n v="2742.24"/>
    <n v="0.24040059752992909"/>
    <n v="0"/>
  </r>
  <r>
    <x v="527"/>
    <d v="2024-06-05T00:00:00"/>
    <s v="Jun-2024"/>
    <s v="Q2-2024"/>
    <d v="2024-06-23T00:00:00"/>
    <s v="Valid"/>
    <n v="18"/>
    <d v="2024-06-23T00:00:00"/>
    <s v="Africa"/>
    <s v="Africa → Kenya → Nairobi"/>
    <s v="Kenya-2024-06"/>
    <x v="0"/>
    <s v="Nairobi"/>
    <s v="Consumer"/>
    <s v="Distributor"/>
    <s v="D. Smith"/>
    <x v="4"/>
    <s v="LAP-1739"/>
    <n v="1208.74"/>
    <n v="1594.78"/>
    <s v="Valid"/>
    <n v="1594.78"/>
    <s v="Medium"/>
    <n v="5.8999999999999997E-2"/>
    <s v="Valid"/>
    <n v="5.8999999999999997E-2"/>
    <n v="39"/>
    <n v="58526.83122"/>
    <n v="47140.86"/>
    <n v="11385.971219999999"/>
    <n v="0.1945427589817838"/>
    <n v="0"/>
  </r>
  <r>
    <x v="528"/>
    <d v="2023-08-24T00:00:00"/>
    <s v="Aug-2023"/>
    <s v="Q3-2023"/>
    <d v="2023-09-20T00:00:00"/>
    <s v="Valid"/>
    <n v="27"/>
    <d v="2023-09-20T00:00:00"/>
    <s v="Africa"/>
    <s v="Africa → South Africa → Durban"/>
    <s v="South Africa-2023-08"/>
    <x v="11"/>
    <s v="Durban"/>
    <s v="Small Business"/>
    <s v="Marketplace"/>
    <s v="M. Rossi"/>
    <x v="1"/>
    <s v="PRN-4732"/>
    <n v="1399.64"/>
    <n v="3342.11"/>
    <s v="Valid"/>
    <n v="3342.11"/>
    <s v="High"/>
    <n v="0"/>
    <s v="Valid"/>
    <n v="0"/>
    <n v="10"/>
    <n v="33421.1"/>
    <n v="13996.400000000001"/>
    <n v="19424.699999999997"/>
    <n v="0.58121067229983447"/>
    <n v="0"/>
  </r>
  <r>
    <x v="529"/>
    <d v="2024-01-25T00:00:00"/>
    <s v="Jan-2024"/>
    <s v="Q1-2024"/>
    <d v="2024-02-08T00:00:00"/>
    <s v="Valid"/>
    <n v="14"/>
    <d v="2024-02-08T00:00:00"/>
    <s v="Asia"/>
    <s v="Asia → Japan → Osaka"/>
    <s v="Japan-2024-01"/>
    <x v="2"/>
    <s v="Osaka"/>
    <s v="Consumer"/>
    <s v="Marketplace"/>
    <s v="I. Johnson"/>
    <x v="2"/>
    <s v="NET-9569"/>
    <n v="937.16"/>
    <n v="1069.77"/>
    <s v="Valid"/>
    <n v="1069.77"/>
    <s v="Medium"/>
    <n v="3.7999999999999999E-2"/>
    <s v="Valid"/>
    <n v="3.7999999999999999E-2"/>
    <n v="9"/>
    <n v="9262.0686600000008"/>
    <n v="8434.44"/>
    <n v="827.62866000000031"/>
    <n v="8.9356783066645962E-2"/>
    <n v="0"/>
  </r>
  <r>
    <x v="530"/>
    <d v="2025-03-11T00:00:00"/>
    <s v="Mar-2025"/>
    <s v="Q1-2025"/>
    <d v="2025-03-26T00:00:00"/>
    <s v="Valid"/>
    <n v="15"/>
    <d v="2025-03-26T00:00:00"/>
    <s v="Europe"/>
    <s v="Europe → Germany → Berlin"/>
    <s v="Germany-2025-03"/>
    <x v="6"/>
    <s v="Berlin"/>
    <s v="Small Business"/>
    <s v="Online"/>
    <s v="I. Johnson"/>
    <x v="3"/>
    <s v="PHN-3007"/>
    <n v="116.97"/>
    <n v="140.82"/>
    <s v="Valid"/>
    <n v="140.82"/>
    <s v="Low"/>
    <n v="0.122"/>
    <s v="Valid"/>
    <n v="0.122"/>
    <n v="5"/>
    <n v="618.19979999999987"/>
    <n v="584.85"/>
    <n v="33.349799999999846"/>
    <n v="5.3946636669891926E-2"/>
    <n v="0"/>
  </r>
  <r>
    <x v="531"/>
    <d v="2025-04-22T00:00:00"/>
    <s v="Apr-2025"/>
    <s v="Q2-2025"/>
    <d v="2025-05-12T00:00:00"/>
    <s v="Valid"/>
    <n v="20"/>
    <d v="2025-05-12T00:00:00"/>
    <s v="Europe"/>
    <s v="Europe → France → Lyon"/>
    <s v="France-2025-04"/>
    <x v="7"/>
    <s v="Lyon"/>
    <s v="Enterprise"/>
    <s v="Marketplace"/>
    <s v="K. Singh"/>
    <x v="5"/>
    <s v="MON-9216"/>
    <n v="59.51"/>
    <n v="67.040000000000006"/>
    <s v="Valid"/>
    <n v="67.040000000000006"/>
    <s v="Low"/>
    <n v="0.114"/>
    <s v="Valid"/>
    <n v="0.114"/>
    <n v="9"/>
    <n v="534.57695999999999"/>
    <n v="535.59"/>
    <n v="-1.0130400000000463"/>
    <n v="-1.8950311663264469E-3"/>
    <n v="0"/>
  </r>
  <r>
    <x v="532"/>
    <d v="2023-08-17T00:00:00"/>
    <s v="Aug-2023"/>
    <s v="Q3-2023"/>
    <d v="2023-09-03T00:00:00"/>
    <s v="Valid"/>
    <n v="17"/>
    <d v="2023-09-03T00:00:00"/>
    <s v="Africa"/>
    <s v="Africa → South Africa → Durban"/>
    <s v="South Africa-2023-08"/>
    <x v="11"/>
    <s v="Durban"/>
    <s v="Enterprise"/>
    <s v="Retail"/>
    <s v="A. Patel"/>
    <x v="3"/>
    <s v="PHN-8072"/>
    <n v="676.37"/>
    <n v="1276.67"/>
    <s v="Valid"/>
    <n v="1276.67"/>
    <s v="Medium"/>
    <n v="6.6000000000000003E-2"/>
    <s v="Valid"/>
    <n v="6.6000000000000003E-2"/>
    <n v="10"/>
    <n v="11924.0978"/>
    <n v="6763.7"/>
    <n v="5160.3977999999997"/>
    <n v="0.4327705027712872"/>
    <n v="0"/>
  </r>
  <r>
    <x v="533"/>
    <d v="2025-06-24T00:00:00"/>
    <s v="Jun-2025"/>
    <s v="Q2-2025"/>
    <d v="2025-07-14T00:00:00"/>
    <s v="Valid"/>
    <n v="20"/>
    <d v="2025-07-14T00:00:00"/>
    <s v="Africa"/>
    <s v="Africa → South Africa → Johannesburg"/>
    <s v="South Africa-2025-06"/>
    <x v="11"/>
    <s v="Johannesburg"/>
    <s v="Enterprise"/>
    <s v="Marketplace"/>
    <s v="J. Njeri"/>
    <x v="4"/>
    <s v="LAP-1308"/>
    <n v="1151.06"/>
    <n v="2821.36"/>
    <s v="Valid"/>
    <n v="2821.36"/>
    <s v="High"/>
    <n v="0.248"/>
    <s v="Valid"/>
    <n v="0.248"/>
    <n v="20"/>
    <n v="42433.254400000005"/>
    <n v="23021.199999999997"/>
    <n v="19412.054400000008"/>
    <n v="0.45747267501594235"/>
    <n v="0"/>
  </r>
  <r>
    <x v="534"/>
    <d v="2025-01-10T00:00:00"/>
    <s v="Jan-2025"/>
    <s v="Q1-2025"/>
    <d v="2025-02-06T00:00:00"/>
    <s v="Valid"/>
    <n v="27"/>
    <d v="2025-02-06T00:00:00"/>
    <s v="Americas"/>
    <s v="Americas → Brazil → Brasília"/>
    <s v="Brazil-2025-01"/>
    <x v="5"/>
    <s v="Brasília"/>
    <s v="Non-Profit"/>
    <s v="Retail"/>
    <s v="B. Chen"/>
    <x v="4"/>
    <s v="LAP-7353"/>
    <n v="725.62"/>
    <n v="1559.19"/>
    <s v="Valid"/>
    <n v="1559.19"/>
    <s v="Medium"/>
    <n v="0.19"/>
    <s v="Valid"/>
    <n v="0.19"/>
    <n v="12"/>
    <n v="15155.326800000001"/>
    <n v="8707.44"/>
    <n v="6447.8868000000002"/>
    <n v="0.42545349797405885"/>
    <n v="0"/>
  </r>
  <r>
    <x v="535"/>
    <d v="2023-07-01T00:00:00"/>
    <s v="Jul-2023"/>
    <s v="Q3-2023"/>
    <d v="2023-07-11T00:00:00"/>
    <s v="Valid"/>
    <n v="10"/>
    <d v="2023-07-11T00:00:00"/>
    <s v="Europe"/>
    <s v="Europe → France → Paris"/>
    <s v="France-2023-07"/>
    <x v="7"/>
    <s v="Paris"/>
    <s v="Corporate"/>
    <s v="Direct"/>
    <s v="F. Müller"/>
    <x v="2"/>
    <s v="NET-6533"/>
    <n v="479.5"/>
    <n v="656.66"/>
    <s v="Valid"/>
    <n v="656.66"/>
    <s v="Medium"/>
    <n v="0.14899999999999999"/>
    <s v="Valid"/>
    <n v="0.14899999999999999"/>
    <n v="14"/>
    <n v="7823.4472399999995"/>
    <n v="6713"/>
    <n v="1110.4472399999995"/>
    <n v="0.14193835606412289"/>
    <n v="0"/>
  </r>
  <r>
    <x v="536"/>
    <d v="2024-08-16T00:00:00"/>
    <s v="Aug-2024"/>
    <s v="Q3-2024"/>
    <d v="2024-08-26T00:00:00"/>
    <s v="Valid"/>
    <n v="10"/>
    <d v="2024-08-26T00:00:00"/>
    <s v="Americas"/>
    <s v="Americas → USA → Chicago"/>
    <s v="USA-2024-08"/>
    <x v="10"/>
    <s v="Chicago"/>
    <s v="Corporate"/>
    <s v="Distributor"/>
    <s v="L. Okafor"/>
    <x v="4"/>
    <s v="LAP-5763"/>
    <n v="1291.7"/>
    <n v="2657.84"/>
    <s v="Valid"/>
    <n v="2657.84"/>
    <s v="High"/>
    <n v="8.6999999999999994E-2"/>
    <s v="Valid"/>
    <n v="8.6999999999999994E-2"/>
    <n v="21"/>
    <n v="50958.766320000002"/>
    <n v="27125.7"/>
    <n v="23833.066320000002"/>
    <n v="0.46769315745083367"/>
    <n v="0"/>
  </r>
  <r>
    <x v="537"/>
    <d v="2023-07-07T00:00:00"/>
    <s v="Jul-2023"/>
    <s v="Q3-2023"/>
    <d v="2023-07-13T00:00:00"/>
    <s v="Valid"/>
    <n v="6"/>
    <d v="2023-07-13T00:00:00"/>
    <s v="Africa"/>
    <s v="Africa → South Africa → Cape Town"/>
    <s v="South Africa-2023-07"/>
    <x v="11"/>
    <s v="Cape Town"/>
    <s v="Small Business"/>
    <s v="Marketplace"/>
    <s v="B. Chen"/>
    <x v="6"/>
    <s v="ACC-9445"/>
    <n v="612.59"/>
    <n v="1424.74"/>
    <s v="Valid"/>
    <n v="1424.74"/>
    <s v="Medium"/>
    <n v="4.3999999999999997E-2"/>
    <s v="Valid"/>
    <n v="4.3999999999999997E-2"/>
    <n v="15"/>
    <n v="20430.771599999996"/>
    <n v="9188.85"/>
    <n v="11241.921599999996"/>
    <n v="0.55024459281802152"/>
    <n v="1"/>
  </r>
  <r>
    <x v="538"/>
    <d v="2023-12-28T00:00:00"/>
    <s v="Dec-2023"/>
    <s v="Q4-2023"/>
    <d v="2024-01-01T00:00:00"/>
    <s v="Valid"/>
    <n v="4"/>
    <d v="2024-01-01T00:00:00"/>
    <s v="Africa"/>
    <s v="Africa → South Africa → Cape Town"/>
    <s v="South Africa-2023-12"/>
    <x v="11"/>
    <s v="Cape Town"/>
    <s v="Education"/>
    <s v="Distributor"/>
    <s v="A. Patel"/>
    <x v="1"/>
    <s v="PRN-1654"/>
    <n v="1141.8"/>
    <n v="2318.7399999999998"/>
    <s v="Valid"/>
    <n v="2318.7399999999998"/>
    <s v="High"/>
    <n v="0.107"/>
    <s v="Valid"/>
    <n v="0.107"/>
    <n v="32"/>
    <n v="66260.314239999992"/>
    <n v="36537.599999999999"/>
    <n v="29722.714239999994"/>
    <n v="0.44857490612468304"/>
    <n v="1"/>
  </r>
  <r>
    <x v="539"/>
    <d v="2023-01-26T00:00:00"/>
    <s v="Jan-2023"/>
    <s v="Q1-2023"/>
    <d v="2023-02-15T00:00:00"/>
    <s v="Valid"/>
    <n v="20"/>
    <d v="2023-02-15T00:00:00"/>
    <s v="Europe"/>
    <s v="Europe → Germany → Berlin"/>
    <s v="Germany-2023-01"/>
    <x v="6"/>
    <s v="Berlin"/>
    <s v="Small Business"/>
    <s v="Online"/>
    <s v="O. Wang"/>
    <x v="2"/>
    <s v="NET-8787"/>
    <n v="492.62"/>
    <n v="366.7"/>
    <s v="Valid"/>
    <n v="366.7"/>
    <s v="Low"/>
    <n v="8.8999999999999996E-2"/>
    <s v="Valid"/>
    <n v="8.8999999999999996E-2"/>
    <n v="10"/>
    <n v="3340.6370000000002"/>
    <n v="4926.2"/>
    <n v="-1585.5629999999996"/>
    <n v="-0.47462894052840809"/>
    <n v="0"/>
  </r>
  <r>
    <x v="540"/>
    <d v="2023-07-08T00:00:00"/>
    <s v="Jul-2023"/>
    <s v="Q3-2023"/>
    <d v="2023-07-09T00:00:00"/>
    <s v="Valid"/>
    <n v="1"/>
    <d v="2023-07-09T00:00:00"/>
    <s v="Africa"/>
    <s v="Africa → Kenya → Nairobi"/>
    <s v="Kenya-2023-07"/>
    <x v="0"/>
    <s v="Nairobi"/>
    <s v="Consumer"/>
    <s v="Online"/>
    <s v="D. Smith"/>
    <x v="4"/>
    <s v="LAP-1989"/>
    <n v="1258.72"/>
    <n v="2797.41"/>
    <s v="Valid"/>
    <n v="2797.41"/>
    <s v="High"/>
    <n v="0"/>
    <s v="Valid"/>
    <n v="0"/>
    <n v="7"/>
    <n v="19581.87"/>
    <n v="8811.0400000000009"/>
    <n v="10770.829999999998"/>
    <n v="0.55004093071805704"/>
    <n v="1"/>
  </r>
  <r>
    <x v="541"/>
    <d v="2024-06-07T00:00:00"/>
    <s v="Jun-2024"/>
    <s v="Q2-2024"/>
    <d v="2024-06-09T00:00:00"/>
    <s v="Valid"/>
    <n v="2"/>
    <d v="2024-06-09T00:00:00"/>
    <s v="Asia"/>
    <s v="Asia → China → Shanghai"/>
    <s v="China-2024-06"/>
    <x v="9"/>
    <s v="Shanghai"/>
    <s v="Corporate"/>
    <s v="Retail"/>
    <s v="O. Wang"/>
    <x v="5"/>
    <s v="MON-8688"/>
    <n v="1370.28"/>
    <n v="2209.66"/>
    <s v="Valid"/>
    <n v="2209.66"/>
    <s v="High"/>
    <n v="0.13300000000000001"/>
    <s v="Valid"/>
    <n v="0.13300000000000001"/>
    <n v="16"/>
    <n v="30652.403519999996"/>
    <n v="21924.48"/>
    <n v="8727.9235199999966"/>
    <n v="0.28473863442079589"/>
    <n v="1"/>
  </r>
  <r>
    <x v="542"/>
    <d v="2023-02-11T00:00:00"/>
    <s v="Feb-2023"/>
    <s v="Q1-2023"/>
    <d v="2023-02-12T00:00:00"/>
    <s v="Valid"/>
    <n v="1"/>
    <d v="2023-02-12T00:00:00"/>
    <s v="Africa"/>
    <s v="Africa → Nigeria → Port Harcourt"/>
    <s v="Nigeria-2023-02"/>
    <x v="1"/>
    <s v="Port Harcourt"/>
    <s v="Non-Profit"/>
    <s v="Direct"/>
    <s v="D. Smith"/>
    <x v="6"/>
    <s v="ACC-8242"/>
    <n v="944.61"/>
    <n v="839.04"/>
    <s v="Valid"/>
    <n v="839.04"/>
    <s v="Medium"/>
    <n v="5.8999999999999997E-2"/>
    <s v="Valid"/>
    <n v="5.8999999999999997E-2"/>
    <n v="6"/>
    <n v="4737.2198399999997"/>
    <n v="5667.66"/>
    <n v="-930.44016000000011"/>
    <n v="-0.19641059343363726"/>
    <n v="1"/>
  </r>
  <r>
    <x v="543"/>
    <d v="2023-07-01T00:00:00"/>
    <s v="Jul-2023"/>
    <s v="Q3-2023"/>
    <d v="2023-07-08T00:00:00"/>
    <s v="Valid"/>
    <n v="7"/>
    <d v="2023-07-08T00:00:00"/>
    <s v="Europe"/>
    <s v="Europe → Germany → Frankfurt"/>
    <s v="Germany-2023-07"/>
    <x v="6"/>
    <s v="Frankfurt"/>
    <s v="Small Business"/>
    <s v="Distributor"/>
    <s v="N. Brown"/>
    <x v="4"/>
    <s v="LAP-4666"/>
    <n v="460.21"/>
    <n v="1139.1500000000001"/>
    <s v="Valid"/>
    <n v="1139.1500000000001"/>
    <s v="Medium"/>
    <n v="0.115"/>
    <s v="Valid"/>
    <n v="0.115"/>
    <n v="14"/>
    <n v="14114.068500000001"/>
    <n v="6442.94"/>
    <n v="7671.1285000000016"/>
    <n v="0.54350937151821255"/>
    <n v="1"/>
  </r>
  <r>
    <x v="544"/>
    <d v="2025-08-20T00:00:00"/>
    <s v="Aug-2025"/>
    <s v="Q3-2025"/>
    <d v="2025-08-26T00:00:00"/>
    <s v="Valid"/>
    <n v="6"/>
    <d v="2025-08-26T00:00:00"/>
    <s v="Americas"/>
    <s v="Americas → USA → New York"/>
    <s v="USA-2025-08"/>
    <x v="10"/>
    <s v="New York"/>
    <s v="Corporate"/>
    <s v="Retail"/>
    <s v="M. Rossi"/>
    <x v="2"/>
    <s v="NET-5196"/>
    <n v="1304.95"/>
    <n v="1712.03"/>
    <s v="Valid"/>
    <n v="1712.03"/>
    <s v="Medium"/>
    <n v="0.21199999999999999"/>
    <s v="Valid"/>
    <n v="0.21199999999999999"/>
    <n v="8"/>
    <n v="10792.637119999999"/>
    <n v="10439.6"/>
    <n v="353.03711999999905"/>
    <n v="3.2710922833287949E-2"/>
    <n v="1"/>
  </r>
  <r>
    <x v="545"/>
    <d v="2024-03-04T00:00:00"/>
    <s v="Mar-2024"/>
    <s v="Q1-2024"/>
    <d v="2024-03-16T00:00:00"/>
    <s v="Valid"/>
    <n v="12"/>
    <d v="2024-03-16T00:00:00"/>
    <s v="Africa"/>
    <s v="Africa → South Africa → Johannesburg"/>
    <s v="South Africa-2024-03"/>
    <x v="11"/>
    <s v="Johannesburg"/>
    <s v="Enterprise"/>
    <s v="Distributor"/>
    <s v="M. Rossi"/>
    <x v="5"/>
    <s v="MON-8422"/>
    <n v="441.08"/>
    <n v="1054.29"/>
    <s v="Valid"/>
    <n v="1054.29"/>
    <s v="Medium"/>
    <n v="0.23699999999999999"/>
    <s v="Valid"/>
    <n v="0.23699999999999999"/>
    <n v="6"/>
    <n v="4826.5396199999996"/>
    <n v="2646.48"/>
    <n v="2180.0596199999995"/>
    <n v="0.45168169985932899"/>
    <n v="0"/>
  </r>
  <r>
    <x v="546"/>
    <d v="2023-09-08T00:00:00"/>
    <s v="Sep-2023"/>
    <s v="Q3-2023"/>
    <d v="2023-10-02T00:00:00"/>
    <s v="Valid"/>
    <n v="24"/>
    <d v="2023-10-02T00:00:00"/>
    <s v="Americas"/>
    <s v="Americas → Canada → Toronto"/>
    <s v="Canada-2023-09"/>
    <x v="3"/>
    <s v="Toronto"/>
    <s v="Education"/>
    <s v="Direct"/>
    <s v="A. Patel"/>
    <x v="6"/>
    <s v="ACC-3415"/>
    <n v="1299.03"/>
    <n v="2451.2199999999998"/>
    <s v="Valid"/>
    <n v="2451.2199999999998"/>
    <s v="High"/>
    <n v="0.20799999999999999"/>
    <s v="Valid"/>
    <n v="0.20799999999999999"/>
    <n v="8"/>
    <n v="15530.929919999999"/>
    <n v="10392.24"/>
    <n v="5138.6899199999989"/>
    <n v="0.3308681416032041"/>
    <n v="0"/>
  </r>
  <r>
    <x v="547"/>
    <d v="2023-02-28T00:00:00"/>
    <s v="Feb-2023"/>
    <s v="Q1-2023"/>
    <d v="2023-03-06T00:00:00"/>
    <s v="Valid"/>
    <n v="6"/>
    <d v="2023-03-06T00:00:00"/>
    <s v="Europe"/>
    <s v="Europe → Germany → Frankfurt"/>
    <s v="Germany-2023-02"/>
    <x v="6"/>
    <s v="Frankfurt"/>
    <s v="Small Business"/>
    <s v="Marketplace"/>
    <s v="D. Smith"/>
    <x v="1"/>
    <s v="PRN-9624"/>
    <n v="880.02"/>
    <n v="1251.21"/>
    <s v="Valid"/>
    <n v="1251.21"/>
    <s v="Medium"/>
    <n v="0.123"/>
    <s v="Valid"/>
    <n v="0.123"/>
    <n v="29"/>
    <n v="31822.023930000003"/>
    <n v="25520.579999999998"/>
    <n v="6301.4439300000049"/>
    <n v="0.19802146915172672"/>
    <n v="1"/>
  </r>
  <r>
    <x v="548"/>
    <d v="2024-07-13T00:00:00"/>
    <s v="Jul-2024"/>
    <s v="Q3-2024"/>
    <d v="2024-08-03T00:00:00"/>
    <s v="Valid"/>
    <n v="21"/>
    <d v="2024-08-03T00:00:00"/>
    <s v="Americas"/>
    <s v="Americas → Brazil → Rio de Janeiro"/>
    <s v="Brazil-2024-07"/>
    <x v="5"/>
    <s v="Rio de Janeiro"/>
    <s v="Corporate"/>
    <s v="Marketplace"/>
    <s v="M. Rossi"/>
    <x v="5"/>
    <s v="MON-6287"/>
    <n v="702.98"/>
    <n v="1104.8"/>
    <s v="Valid"/>
    <n v="1104.8"/>
    <s v="Medium"/>
    <n v="0.17499999999999999"/>
    <s v="Valid"/>
    <n v="0.17499999999999999"/>
    <n v="12"/>
    <n v="10937.519999999999"/>
    <n v="8435.76"/>
    <n v="2501.7599999999984"/>
    <n v="0.22873192460448061"/>
    <n v="0"/>
  </r>
  <r>
    <x v="549"/>
    <d v="2024-12-07T00:00:00"/>
    <s v="Dec-2024"/>
    <s v="Q4-2024"/>
    <d v="2024-12-26T00:00:00"/>
    <s v="Valid"/>
    <n v="19"/>
    <d v="2024-12-26T00:00:00"/>
    <s v="Europe"/>
    <s v="Europe → United Kingdom → London"/>
    <s v="United Kingdom-2024-12"/>
    <x v="8"/>
    <s v="London"/>
    <s v="Enterprise"/>
    <s v="Online"/>
    <s v="D. Smith"/>
    <x v="2"/>
    <s v="NET-4491"/>
    <n v="1035.24"/>
    <n v="2383.41"/>
    <s v="Valid"/>
    <n v="2383.41"/>
    <s v="High"/>
    <n v="0.17"/>
    <s v="Valid"/>
    <n v="0.17"/>
    <n v="15"/>
    <n v="29673.454499999993"/>
    <n v="15528.6"/>
    <n v="14144.854499999992"/>
    <n v="0.47668378145860962"/>
    <n v="0"/>
  </r>
  <r>
    <x v="550"/>
    <d v="2025-08-06T00:00:00"/>
    <s v="Aug-2025"/>
    <s v="Q3-2025"/>
    <d v="2025-08-23T00:00:00"/>
    <s v="Valid"/>
    <n v="17"/>
    <d v="2025-08-23T00:00:00"/>
    <s v="Americas"/>
    <s v="Americas → Brazil → Brasília"/>
    <s v="Brazil-2025-08"/>
    <x v="5"/>
    <s v="Brasília"/>
    <s v="Consumer"/>
    <s v="Distributor"/>
    <s v="A. Patel"/>
    <x v="5"/>
    <s v="MON-4317"/>
    <n v="86.64"/>
    <n v="213.06"/>
    <s v="Valid"/>
    <n v="213.06"/>
    <s v="Low"/>
    <n v="0.21199999999999999"/>
    <s v="Valid"/>
    <n v="0.21199999999999999"/>
    <n v="11"/>
    <n v="1846.8040799999999"/>
    <n v="953.04"/>
    <n v="893.76407999999992"/>
    <n v="0.48395175735154322"/>
    <n v="0"/>
  </r>
  <r>
    <x v="551"/>
    <d v="2023-03-03T00:00:00"/>
    <s v="Mar-2023"/>
    <s v="Q1-2023"/>
    <d v="2023-03-20T00:00:00"/>
    <s v="Valid"/>
    <n v="17"/>
    <d v="2023-03-20T00:00:00"/>
    <s v="Asia"/>
    <s v="Asia → Japan → Nagoya"/>
    <s v="Japan-2023-03"/>
    <x v="2"/>
    <s v="Nagoya"/>
    <s v="Small Business"/>
    <s v="Online"/>
    <s v="D. Smith"/>
    <x v="2"/>
    <s v="NET-7349"/>
    <n v="1171.17"/>
    <n v="2030.64"/>
    <s v="Valid"/>
    <n v="2030.64"/>
    <s v="High"/>
    <n v="0.157"/>
    <s v="Valid"/>
    <n v="0.157"/>
    <n v="11"/>
    <n v="18830.12472"/>
    <n v="12882.87"/>
    <n v="5947.254719999999"/>
    <n v="0.31583724528830415"/>
    <n v="0"/>
  </r>
  <r>
    <x v="552"/>
    <d v="2025-02-16T00:00:00"/>
    <s v="Feb-2025"/>
    <s v="Q1-2025"/>
    <d v="2025-03-17T00:00:00"/>
    <s v="Valid"/>
    <n v="29"/>
    <d v="2025-03-17T00:00:00"/>
    <s v="Europe"/>
    <s v="Europe → Germany → Munich"/>
    <s v="Germany-2025-02"/>
    <x v="6"/>
    <s v="Munich"/>
    <s v="Consumer"/>
    <s v="Retail"/>
    <s v="L. Okafor"/>
    <x v="6"/>
    <s v="ACC-5150"/>
    <n v="730.42"/>
    <n v="956.7"/>
    <s v="Valid"/>
    <n v="956.7"/>
    <s v="Medium"/>
    <n v="4.2000000000000003E-2"/>
    <s v="Valid"/>
    <n v="4.2000000000000003E-2"/>
    <n v="22"/>
    <n v="20163.409200000002"/>
    <n v="16069.24"/>
    <n v="4094.1692000000021"/>
    <n v="0.20304945256975698"/>
    <n v="0"/>
  </r>
  <r>
    <x v="553"/>
    <d v="2025-02-15T00:00:00"/>
    <s v="Feb-2025"/>
    <s v="Q1-2025"/>
    <d v="2025-03-01T00:00:00"/>
    <s v="Valid"/>
    <n v="14"/>
    <d v="2025-03-01T00:00:00"/>
    <s v="Africa"/>
    <s v="Africa → Kenya → Mombasa"/>
    <s v="Kenya-2025-02"/>
    <x v="0"/>
    <s v="Mombasa"/>
    <s v="Education"/>
    <s v="Direct"/>
    <s v="L. Okafor"/>
    <x v="6"/>
    <s v="ACC-5144"/>
    <n v="1162.8599999999999"/>
    <n v="1447.68"/>
    <s v="Valid"/>
    <n v="1447.68"/>
    <s v="Medium"/>
    <n v="8.6999999999999994E-2"/>
    <s v="Valid"/>
    <n v="8.6999999999999994E-2"/>
    <n v="12"/>
    <n v="15860.782080000001"/>
    <n v="13954.32"/>
    <n v="1906.4620800000012"/>
    <n v="0.12019975247021369"/>
    <n v="0"/>
  </r>
  <r>
    <x v="554"/>
    <d v="2024-08-31T00:00:00"/>
    <s v="Aug-2024"/>
    <s v="Q3-2024"/>
    <d v="2024-09-26T00:00:00"/>
    <s v="Valid"/>
    <n v="26"/>
    <d v="2024-09-26T00:00:00"/>
    <s v="Asia"/>
    <s v="Asia → Japan → Tokyo"/>
    <s v="Japan-2024-08"/>
    <x v="2"/>
    <s v="Tokyo"/>
    <s v="Education"/>
    <s v="Online"/>
    <s v="I. Johnson"/>
    <x v="3"/>
    <s v="PHN-6111"/>
    <n v="1189.03"/>
    <n v="2949.62"/>
    <s v="Valid"/>
    <n v="2949.62"/>
    <s v="High"/>
    <n v="0.125"/>
    <s v="Valid"/>
    <n v="0.125"/>
    <n v="13"/>
    <n v="33551.927499999998"/>
    <n v="15457.39"/>
    <n v="18094.537499999999"/>
    <n v="0.53929949330034765"/>
    <n v="0"/>
  </r>
  <r>
    <x v="555"/>
    <d v="2023-05-07T00:00:00"/>
    <s v="May-2023"/>
    <s v="Q2-2023"/>
    <d v="2023-05-20T00:00:00"/>
    <s v="Valid"/>
    <n v="13"/>
    <d v="2023-05-20T00:00:00"/>
    <s v="Asia"/>
    <s v="Asia → India → Mumbai"/>
    <s v="India-2023-05"/>
    <x v="4"/>
    <s v="Mumbai"/>
    <s v="Enterprise"/>
    <s v="Retail"/>
    <s v="D. Smith"/>
    <x v="6"/>
    <s v="ACC-9283"/>
    <n v="1443.28"/>
    <n v="2580.5700000000002"/>
    <s v="Valid"/>
    <n v="2580.5700000000002"/>
    <s v="High"/>
    <n v="0"/>
    <s v="Valid"/>
    <n v="0"/>
    <n v="18"/>
    <n v="46450.26"/>
    <n v="25979.040000000001"/>
    <n v="20471.22"/>
    <n v="0.4407127107577008"/>
    <n v="0"/>
  </r>
  <r>
    <x v="556"/>
    <d v="2025-05-14T00:00:00"/>
    <s v="May-2025"/>
    <s v="Q2-2025"/>
    <d v="2025-05-12T00:00:00"/>
    <s v="Invalid RequiredDate"/>
    <n v="-2"/>
    <d v="2025-06-09T00:00:00"/>
    <s v="Americas"/>
    <s v="Americas → Canada → Vancouver"/>
    <s v="Canada-2025-05"/>
    <x v="3"/>
    <s v="Vancouver"/>
    <s v="Non-Profit"/>
    <s v="Distributor"/>
    <s v="F. Müller"/>
    <x v="1"/>
    <s v="PRN-2407"/>
    <n v="883.5"/>
    <n v="1978.91"/>
    <s v="Valid"/>
    <n v="1978.91"/>
    <s v="High"/>
    <n v="5.3999999999999999E-2"/>
    <s v="Valid"/>
    <n v="5.3999999999999999E-2"/>
    <n v="27"/>
    <n v="50545.319219999998"/>
    <n v="23854.5"/>
    <n v="26690.819219999998"/>
    <n v="0.52805718970390547"/>
    <n v="1"/>
  </r>
  <r>
    <x v="557"/>
    <d v="2024-03-11T00:00:00"/>
    <s v="Mar-2024"/>
    <s v="Q1-2024"/>
    <d v="2024-03-29T00:00:00"/>
    <s v="Valid"/>
    <n v="18"/>
    <d v="2024-03-29T00:00:00"/>
    <s v="Americas"/>
    <s v="Americas → USA → New York"/>
    <s v="USA-2024-03"/>
    <x v="10"/>
    <s v="New York"/>
    <s v="Corporate"/>
    <s v="Retail"/>
    <s v="M. Rossi"/>
    <x v="5"/>
    <s v="MON-7099"/>
    <n v="710.98"/>
    <n v="1481.45"/>
    <s v="Valid"/>
    <n v="1481.45"/>
    <s v="Medium"/>
    <n v="0.21099999999999999"/>
    <s v="Valid"/>
    <n v="0.21099999999999999"/>
    <n v="9"/>
    <n v="10519.776450000001"/>
    <n v="6398.82"/>
    <n v="4120.9564500000015"/>
    <n v="0.39173422264120461"/>
    <n v="0"/>
  </r>
  <r>
    <x v="558"/>
    <d v="2024-05-18T00:00:00"/>
    <s v="May-2024"/>
    <s v="Q2-2024"/>
    <d v="2024-05-22T00:00:00"/>
    <s v="Valid"/>
    <n v="4"/>
    <d v="2024-05-22T00:00:00"/>
    <s v="Africa"/>
    <s v="Africa → Kenya → Nairobi"/>
    <s v="Kenya-2024-05"/>
    <x v="0"/>
    <s v="Nairobi"/>
    <s v="Corporate"/>
    <s v="Direct"/>
    <s v="H. Kim"/>
    <x v="6"/>
    <s v="ACC-7354"/>
    <n v="857.42"/>
    <n v="1658.92"/>
    <s v="Valid"/>
    <n v="1658.92"/>
    <s v="Medium"/>
    <n v="0.122"/>
    <s v="Valid"/>
    <n v="0.122"/>
    <n v="9"/>
    <n v="13108.78584"/>
    <n v="7716.78"/>
    <n v="5392.0058400000007"/>
    <n v="0.41132763215544305"/>
    <n v="1"/>
  </r>
  <r>
    <x v="559"/>
    <d v="2024-01-08T00:00:00"/>
    <s v="Jan-2024"/>
    <s v="Q1-2024"/>
    <d v="2024-01-12T00:00:00"/>
    <s v="Valid"/>
    <n v="4"/>
    <d v="2024-01-12T00:00:00"/>
    <s v="Asia"/>
    <s v="Asia → India → Bengaluru"/>
    <s v="India-2024-01"/>
    <x v="4"/>
    <s v="Bengaluru"/>
    <s v="Corporate"/>
    <s v="Direct"/>
    <s v="E. Garcia"/>
    <x v="1"/>
    <s v="PRN-6585"/>
    <n v="802.32"/>
    <n v="602.34"/>
    <s v="Valid"/>
    <n v="602.34"/>
    <s v="Low"/>
    <n v="0.12"/>
    <s v="Valid"/>
    <n v="0.12"/>
    <n v="25"/>
    <n v="13251.48"/>
    <n v="20058"/>
    <n v="-6806.52"/>
    <n v="-0.51364224977134632"/>
    <n v="1"/>
  </r>
  <r>
    <x v="560"/>
    <d v="2024-10-25T00:00:00"/>
    <s v="Oct-2024"/>
    <s v="Q4-2024"/>
    <d v="2024-11-05T00:00:00"/>
    <s v="Valid"/>
    <n v="11"/>
    <d v="2024-11-05T00:00:00"/>
    <s v="Americas"/>
    <s v="Americas → USA → New York"/>
    <s v="USA-2024-10"/>
    <x v="10"/>
    <s v="New York"/>
    <s v="Corporate"/>
    <s v="Distributor"/>
    <s v="N. Brown"/>
    <x v="0"/>
    <s v="CMP-9498"/>
    <n v="446.66"/>
    <n v="527.64"/>
    <s v="Valid"/>
    <n v="527.64"/>
    <s v="Low"/>
    <n v="0.14499999999999999"/>
    <s v="Valid"/>
    <n v="0.14499999999999999"/>
    <n v="15"/>
    <n v="6766.9829999999993"/>
    <n v="6699.9000000000005"/>
    <n v="67.082999999998719"/>
    <n v="9.9132804087137105E-3"/>
    <n v="0"/>
  </r>
  <r>
    <x v="561"/>
    <d v="2024-11-30T00:00:00"/>
    <s v="Nov-2024"/>
    <s v="Q4-2024"/>
    <d v="2024-12-19T00:00:00"/>
    <s v="Valid"/>
    <n v="19"/>
    <d v="2024-12-19T00:00:00"/>
    <s v="Africa"/>
    <s v="Africa → Kenya → Kisumu"/>
    <s v="Kenya-2024-11"/>
    <x v="0"/>
    <s v="Kisumu"/>
    <s v="Corporate"/>
    <s v="Online"/>
    <s v="L. Okafor"/>
    <x v="3"/>
    <s v="PHN-1919"/>
    <n v="1195.98"/>
    <n v="1841.9"/>
    <s v="Valid"/>
    <n v="1841.9"/>
    <s v="Medium"/>
    <n v="5.5E-2"/>
    <s v="Valid"/>
    <n v="5.5E-2"/>
    <n v="19"/>
    <n v="33071.3145"/>
    <n v="22723.62"/>
    <n v="10347.694500000001"/>
    <n v="0.31289032977506842"/>
    <n v="0"/>
  </r>
  <r>
    <x v="562"/>
    <d v="2023-04-13T00:00:00"/>
    <s v="Apr-2023"/>
    <s v="Q2-2023"/>
    <d v="2023-05-02T00:00:00"/>
    <s v="Valid"/>
    <n v="19"/>
    <d v="2023-05-02T00:00:00"/>
    <s v="Americas"/>
    <s v="Americas → Canada → Montreal"/>
    <s v="Canada-2023-04"/>
    <x v="3"/>
    <s v="Montreal"/>
    <s v="Consumer"/>
    <s v="Distributor"/>
    <s v="E. Garcia"/>
    <x v="5"/>
    <s v="MON-6053"/>
    <n v="671.05"/>
    <n v="1645.48"/>
    <s v="Valid"/>
    <n v="1645.48"/>
    <s v="Medium"/>
    <n v="0.13700000000000001"/>
    <s v="Valid"/>
    <n v="0.13700000000000001"/>
    <n v="6"/>
    <n v="8520.2954399999999"/>
    <n v="4026.2999999999997"/>
    <n v="4493.9954400000006"/>
    <n v="0.52744596377517172"/>
    <n v="0"/>
  </r>
  <r>
    <x v="563"/>
    <d v="2025-02-04T00:00:00"/>
    <s v="Feb-2025"/>
    <s v="Q1-2025"/>
    <d v="2025-02-08T00:00:00"/>
    <s v="Valid"/>
    <n v="4"/>
    <d v="2025-02-08T00:00:00"/>
    <s v="Europe"/>
    <s v="Europe → United Kingdom → Manchester"/>
    <s v="United Kingdom-2025-02"/>
    <x v="8"/>
    <s v="Manchester"/>
    <s v="Enterprise"/>
    <s v="Marketplace"/>
    <s v="L. Okafor"/>
    <x v="2"/>
    <s v="NET-2502"/>
    <n v="586.21"/>
    <n v="727.22"/>
    <s v="Valid"/>
    <n v="727.22"/>
    <s v="Medium"/>
    <n v="6.8000000000000005E-2"/>
    <s v="Valid"/>
    <n v="6.8000000000000005E-2"/>
    <n v="15"/>
    <n v="10166.535600000001"/>
    <n v="8793.1500000000015"/>
    <n v="1373.3855999999996"/>
    <n v="0.13508884973559721"/>
    <n v="1"/>
  </r>
  <r>
    <x v="564"/>
    <d v="2024-01-24T00:00:00"/>
    <s v="Jan-2024"/>
    <s v="Q1-2024"/>
    <d v="2024-02-04T00:00:00"/>
    <s v="Valid"/>
    <n v="11"/>
    <d v="2024-02-04T00:00:00"/>
    <s v="Europe"/>
    <s v="Europe → United Kingdom → Manchester"/>
    <s v="United Kingdom-2024-01"/>
    <x v="8"/>
    <s v="Manchester"/>
    <s v="Consumer"/>
    <s v="Retail"/>
    <s v="B. Chen"/>
    <x v="4"/>
    <s v="LAP-5689"/>
    <n v="525.34"/>
    <n v="1233.79"/>
    <s v="Valid"/>
    <n v="1233.79"/>
    <s v="Medium"/>
    <n v="0.14299999999999999"/>
    <s v="Valid"/>
    <n v="0.14299999999999999"/>
    <n v="4"/>
    <n v="4229.4321199999995"/>
    <n v="2101.36"/>
    <n v="2128.0721199999994"/>
    <n v="0.50315788494082736"/>
    <n v="0"/>
  </r>
  <r>
    <x v="565"/>
    <d v="2024-02-08T00:00:00"/>
    <s v="Feb-2024"/>
    <s v="Q1-2024"/>
    <d v="2024-02-09T00:00:00"/>
    <s v="Valid"/>
    <n v="1"/>
    <d v="2024-02-09T00:00:00"/>
    <s v="Africa"/>
    <s v="Africa → Kenya → Mombasa"/>
    <s v="Kenya-2024-02"/>
    <x v="0"/>
    <s v="Mombasa"/>
    <s v="Corporate"/>
    <s v="Direct"/>
    <s v="F. Müller"/>
    <x v="0"/>
    <s v="CMP-5911"/>
    <n v="1233.52"/>
    <n v="1543.76"/>
    <s v="Valid"/>
    <n v="1543.76"/>
    <s v="Medium"/>
    <n v="0.126"/>
    <s v="Valid"/>
    <n v="0.126"/>
    <n v="13"/>
    <n v="17540.201120000002"/>
    <n v="16035.76"/>
    <n v="1504.4411200000013"/>
    <n v="8.5771030201277493E-2"/>
    <n v="1"/>
  </r>
  <r>
    <x v="566"/>
    <d v="2025-06-26T00:00:00"/>
    <s v="Jun-2025"/>
    <s v="Q2-2025"/>
    <d v="2025-07-11T00:00:00"/>
    <s v="Valid"/>
    <n v="15"/>
    <d v="2025-07-11T00:00:00"/>
    <s v="Africa"/>
    <s v="Africa → Nigeria → Port Harcourt"/>
    <s v="Nigeria-2025-06"/>
    <x v="1"/>
    <s v="Port Harcourt"/>
    <s v="Small Business"/>
    <s v="Online"/>
    <s v="A. Patel"/>
    <x v="4"/>
    <s v="LAP-7523"/>
    <n v="1170.1500000000001"/>
    <n v="2115.19"/>
    <s v="Valid"/>
    <n v="2115.19"/>
    <s v="High"/>
    <n v="9.1999999999999998E-2"/>
    <s v="Valid"/>
    <n v="9.1999999999999998E-2"/>
    <n v="23"/>
    <n v="44173.627960000005"/>
    <n v="26913.45"/>
    <n v="17260.177960000005"/>
    <n v="0.39073489674946776"/>
    <n v="0"/>
  </r>
  <r>
    <x v="567"/>
    <d v="2024-11-04T00:00:00"/>
    <s v="Nov-2024"/>
    <s v="Q4-2024"/>
    <d v="2024-11-07T00:00:00"/>
    <s v="Valid"/>
    <n v="3"/>
    <d v="2024-11-07T00:00:00"/>
    <s v="Europe"/>
    <s v="Europe → France → Lyon"/>
    <s v="France-2024-11"/>
    <x v="7"/>
    <s v="Lyon"/>
    <s v="Corporate"/>
    <s v="Online"/>
    <s v="O. Wang"/>
    <x v="5"/>
    <s v="MON-1118"/>
    <n v="740.68"/>
    <n v="1837.19"/>
    <s v="Valid"/>
    <n v="1837.19"/>
    <s v="Medium"/>
    <n v="0.19700000000000001"/>
    <s v="Valid"/>
    <n v="0.19700000000000001"/>
    <n v="17"/>
    <n v="25079.480689999997"/>
    <n v="12591.56"/>
    <n v="12487.920689999997"/>
    <n v="0.4979337827748298"/>
    <n v="1"/>
  </r>
  <r>
    <x v="568"/>
    <d v="2024-02-20T00:00:00"/>
    <s v="Feb-2024"/>
    <s v="Q1-2024"/>
    <d v="2024-02-20T00:00:00"/>
    <s v="Valid"/>
    <n v="0"/>
    <d v="2024-02-20T00:00:00"/>
    <s v="Americas"/>
    <s v="Americas → USA → New York"/>
    <s v="USA-2024-02"/>
    <x v="10"/>
    <s v="New York"/>
    <s v="Enterprise"/>
    <s v="Online"/>
    <s v="C. Otieno"/>
    <x v="2"/>
    <s v="NET-9177"/>
    <n v="1407.05"/>
    <n v="2858.93"/>
    <s v="Valid"/>
    <n v="2858.93"/>
    <s v="High"/>
    <n v="0"/>
    <s v="Valid"/>
    <n v="0"/>
    <n v="12"/>
    <n v="34307.159999999996"/>
    <n v="16884.599999999999"/>
    <n v="17422.559999999998"/>
    <n v="0.50784034586366222"/>
    <n v="1"/>
  </r>
  <r>
    <x v="569"/>
    <d v="2025-04-13T00:00:00"/>
    <s v="Apr-2025"/>
    <s v="Q2-2025"/>
    <d v="2025-04-14T00:00:00"/>
    <s v="Valid"/>
    <n v="1"/>
    <d v="2025-04-14T00:00:00"/>
    <s v="Asia"/>
    <s v="Asia → Japan → Osaka"/>
    <s v="Japan-2025-04"/>
    <x v="2"/>
    <s v="Osaka"/>
    <s v="Enterprise"/>
    <s v="Online"/>
    <s v="G. Dubois"/>
    <x v="0"/>
    <s v="CMP-6495"/>
    <n v="138.9"/>
    <n v="289.92"/>
    <s v="Valid"/>
    <n v="289.92"/>
    <s v="Low"/>
    <n v="2.9000000000000001E-2"/>
    <s v="Valid"/>
    <n v="2.9000000000000001E-2"/>
    <n v="12"/>
    <n v="3378.1478400000001"/>
    <n v="1666.8000000000002"/>
    <n v="1711.3478399999999"/>
    <n v="0.50659353025828491"/>
    <n v="1"/>
  </r>
  <r>
    <x v="570"/>
    <d v="2023-06-01T00:00:00"/>
    <s v="Jun-2023"/>
    <s v="Q2-2023"/>
    <d v="2023-06-01T00:00:00"/>
    <s v="Valid"/>
    <n v="0"/>
    <d v="2023-06-01T00:00:00"/>
    <s v="Asia"/>
    <s v="Asia → India → Bengaluru"/>
    <s v="India-2023-06"/>
    <x v="4"/>
    <s v="Bengaluru"/>
    <s v="Corporate"/>
    <s v="Retail"/>
    <s v="E. Garcia"/>
    <x v="6"/>
    <s v="ACC-4587"/>
    <n v="669.37"/>
    <n v="997.2"/>
    <s v="Valid"/>
    <n v="997.2"/>
    <s v="Medium"/>
    <n v="8.2000000000000003E-2"/>
    <s v="Valid"/>
    <n v="8.2000000000000003E-2"/>
    <n v="5"/>
    <n v="4577.1480000000001"/>
    <n v="3346.85"/>
    <n v="1230.2980000000002"/>
    <n v="0.26879139586484863"/>
    <n v="1"/>
  </r>
  <r>
    <x v="571"/>
    <d v="2025-03-24T00:00:00"/>
    <s v="Mar-2025"/>
    <s v="Q1-2025"/>
    <d v="2025-04-04T00:00:00"/>
    <s v="Valid"/>
    <n v="11"/>
    <d v="2025-04-04T00:00:00"/>
    <s v="Asia"/>
    <s v="Asia → India → Mumbai"/>
    <s v="India-2025-03"/>
    <x v="4"/>
    <s v="Mumbai"/>
    <s v="Education"/>
    <s v="Marketplace"/>
    <s v="J. Njeri"/>
    <x v="3"/>
    <s v="PHN-4395"/>
    <n v="23.83"/>
    <n v="47.29"/>
    <s v="Valid"/>
    <n v="47.29"/>
    <s v="Low"/>
    <n v="6.4000000000000001E-2"/>
    <s v="Valid"/>
    <n v="6.4000000000000001E-2"/>
    <n v="19"/>
    <n v="841.00536"/>
    <n v="452.77"/>
    <n v="388.23536000000001"/>
    <n v="0.46163244429262618"/>
    <n v="0"/>
  </r>
  <r>
    <x v="572"/>
    <d v="2024-01-02T00:00:00"/>
    <s v="Jan-2024"/>
    <s v="Q1-2024"/>
    <d v="2024-01-02T00:00:00"/>
    <s v="Valid"/>
    <n v="0"/>
    <d v="2024-01-02T00:00:00"/>
    <s v="Americas"/>
    <s v="Americas → Canada → Vancouver"/>
    <s v="Canada-2024-01"/>
    <x v="3"/>
    <s v="Vancouver"/>
    <s v="Education"/>
    <s v="Direct"/>
    <s v="A. Patel"/>
    <x v="4"/>
    <s v="LAP-3581"/>
    <n v="444.41"/>
    <n v="754.24"/>
    <s v="Valid"/>
    <n v="754.24"/>
    <s v="Medium"/>
    <n v="0.20699999999999999"/>
    <s v="Valid"/>
    <n v="0.20699999999999999"/>
    <n v="32"/>
    <n v="19139.594240000002"/>
    <n v="14221.12"/>
    <n v="4918.4742400000014"/>
    <n v="0.25697902360546598"/>
    <n v="1"/>
  </r>
  <r>
    <x v="573"/>
    <d v="2023-12-19T00:00:00"/>
    <s v="Dec-2023"/>
    <s v="Q4-2023"/>
    <d v="2024-01-01T00:00:00"/>
    <s v="Valid"/>
    <n v="13"/>
    <d v="2024-01-01T00:00:00"/>
    <s v="Americas"/>
    <s v="Americas → Canada → Toronto"/>
    <s v="Canada-2023-12"/>
    <x v="3"/>
    <s v="Toronto"/>
    <s v="Enterprise"/>
    <s v="Retail"/>
    <s v="K. Singh"/>
    <x v="5"/>
    <s v="MON-6065"/>
    <n v="856.1"/>
    <n v="901.48"/>
    <s v="Valid"/>
    <n v="901.48"/>
    <s v="Medium"/>
    <n v="5.6000000000000001E-2"/>
    <s v="Valid"/>
    <n v="5.6000000000000001E-2"/>
    <n v="17"/>
    <n v="14466.95104"/>
    <n v="14553.7"/>
    <n v="-86.748960000000807"/>
    <n v="-5.9963540182134192E-3"/>
    <n v="0"/>
  </r>
  <r>
    <x v="574"/>
    <d v="2023-04-26T00:00:00"/>
    <s v="Apr-2023"/>
    <s v="Q2-2023"/>
    <d v="2023-04-26T00:00:00"/>
    <s v="Valid"/>
    <n v="0"/>
    <d v="2023-04-26T00:00:00"/>
    <s v="Europe"/>
    <s v="Europe → France → Marseille"/>
    <s v="France-2023-04"/>
    <x v="7"/>
    <s v="Marseille"/>
    <s v="Consumer"/>
    <s v="Direct"/>
    <s v="M. Rossi"/>
    <x v="0"/>
    <s v="CMP-4945"/>
    <n v="81.489999999999995"/>
    <n v="113.08"/>
    <s v="Valid"/>
    <n v="113.08"/>
    <s v="Low"/>
    <n v="0.121"/>
    <s v="Valid"/>
    <n v="0.121"/>
    <n v="5"/>
    <n v="496.98660000000001"/>
    <n v="407.45"/>
    <n v="89.536600000000021"/>
    <n v="0.18015898215364362"/>
    <n v="1"/>
  </r>
  <r>
    <x v="575"/>
    <d v="2025-08-03T00:00:00"/>
    <s v="Aug-2025"/>
    <s v="Q3-2025"/>
    <d v="2025-08-16T00:00:00"/>
    <s v="Valid"/>
    <n v="13"/>
    <d v="2025-08-16T00:00:00"/>
    <s v="Americas"/>
    <s v="Americas → Canada → Montreal"/>
    <s v="Canada-2025-08"/>
    <x v="3"/>
    <s v="Montreal"/>
    <s v="Enterprise"/>
    <s v="Distributor"/>
    <s v="O. Wang"/>
    <x v="2"/>
    <s v="NET-3785"/>
    <n v="698.66"/>
    <n v="868.62"/>
    <s v="Valid"/>
    <n v="868.62"/>
    <s v="Medium"/>
    <n v="7.1999999999999995E-2"/>
    <s v="Valid"/>
    <n v="7.1999999999999995E-2"/>
    <n v="15"/>
    <n v="12091.190399999999"/>
    <n v="10479.9"/>
    <n v="1611.2903999999999"/>
    <n v="0.13326151906432637"/>
    <n v="0"/>
  </r>
  <r>
    <x v="576"/>
    <d v="2023-08-02T00:00:00"/>
    <s v="Aug-2023"/>
    <s v="Q3-2023"/>
    <d v="2023-08-19T00:00:00"/>
    <s v="Valid"/>
    <n v="17"/>
    <d v="2023-08-19T00:00:00"/>
    <s v="Americas"/>
    <s v="Americas → Canada → Vancouver"/>
    <s v="Canada-2023-08"/>
    <x v="3"/>
    <s v="Vancouver"/>
    <s v="Corporate"/>
    <s v="Online"/>
    <s v="F. Müller"/>
    <x v="2"/>
    <s v="NET-3689"/>
    <n v="175.38"/>
    <n v="347.9"/>
    <s v="Valid"/>
    <n v="347.9"/>
    <s v="Low"/>
    <n v="7.1999999999999995E-2"/>
    <s v="Valid"/>
    <n v="7.1999999999999995E-2"/>
    <n v="43"/>
    <n v="13882.6016"/>
    <n v="7541.34"/>
    <n v="6341.2615999999998"/>
    <n v="0.45677761148169804"/>
    <n v="0"/>
  </r>
  <r>
    <x v="577"/>
    <d v="2023-06-15T00:00:00"/>
    <s v="Jun-2023"/>
    <s v="Q2-2023"/>
    <d v="2023-07-12T00:00:00"/>
    <s v="Valid"/>
    <n v="27"/>
    <d v="2023-07-12T00:00:00"/>
    <s v="Europe"/>
    <s v="Europe → United Kingdom → Manchester"/>
    <s v="United Kingdom-2023-06"/>
    <x v="8"/>
    <s v="Manchester"/>
    <s v="Consumer"/>
    <s v="Direct"/>
    <s v="I. Johnson"/>
    <x v="6"/>
    <s v="ACC-3833"/>
    <n v="751.28"/>
    <n v="1111.8800000000001"/>
    <s v="Valid"/>
    <n v="1111.8800000000001"/>
    <s v="Medium"/>
    <n v="0.13500000000000001"/>
    <s v="Valid"/>
    <n v="0.13500000000000001"/>
    <n v="7"/>
    <n v="6732.4334000000008"/>
    <n v="5258.96"/>
    <n v="1473.4734000000008"/>
    <n v="0.21886193482433863"/>
    <n v="0"/>
  </r>
  <r>
    <x v="578"/>
    <d v="2024-11-11T00:00:00"/>
    <s v="Nov-2024"/>
    <s v="Q4-2024"/>
    <d v="2024-11-24T00:00:00"/>
    <s v="Valid"/>
    <n v="13"/>
    <d v="2024-11-24T00:00:00"/>
    <s v="Europe"/>
    <s v="Europe → United Kingdom → London"/>
    <s v="United Kingdom-2024-11"/>
    <x v="8"/>
    <s v="London"/>
    <s v="Corporate"/>
    <s v="Retail"/>
    <s v="E. Garcia"/>
    <x v="2"/>
    <s v="NET-2932"/>
    <n v="164.53"/>
    <n v="327.72"/>
    <s v="Valid"/>
    <n v="327.72"/>
    <s v="Low"/>
    <n v="6.7000000000000004E-2"/>
    <s v="Valid"/>
    <n v="6.7000000000000004E-2"/>
    <n v="14"/>
    <n v="4280.6786400000001"/>
    <n v="2303.42"/>
    <n v="1977.25864"/>
    <n v="0.46190307805960412"/>
    <n v="0"/>
  </r>
  <r>
    <x v="579"/>
    <d v="2025-07-11T00:00:00"/>
    <s v="Jul-2025"/>
    <s v="Q3-2025"/>
    <d v="2025-08-03T00:00:00"/>
    <s v="Valid"/>
    <n v="23"/>
    <d v="2025-08-03T00:00:00"/>
    <s v="Africa"/>
    <s v="Africa → Kenya → Nakuru"/>
    <s v="Kenya-2025-07"/>
    <x v="0"/>
    <s v="Nakuru"/>
    <s v="Small Business"/>
    <s v="Retail"/>
    <s v="C. Otieno"/>
    <x v="3"/>
    <s v="PHN-7636"/>
    <n v="389.93"/>
    <n v="486.13"/>
    <s v="Valid"/>
    <n v="486.13"/>
    <s v="Low"/>
    <n v="0.13200000000000001"/>
    <s v="Valid"/>
    <n v="0.13200000000000001"/>
    <n v="17"/>
    <n v="7173.3342799999991"/>
    <n v="6628.81"/>
    <n v="544.52427999999873"/>
    <n v="7.5909508569562828E-2"/>
    <n v="0"/>
  </r>
  <r>
    <x v="580"/>
    <d v="2023-06-03T00:00:00"/>
    <s v="Jun-2023"/>
    <s v="Q2-2023"/>
    <d v="2023-07-01T00:00:00"/>
    <s v="Valid"/>
    <n v="28"/>
    <d v="2023-07-01T00:00:00"/>
    <s v="Americas"/>
    <s v="Americas → Brazil → Brasília"/>
    <s v="Brazil-2023-06"/>
    <x v="5"/>
    <s v="Brasília"/>
    <s v="Small Business"/>
    <s v="Marketplace"/>
    <s v="A. Patel"/>
    <x v="0"/>
    <s v="CMP-1223"/>
    <n v="860.4"/>
    <n v="2066.6"/>
    <s v="Valid"/>
    <n v="2066.6"/>
    <s v="High"/>
    <n v="0.01"/>
    <s v="Valid"/>
    <n v="0.01"/>
    <n v="3"/>
    <n v="6137.8019999999988"/>
    <n v="2581.1999999999998"/>
    <n v="3556.601999999999"/>
    <n v="0.57945857491004105"/>
    <n v="0"/>
  </r>
  <r>
    <x v="581"/>
    <d v="2023-01-29T00:00:00"/>
    <s v="Jan-2023"/>
    <s v="Q1-2023"/>
    <d v="2023-02-06T00:00:00"/>
    <s v="Valid"/>
    <n v="8"/>
    <d v="2023-02-06T00:00:00"/>
    <s v="Americas"/>
    <s v="Americas → Brazil → Brasília"/>
    <s v="Brazil-2023-01"/>
    <x v="5"/>
    <s v="Brasília"/>
    <s v="Corporate"/>
    <s v="Marketplace"/>
    <s v="D. Smith"/>
    <x v="5"/>
    <s v="MON-7207"/>
    <n v="41.84"/>
    <n v="86.2"/>
    <s v="Valid"/>
    <n v="86.2"/>
    <s v="Low"/>
    <n v="0.22600000000000001"/>
    <s v="Valid"/>
    <n v="0.22600000000000001"/>
    <n v="27"/>
    <n v="1801.4076000000002"/>
    <n v="1129.68"/>
    <n v="671.72760000000017"/>
    <n v="0.37289039970742882"/>
    <n v="0"/>
  </r>
  <r>
    <x v="582"/>
    <d v="2024-09-06T00:00:00"/>
    <s v="Sep-2024"/>
    <s v="Q3-2024"/>
    <d v="2024-09-04T00:00:00"/>
    <s v="Invalid RequiredDate"/>
    <n v="-2"/>
    <d v="2024-10-02T00:00:00"/>
    <s v="Asia"/>
    <s v="Asia → Japan → Osaka"/>
    <s v="Japan-2024-09"/>
    <x v="2"/>
    <s v="Osaka"/>
    <s v="Corporate"/>
    <s v="Direct"/>
    <s v="A. Patel"/>
    <x v="4"/>
    <s v="LAP-4483"/>
    <n v="1368.17"/>
    <n v="2307.75"/>
    <s v="Valid"/>
    <n v="2307.75"/>
    <s v="High"/>
    <n v="0.16300000000000001"/>
    <s v="Valid"/>
    <n v="0.16300000000000001"/>
    <n v="21"/>
    <n v="40563.321749999996"/>
    <n v="28731.57"/>
    <n v="11831.751749999996"/>
    <n v="0.29168596750831921"/>
    <n v="1"/>
  </r>
  <r>
    <x v="583"/>
    <d v="2024-08-03T00:00:00"/>
    <s v="Aug-2024"/>
    <s v="Q3-2024"/>
    <d v="2024-08-09T00:00:00"/>
    <s v="Valid"/>
    <n v="6"/>
    <d v="2024-08-09T00:00:00"/>
    <s v="Africa"/>
    <s v="Africa → Kenya → Mombasa"/>
    <s v="Kenya-2024-08"/>
    <x v="0"/>
    <s v="Mombasa"/>
    <s v="Consumer"/>
    <s v="Marketplace"/>
    <s v="H. Kim"/>
    <x v="4"/>
    <s v="LAP-1969"/>
    <n v="643.21"/>
    <n v="1112.81"/>
    <s v="Valid"/>
    <n v="1112.81"/>
    <s v="Medium"/>
    <n v="0.14099999999999999"/>
    <s v="Valid"/>
    <n v="0.14099999999999999"/>
    <n v="4"/>
    <n v="3823.6151599999998"/>
    <n v="2572.84"/>
    <n v="1250.7751599999997"/>
    <n v="0.32711847496702562"/>
    <n v="1"/>
  </r>
  <r>
    <x v="584"/>
    <d v="2025-04-17T00:00:00"/>
    <s v="Apr-2025"/>
    <s v="Q2-2025"/>
    <d v="2025-04-17T00:00:00"/>
    <s v="Valid"/>
    <n v="0"/>
    <d v="2025-04-17T00:00:00"/>
    <s v="Americas"/>
    <s v="Americas → Brazil → São Paulo"/>
    <s v="Brazil-2025-04"/>
    <x v="5"/>
    <s v="São Paulo"/>
    <s v="Corporate"/>
    <s v="Distributor"/>
    <s v="L. Okafor"/>
    <x v="3"/>
    <s v="PHN-4566"/>
    <n v="719.41"/>
    <n v="1125.99"/>
    <s v="Valid"/>
    <n v="1125.99"/>
    <s v="Medium"/>
    <n v="4.1000000000000002E-2"/>
    <s v="Valid"/>
    <n v="4.1000000000000002E-2"/>
    <n v="21"/>
    <n v="22676.312610000001"/>
    <n v="15107.609999999999"/>
    <n v="7568.7026100000021"/>
    <n v="0.33377131194876403"/>
    <n v="1"/>
  </r>
  <r>
    <x v="585"/>
    <d v="2023-05-03T00:00:00"/>
    <s v="May-2023"/>
    <s v="Q2-2023"/>
    <d v="2023-05-16T00:00:00"/>
    <s v="Valid"/>
    <n v="13"/>
    <d v="2023-05-16T00:00:00"/>
    <s v="Americas"/>
    <s v="Americas → USA → New York"/>
    <s v="USA-2023-05"/>
    <x v="10"/>
    <s v="New York"/>
    <s v="Corporate"/>
    <s v="Marketplace"/>
    <s v="L. Okafor"/>
    <x v="3"/>
    <s v="PHN-5366"/>
    <n v="64.5"/>
    <n v="123.62"/>
    <s v="Valid"/>
    <n v="123.62"/>
    <s v="Low"/>
    <n v="0"/>
    <s v="Valid"/>
    <n v="0"/>
    <n v="3"/>
    <n v="370.86"/>
    <n v="193.5"/>
    <n v="177.36"/>
    <n v="0.47823976702798904"/>
    <n v="0"/>
  </r>
  <r>
    <x v="586"/>
    <d v="2024-03-13T00:00:00"/>
    <s v="Mar-2024"/>
    <s v="Q1-2024"/>
    <d v="2024-04-06T00:00:00"/>
    <s v="Valid"/>
    <n v="24"/>
    <d v="2024-04-06T00:00:00"/>
    <s v="Africa"/>
    <s v="Africa → Nigeria → Abuja"/>
    <s v="Nigeria-2024-03"/>
    <x v="1"/>
    <s v="Abuja"/>
    <s v="Consumer"/>
    <s v="Distributor"/>
    <s v="L. Okafor"/>
    <x v="0"/>
    <s v="CMP-9001"/>
    <n v="1232.78"/>
    <n v="1731.75"/>
    <s v="Valid"/>
    <n v="1731.75"/>
    <s v="Medium"/>
    <n v="9.2999999999999999E-2"/>
    <s v="Valid"/>
    <n v="9.2999999999999999E-2"/>
    <n v="16"/>
    <n v="25131.155999999999"/>
    <n v="19724.48"/>
    <n v="5406.6759999999995"/>
    <n v="0.21513837246484005"/>
    <n v="0"/>
  </r>
  <r>
    <x v="587"/>
    <d v="2024-06-16T00:00:00"/>
    <s v="Jun-2024"/>
    <s v="Q2-2024"/>
    <d v="2024-06-21T00:00:00"/>
    <s v="Valid"/>
    <n v="5"/>
    <d v="2024-06-21T00:00:00"/>
    <s v="Asia"/>
    <s v="Asia → Japan → Tokyo"/>
    <s v="Japan-2024-06"/>
    <x v="2"/>
    <s v="Tokyo"/>
    <s v="Small Business"/>
    <s v="Distributor"/>
    <s v="F. Müller"/>
    <x v="3"/>
    <s v="PHN-9677"/>
    <n v="1367.13"/>
    <n v="3062.01"/>
    <s v="Valid"/>
    <n v="3062.01"/>
    <s v="High"/>
    <n v="0.10299999999999999"/>
    <s v="Valid"/>
    <n v="0.10299999999999999"/>
    <n v="25"/>
    <n v="68665.574250000005"/>
    <n v="34178.25"/>
    <n v="34487.324250000005"/>
    <n v="0.50225057645971705"/>
    <n v="1"/>
  </r>
  <r>
    <x v="588"/>
    <d v="2025-02-15T00:00:00"/>
    <s v="Feb-2025"/>
    <s v="Q1-2025"/>
    <d v="2025-02-27T00:00:00"/>
    <s v="Valid"/>
    <n v="12"/>
    <d v="2025-02-27T00:00:00"/>
    <s v="Europe"/>
    <s v="Europe → France → Lyon"/>
    <s v="France-2025-02"/>
    <x v="7"/>
    <s v="Lyon"/>
    <s v="Non-Profit"/>
    <s v="Direct"/>
    <s v="K. Singh"/>
    <x v="6"/>
    <s v="ACC-1604"/>
    <n v="1027.26"/>
    <n v="2200.41"/>
    <s v="Valid"/>
    <n v="2200.41"/>
    <s v="High"/>
    <n v="8.7999999999999995E-2"/>
    <s v="Valid"/>
    <n v="8.7999999999999995E-2"/>
    <n v="6"/>
    <n v="12040.64352"/>
    <n v="6163.5599999999995"/>
    <n v="5877.0835200000001"/>
    <n v="0.48810377204822358"/>
    <n v="0"/>
  </r>
  <r>
    <x v="589"/>
    <d v="2023-04-03T00:00:00"/>
    <s v="Apr-2023"/>
    <s v="Q2-2023"/>
    <d v="2023-04-16T00:00:00"/>
    <s v="Valid"/>
    <n v="13"/>
    <d v="2023-04-16T00:00:00"/>
    <s v="Europe"/>
    <s v="Europe → France → Marseille"/>
    <s v="France-2023-04"/>
    <x v="7"/>
    <s v="Marseille"/>
    <s v="Non-Profit"/>
    <s v="Marketplace"/>
    <s v="M. Rossi"/>
    <x v="6"/>
    <s v="ACC-4815"/>
    <n v="790.54"/>
    <n v="601.49"/>
    <s v="Valid"/>
    <n v="601.49"/>
    <s v="Low"/>
    <n v="0"/>
    <s v="Valid"/>
    <n v="0"/>
    <n v="15"/>
    <n v="9022.35"/>
    <n v="11858.099999999999"/>
    <n v="-2835.7499999999982"/>
    <n v="-0.31430281467688553"/>
    <n v="0"/>
  </r>
  <r>
    <x v="590"/>
    <d v="2025-08-30T00:00:00"/>
    <s v="Aug-2025"/>
    <s v="Q3-2025"/>
    <d v="2025-09-22T00:00:00"/>
    <s v="Valid"/>
    <n v="23"/>
    <d v="2025-09-22T00:00:00"/>
    <s v="Europe"/>
    <s v="Europe → France → Marseille"/>
    <s v="France-2025-08"/>
    <x v="7"/>
    <s v="Marseille"/>
    <s v="Corporate"/>
    <s v="Direct"/>
    <s v="E. Garcia"/>
    <x v="0"/>
    <s v="CMP-5311"/>
    <n v="663.9"/>
    <n v="947.77"/>
    <s v="Valid"/>
    <n v="947.77"/>
    <s v="Medium"/>
    <n v="0.17399999999999999"/>
    <s v="Valid"/>
    <n v="0.17399999999999999"/>
    <n v="15"/>
    <n v="11742.8703"/>
    <n v="9958.5"/>
    <n v="1784.3703000000005"/>
    <n v="0.1519535049280073"/>
    <n v="0"/>
  </r>
  <r>
    <x v="591"/>
    <d v="2023-02-27T00:00:00"/>
    <s v="Feb-2023"/>
    <s v="Q1-2023"/>
    <d v="2023-02-26T00:00:00"/>
    <s v="Invalid RequiredDate"/>
    <n v="-1"/>
    <d v="2023-03-25T00:00:00"/>
    <s v="Americas"/>
    <s v="Americas → USA → San Francisco"/>
    <s v="USA-2023-02"/>
    <x v="10"/>
    <s v="San Francisco"/>
    <s v="Non-Profit"/>
    <s v="Online"/>
    <s v="L. Okafor"/>
    <x v="2"/>
    <s v="NET-1282"/>
    <n v="1015.91"/>
    <n v="2331.48"/>
    <s v="Valid"/>
    <n v="2331.48"/>
    <s v="High"/>
    <n v="0.14599999999999999"/>
    <s v="Valid"/>
    <n v="0.14599999999999999"/>
    <n v="26"/>
    <n v="51768.181920000003"/>
    <n v="26413.66"/>
    <n v="25354.521920000003"/>
    <n v="0.48977037592669626"/>
    <n v="1"/>
  </r>
  <r>
    <x v="592"/>
    <d v="2024-07-31T00:00:00"/>
    <s v="Jul-2024"/>
    <s v="Q3-2024"/>
    <d v="2024-08-15T00:00:00"/>
    <s v="Valid"/>
    <n v="15"/>
    <d v="2024-08-15T00:00:00"/>
    <s v="Asia"/>
    <s v="Asia → Japan → Tokyo"/>
    <s v="Japan-2024-07"/>
    <x v="2"/>
    <s v="Tokyo"/>
    <s v="Corporate"/>
    <s v="Marketplace"/>
    <s v="F. Müller"/>
    <x v="5"/>
    <s v="MON-1564"/>
    <n v="1252.52"/>
    <n v="1417.24"/>
    <s v="Valid"/>
    <n v="1417.24"/>
    <s v="Medium"/>
    <n v="0.192"/>
    <s v="Valid"/>
    <n v="0.192"/>
    <n v="5"/>
    <n v="5725.6496000000006"/>
    <n v="6262.6"/>
    <n v="-536.95039999999972"/>
    <n v="-9.3779821943696953E-2"/>
    <n v="0"/>
  </r>
  <r>
    <x v="593"/>
    <d v="2025-06-15T00:00:00"/>
    <s v="Jun-2025"/>
    <s v="Q2-2025"/>
    <d v="2025-07-12T00:00:00"/>
    <s v="Valid"/>
    <n v="27"/>
    <d v="2025-07-12T00:00:00"/>
    <s v="Europe"/>
    <s v="Europe → France → Marseille"/>
    <s v="France-2025-06"/>
    <x v="7"/>
    <s v="Marseille"/>
    <s v="Consumer"/>
    <s v="Direct"/>
    <s v="C. Otieno"/>
    <x v="6"/>
    <s v="ACC-7906"/>
    <n v="318.83"/>
    <n v="699.5"/>
    <s v="Valid"/>
    <n v="699.5"/>
    <s v="Medium"/>
    <n v="0.08"/>
    <s v="Valid"/>
    <n v="0.08"/>
    <n v="13"/>
    <n v="8366.02"/>
    <n v="4144.79"/>
    <n v="4221.2300000000005"/>
    <n v="0.50456848059172699"/>
    <n v="0"/>
  </r>
  <r>
    <x v="594"/>
    <d v="2024-06-30T00:00:00"/>
    <s v="Jun-2024"/>
    <s v="Q2-2024"/>
    <d v="2024-07-21T00:00:00"/>
    <s v="Valid"/>
    <n v="21"/>
    <d v="2024-07-21T00:00:00"/>
    <s v="Africa"/>
    <s v="Africa → Kenya → Kisumu"/>
    <s v="Kenya-2024-06"/>
    <x v="0"/>
    <s v="Kisumu"/>
    <s v="Small Business"/>
    <s v="Retail"/>
    <s v="K. Singh"/>
    <x v="4"/>
    <s v="LAP-6577"/>
    <n v="753.43"/>
    <n v="1787.2"/>
    <s v="Valid"/>
    <n v="1787.2"/>
    <s v="Medium"/>
    <n v="7.2999999999999995E-2"/>
    <s v="Valid"/>
    <n v="7.2999999999999995E-2"/>
    <n v="9"/>
    <n v="14910.609600000002"/>
    <n v="6780.87"/>
    <n v="8129.7396000000017"/>
    <n v="0.54523187301476939"/>
    <n v="0"/>
  </r>
  <r>
    <x v="595"/>
    <d v="2025-02-17T00:00:00"/>
    <s v="Feb-2025"/>
    <s v="Q1-2025"/>
    <d v="2025-02-15T00:00:00"/>
    <s v="Invalid RequiredDate"/>
    <n v="-2"/>
    <d v="2025-03-15T00:00:00"/>
    <s v="Americas"/>
    <s v="Americas → Canada → Toronto"/>
    <s v="Canada-2025-02"/>
    <x v="3"/>
    <s v="Toronto"/>
    <s v="Small Business"/>
    <s v="Retail"/>
    <s v="D. Smith"/>
    <x v="0"/>
    <s v="CMP-5065"/>
    <n v="1133.47"/>
    <n v="1698.75"/>
    <s v="Valid"/>
    <n v="1698.75"/>
    <s v="Medium"/>
    <n v="4.2999999999999997E-2"/>
    <s v="Valid"/>
    <n v="4.2999999999999997E-2"/>
    <n v="5"/>
    <n v="8128.5187499999993"/>
    <n v="5667.35"/>
    <n v="2461.1687499999989"/>
    <n v="0.30278194904821976"/>
    <n v="1"/>
  </r>
  <r>
    <x v="596"/>
    <d v="2023-01-07T00:00:00"/>
    <s v="Jan-2023"/>
    <s v="Q1-2023"/>
    <d v="2023-01-30T00:00:00"/>
    <s v="Valid"/>
    <n v="23"/>
    <d v="2023-01-30T00:00:00"/>
    <s v="Africa"/>
    <s v="Africa → South Africa → Cape Town"/>
    <s v="South Africa-2023-01"/>
    <x v="11"/>
    <s v="Cape Town"/>
    <s v="Consumer"/>
    <s v="Online"/>
    <s v="A. Patel"/>
    <x v="1"/>
    <s v="PRN-4787"/>
    <n v="299.02"/>
    <n v="724.7"/>
    <s v="Valid"/>
    <n v="724.7"/>
    <s v="Medium"/>
    <n v="0.14000000000000001"/>
    <s v="Valid"/>
    <n v="0.14000000000000001"/>
    <n v="5"/>
    <n v="3116.21"/>
    <n v="1495.1"/>
    <n v="1621.1100000000001"/>
    <n v="0.52021847051386139"/>
    <n v="0"/>
  </r>
  <r>
    <x v="597"/>
    <d v="2025-03-10T00:00:00"/>
    <s v="Mar-2025"/>
    <s v="Q1-2025"/>
    <d v="2025-04-04T00:00:00"/>
    <s v="Valid"/>
    <n v="25"/>
    <d v="2025-04-04T00:00:00"/>
    <s v="Asia"/>
    <s v="Asia → Japan → Osaka"/>
    <s v="Japan-2025-03"/>
    <x v="2"/>
    <s v="Osaka"/>
    <s v="Corporate"/>
    <s v="Direct"/>
    <s v="H. Kim"/>
    <x v="1"/>
    <s v="PRN-9867"/>
    <n v="783.72"/>
    <n v="1355.94"/>
    <s v="Valid"/>
    <n v="1355.94"/>
    <s v="Medium"/>
    <n v="0.187"/>
    <s v="Valid"/>
    <n v="0.187"/>
    <n v="4"/>
    <n v="4409.5168800000001"/>
    <n v="3134.88"/>
    <n v="1274.63688"/>
    <n v="0.28906497348525856"/>
    <n v="0"/>
  </r>
  <r>
    <x v="598"/>
    <d v="2024-08-17T00:00:00"/>
    <s v="Aug-2024"/>
    <s v="Q3-2024"/>
    <d v="2024-08-15T00:00:00"/>
    <s v="Invalid RequiredDate"/>
    <n v="-2"/>
    <d v="2024-09-12T00:00:00"/>
    <s v="Americas"/>
    <s v="Americas → Brazil → Rio de Janeiro"/>
    <s v="Brazil-2024-08"/>
    <x v="5"/>
    <s v="Rio de Janeiro"/>
    <s v="Consumer"/>
    <s v="Direct"/>
    <s v="M. Rossi"/>
    <x v="5"/>
    <s v="MON-2849"/>
    <n v="165.3"/>
    <n v="275.07"/>
    <s v="Valid"/>
    <n v="275.07"/>
    <s v="Low"/>
    <n v="0.13300000000000001"/>
    <s v="Valid"/>
    <n v="0.13300000000000001"/>
    <n v="25"/>
    <n v="5962.1422499999999"/>
    <n v="4132.5"/>
    <n v="1829.6422499999999"/>
    <n v="0.30687665159280625"/>
    <n v="1"/>
  </r>
  <r>
    <x v="599"/>
    <d v="2024-03-09T00:00:00"/>
    <s v="Mar-2024"/>
    <s v="Q1-2024"/>
    <d v="2024-03-22T00:00:00"/>
    <s v="Valid"/>
    <n v="13"/>
    <d v="2024-03-22T00:00:00"/>
    <s v="Europe"/>
    <s v="Europe → United Kingdom → Manchester"/>
    <s v="United Kingdom-2024-03"/>
    <x v="8"/>
    <s v="Manchester"/>
    <s v="Consumer"/>
    <s v="Online"/>
    <s v="E. Garcia"/>
    <x v="4"/>
    <s v="LAP-8633"/>
    <n v="985.45"/>
    <n v="1802.44"/>
    <s v="Valid"/>
    <n v="1802.44"/>
    <s v="Medium"/>
    <n v="8.9999999999999993E-3"/>
    <s v="Valid"/>
    <n v="8.9999999999999993E-3"/>
    <n v="19"/>
    <n v="33938.142760000002"/>
    <n v="18723.55"/>
    <n v="15214.592760000003"/>
    <n v="0.44830363486867486"/>
    <n v="0"/>
  </r>
  <r>
    <x v="600"/>
    <d v="2024-08-19T00:00:00"/>
    <s v="Aug-2024"/>
    <s v="Q3-2024"/>
    <d v="2024-09-02T00:00:00"/>
    <s v="Valid"/>
    <n v="14"/>
    <d v="2024-09-02T00:00:00"/>
    <s v="Americas"/>
    <s v="Americas → Canada → Toronto"/>
    <s v="Canada-2024-08"/>
    <x v="3"/>
    <s v="Toronto"/>
    <s v="Consumer"/>
    <s v="Distributor"/>
    <s v="C. Otieno"/>
    <x v="1"/>
    <s v="PRN-9793"/>
    <n v="1337.01"/>
    <n v="1269.78"/>
    <s v="Valid"/>
    <n v="1269.78"/>
    <s v="Medium"/>
    <n v="0.16"/>
    <s v="Valid"/>
    <n v="0.16"/>
    <n v="7"/>
    <n v="7466.3063999999986"/>
    <n v="9359.07"/>
    <n v="-1892.7636000000011"/>
    <n v="-0.25350735672996244"/>
    <n v="0"/>
  </r>
  <r>
    <x v="601"/>
    <d v="2025-08-11T00:00:00"/>
    <s v="Aug-2025"/>
    <s v="Q3-2025"/>
    <d v="2025-08-28T00:00:00"/>
    <s v="Valid"/>
    <n v="17"/>
    <d v="2025-08-28T00:00:00"/>
    <s v="Europe"/>
    <s v="Europe → France → Paris"/>
    <s v="France-2025-08"/>
    <x v="7"/>
    <s v="Paris"/>
    <s v="Education"/>
    <s v="Online"/>
    <s v="F. Müller"/>
    <x v="2"/>
    <s v="NET-6218"/>
    <n v="416.16"/>
    <n v="571.9"/>
    <s v="Valid"/>
    <n v="571.9"/>
    <s v="Low"/>
    <n v="7.0999999999999994E-2"/>
    <s v="Valid"/>
    <n v="7.0999999999999994E-2"/>
    <n v="2"/>
    <n v="1062.5902000000001"/>
    <n v="832.32"/>
    <n v="230.27020000000005"/>
    <n v="0.21670649701079497"/>
    <n v="0"/>
  </r>
  <r>
    <x v="602"/>
    <d v="2025-05-16T00:00:00"/>
    <s v="May-2025"/>
    <s v="Q2-2025"/>
    <d v="2025-05-18T00:00:00"/>
    <s v="Valid"/>
    <n v="2"/>
    <d v="2025-05-18T00:00:00"/>
    <s v="Asia"/>
    <s v="Asia → Japan → Tokyo"/>
    <s v="Japan-2025-05"/>
    <x v="2"/>
    <s v="Tokyo"/>
    <s v="Enterprise"/>
    <s v="Retail"/>
    <s v="J. Njeri"/>
    <x v="1"/>
    <s v="PRN-6131"/>
    <n v="1144.3800000000001"/>
    <n v="2755.04"/>
    <s v="Valid"/>
    <n v="2755.04"/>
    <s v="High"/>
    <n v="0.15"/>
    <s v="Valid"/>
    <n v="0.15"/>
    <n v="17"/>
    <n v="39810.328000000001"/>
    <n v="19454.460000000003"/>
    <n v="20355.867999999999"/>
    <n v="0.51132128326096682"/>
    <n v="1"/>
  </r>
  <r>
    <x v="603"/>
    <d v="2023-04-10T00:00:00"/>
    <s v="Apr-2023"/>
    <s v="Q2-2023"/>
    <d v="2023-04-25T00:00:00"/>
    <s v="Valid"/>
    <n v="15"/>
    <d v="2023-04-25T00:00:00"/>
    <s v="Europe"/>
    <s v="Europe → United Kingdom → London"/>
    <s v="United Kingdom-2023-04"/>
    <x v="8"/>
    <s v="London"/>
    <s v="Small Business"/>
    <s v="Retail"/>
    <s v="D. Smith"/>
    <x v="1"/>
    <s v="PRN-5067"/>
    <n v="405.66"/>
    <n v="962.51"/>
    <s v="Valid"/>
    <n v="962.51"/>
    <s v="Medium"/>
    <n v="0.19"/>
    <s v="Valid"/>
    <n v="0.19"/>
    <n v="7"/>
    <n v="5457.4317000000001"/>
    <n v="2839.6200000000003"/>
    <n v="2617.8116999999997"/>
    <n v="0.47967832561239376"/>
    <n v="0"/>
  </r>
  <r>
    <x v="604"/>
    <d v="2023-09-17T00:00:00"/>
    <s v="Sep-2023"/>
    <s v="Q3-2023"/>
    <d v="2023-10-02T00:00:00"/>
    <s v="Valid"/>
    <n v="15"/>
    <d v="2023-10-02T00:00:00"/>
    <s v="Americas"/>
    <s v="Americas → Brazil → Rio de Janeiro"/>
    <s v="Brazil-2023-09"/>
    <x v="5"/>
    <s v="Rio de Janeiro"/>
    <s v="Small Business"/>
    <s v="Retail"/>
    <s v="B. Chen"/>
    <x v="4"/>
    <s v="LAP-4932"/>
    <n v="689.33"/>
    <n v="668.27"/>
    <s v="Valid"/>
    <n v="668.27"/>
    <s v="Medium"/>
    <n v="0.186"/>
    <s v="Valid"/>
    <n v="0.186"/>
    <n v="13"/>
    <n v="7071.6331400000008"/>
    <n v="8961.2900000000009"/>
    <n v="-1889.6568600000001"/>
    <n v="-0.26721647214861033"/>
    <n v="0"/>
  </r>
  <r>
    <x v="605"/>
    <d v="2023-04-22T00:00:00"/>
    <s v="Apr-2023"/>
    <s v="Q2-2023"/>
    <d v="2023-05-14T00:00:00"/>
    <s v="Valid"/>
    <n v="22"/>
    <d v="2023-05-14T00:00:00"/>
    <s v="Asia"/>
    <s v="Asia → Japan → Nagoya"/>
    <s v="Japan-2023-04"/>
    <x v="2"/>
    <s v="Nagoya"/>
    <s v="Enterprise"/>
    <s v="Retail"/>
    <s v="A. Patel"/>
    <x v="6"/>
    <s v="ACC-7713"/>
    <n v="1209.22"/>
    <n v="1404.33"/>
    <s v="Valid"/>
    <n v="1404.33"/>
    <s v="Medium"/>
    <n v="0.10299999999999999"/>
    <s v="Valid"/>
    <n v="0.10299999999999999"/>
    <n v="11"/>
    <n v="13856.52411"/>
    <n v="13301.42"/>
    <n v="555.10411000000022"/>
    <n v="4.0060848275751328E-2"/>
    <n v="0"/>
  </r>
  <r>
    <x v="606"/>
    <d v="2025-06-19T00:00:00"/>
    <s v="Jun-2025"/>
    <s v="Q2-2025"/>
    <d v="2025-06-21T00:00:00"/>
    <s v="Valid"/>
    <n v="2"/>
    <d v="2025-06-21T00:00:00"/>
    <s v="Africa"/>
    <s v="Africa → South Africa → Johannesburg"/>
    <s v="South Africa-2025-06"/>
    <x v="11"/>
    <s v="Johannesburg"/>
    <s v="Small Business"/>
    <s v="Unknown"/>
    <s v="H. Kim"/>
    <x v="3"/>
    <s v="PHN-7379"/>
    <n v="1466.27"/>
    <n v="3589.89"/>
    <s v="Valid"/>
    <n v="3589.89"/>
    <s v="High"/>
    <n v="9.7000000000000003E-2"/>
    <s v="Valid"/>
    <n v="9.7000000000000003E-2"/>
    <n v="9"/>
    <n v="29175.036029999999"/>
    <n v="13196.43"/>
    <n v="15978.606029999999"/>
    <n v="0.54768076425234147"/>
    <n v="1"/>
  </r>
  <r>
    <x v="607"/>
    <d v="2024-11-27T00:00:00"/>
    <s v="Nov-2024"/>
    <s v="Q4-2024"/>
    <d v="2024-12-24T00:00:00"/>
    <s v="Valid"/>
    <n v="27"/>
    <d v="2024-12-24T00:00:00"/>
    <s v="Africa"/>
    <s v="Africa → Kenya → Mombasa"/>
    <s v="Kenya-2024-11"/>
    <x v="0"/>
    <s v="Mombasa"/>
    <s v="Corporate"/>
    <s v="Distributor"/>
    <s v="B. Chen"/>
    <x v="1"/>
    <s v="PRN-5569"/>
    <n v="143.33000000000001"/>
    <n v="233.51"/>
    <s v="Valid"/>
    <n v="233.51"/>
    <s v="Low"/>
    <n v="0.16300000000000001"/>
    <s v="Valid"/>
    <n v="0.16300000000000001"/>
    <n v="14"/>
    <n v="2736.27018"/>
    <n v="2006.6200000000001"/>
    <n v="729.65017999999986"/>
    <n v="0.26665867476580835"/>
    <n v="0"/>
  </r>
  <r>
    <x v="608"/>
    <d v="2024-01-28T00:00:00"/>
    <s v="Jan-2024"/>
    <s v="Q1-2024"/>
    <d v="2024-01-27T00:00:00"/>
    <s v="Invalid RequiredDate"/>
    <n v="-1"/>
    <d v="2024-02-23T00:00:00"/>
    <s v="Africa"/>
    <s v="Africa → South Africa → Cape Town"/>
    <s v="South Africa-2024-01"/>
    <x v="11"/>
    <s v="Cape Town"/>
    <s v="Enterprise"/>
    <s v="Direct"/>
    <s v="O. Wang"/>
    <x v="0"/>
    <s v="CMP-1470"/>
    <n v="109.75"/>
    <n v="124.25"/>
    <s v="Valid"/>
    <n v="124.25"/>
    <s v="Low"/>
    <n v="0.12"/>
    <s v="Valid"/>
    <n v="0.12"/>
    <n v="19"/>
    <n v="2077.46"/>
    <n v="2085.25"/>
    <n v="-7.7899999999999636"/>
    <n v="-3.7497713554051405E-3"/>
    <n v="1"/>
  </r>
  <r>
    <x v="609"/>
    <d v="2023-04-16T00:00:00"/>
    <s v="Apr-2023"/>
    <s v="Q2-2023"/>
    <d v="2023-04-23T00:00:00"/>
    <s v="Valid"/>
    <n v="7"/>
    <d v="2023-04-23T00:00:00"/>
    <s v="Americas"/>
    <s v="Americas → USA → Austin"/>
    <s v="USA-2023-04"/>
    <x v="10"/>
    <s v="Austin"/>
    <s v="Corporate"/>
    <s v="Distributor"/>
    <s v="O. Wang"/>
    <x v="1"/>
    <s v="PRN-9249"/>
    <n v="1099.1500000000001"/>
    <n v="1431.37"/>
    <s v="Valid"/>
    <n v="1431.37"/>
    <s v="Medium"/>
    <n v="0.104"/>
    <s v="Valid"/>
    <n v="0.104"/>
    <n v="8"/>
    <n v="10260.060159999999"/>
    <n v="8793.2000000000007"/>
    <n v="1466.8601599999984"/>
    <n v="0.14296798821109433"/>
    <n v="1"/>
  </r>
  <r>
    <x v="610"/>
    <d v="2024-02-01T00:00:00"/>
    <s v="Feb-2024"/>
    <s v="Q1-2024"/>
    <d v="2024-02-01T00:00:00"/>
    <s v="Valid"/>
    <n v="0"/>
    <d v="2024-02-01T00:00:00"/>
    <s v="Americas"/>
    <s v="Americas → USA → Austin"/>
    <s v="USA-2024-02"/>
    <x v="10"/>
    <s v="Austin"/>
    <s v="Consumer"/>
    <s v="Distributor"/>
    <s v="H. Kim"/>
    <x v="1"/>
    <s v="PRN-4906"/>
    <n v="714.43"/>
    <n v="1595.52"/>
    <s v="Valid"/>
    <n v="1595.52"/>
    <s v="Medium"/>
    <n v="0.19400000000000001"/>
    <s v="Valid"/>
    <n v="0.19400000000000001"/>
    <n v="14"/>
    <n v="18003.847679999999"/>
    <n v="10002.019999999999"/>
    <n v="8001.8276800000003"/>
    <n v="0.44445097638151093"/>
    <n v="1"/>
  </r>
  <r>
    <x v="611"/>
    <d v="2024-10-19T00:00:00"/>
    <s v="Oct-2024"/>
    <s v="Q4-2024"/>
    <d v="2024-11-06T00:00:00"/>
    <s v="Valid"/>
    <n v="18"/>
    <d v="2024-11-06T00:00:00"/>
    <s v="Americas"/>
    <s v="Americas → USA → Chicago"/>
    <s v="USA-2024-10"/>
    <x v="10"/>
    <s v="Chicago"/>
    <s v="Education"/>
    <s v="Unknown"/>
    <s v="C. Otieno"/>
    <x v="5"/>
    <s v="MON-8129"/>
    <n v="942.02"/>
    <n v="1028.46"/>
    <s v="Valid"/>
    <n v="1028.46"/>
    <s v="Medium"/>
    <n v="0"/>
    <s v="Valid"/>
    <n v="0"/>
    <n v="9"/>
    <n v="9256.14"/>
    <n v="8478.18"/>
    <n v="777.95999999999913"/>
    <n v="8.4047994088248354E-2"/>
    <n v="0"/>
  </r>
  <r>
    <x v="612"/>
    <d v="2024-06-25T00:00:00"/>
    <s v="Jun-2024"/>
    <s v="Q2-2024"/>
    <d v="2024-06-30T00:00:00"/>
    <s v="Valid"/>
    <n v="5"/>
    <d v="2024-06-30T00:00:00"/>
    <s v="Africa"/>
    <s v="Africa → Kenya → Kisumu"/>
    <s v="Kenya-2024-06"/>
    <x v="0"/>
    <s v="Kisumu"/>
    <s v="Education"/>
    <s v="Direct"/>
    <s v="M. Rossi"/>
    <x v="2"/>
    <s v="NET-5987"/>
    <n v="1323.55"/>
    <n v="3230.35"/>
    <s v="Valid"/>
    <n v="3230.35"/>
    <s v="High"/>
    <n v="2.1999999999999999E-2"/>
    <s v="Valid"/>
    <n v="2.1999999999999999E-2"/>
    <n v="26"/>
    <n v="82141.339799999987"/>
    <n v="34412.299999999996"/>
    <n v="47729.039799999991"/>
    <n v="0.58105991351263542"/>
    <n v="1"/>
  </r>
  <r>
    <x v="613"/>
    <d v="2023-07-30T00:00:00"/>
    <s v="Jul-2023"/>
    <s v="Q3-2023"/>
    <d v="2023-08-19T00:00:00"/>
    <s v="Valid"/>
    <n v="20"/>
    <d v="2023-08-19T00:00:00"/>
    <s v="Europe"/>
    <s v="Europe → France → Paris"/>
    <s v="France-2023-07"/>
    <x v="7"/>
    <s v="Paris"/>
    <s v="Enterprise"/>
    <s v="Marketplace"/>
    <s v="G. Dubois"/>
    <x v="2"/>
    <s v="NET-5423"/>
    <n v="1418.51"/>
    <n v="2789.61"/>
    <s v="Valid"/>
    <n v="2789.61"/>
    <s v="High"/>
    <n v="0.17100000000000001"/>
    <s v="Valid"/>
    <n v="0.17100000000000001"/>
    <n v="8"/>
    <n v="18500.693520000001"/>
    <n v="11348.08"/>
    <n v="7152.6135200000008"/>
    <n v="0.38661326464695689"/>
    <n v="0"/>
  </r>
  <r>
    <x v="614"/>
    <d v="2025-03-11T00:00:00"/>
    <s v="Mar-2025"/>
    <s v="Q1-2025"/>
    <d v="2025-03-27T00:00:00"/>
    <s v="Valid"/>
    <n v="16"/>
    <d v="2025-03-27T00:00:00"/>
    <s v="Asia"/>
    <s v="Asia → Japan → Tokyo"/>
    <s v="Japan-2025-03"/>
    <x v="2"/>
    <s v="Tokyo"/>
    <s v="Enterprise"/>
    <s v="Distributor"/>
    <s v="B. Chen"/>
    <x v="1"/>
    <s v="PRN-5264"/>
    <n v="1317.58"/>
    <n v="1897.74"/>
    <s v="Valid"/>
    <n v="1897.74"/>
    <s v="Medium"/>
    <n v="8.1000000000000003E-2"/>
    <s v="Valid"/>
    <n v="8.1000000000000003E-2"/>
    <n v="6"/>
    <n v="10464.138360000001"/>
    <n v="7905.48"/>
    <n v="2558.6583600000013"/>
    <n v="0.24451687009230266"/>
    <n v="0"/>
  </r>
  <r>
    <x v="615"/>
    <d v="2023-10-09T00:00:00"/>
    <s v="Oct-2023"/>
    <s v="Q4-2023"/>
    <d v="2023-10-11T00:00:00"/>
    <s v="Valid"/>
    <n v="2"/>
    <d v="2023-10-11T00:00:00"/>
    <s v="Africa"/>
    <s v="Africa → Nigeria → Port Harcourt"/>
    <s v="Nigeria-2023-10"/>
    <x v="1"/>
    <s v="Port Harcourt"/>
    <s v="Education"/>
    <s v="Marketplace"/>
    <s v="K. Singh"/>
    <x v="2"/>
    <s v="NET-8856"/>
    <n v="391.16"/>
    <n v="902.47"/>
    <s v="Valid"/>
    <n v="902.47"/>
    <s v="Medium"/>
    <n v="4.0000000000000001E-3"/>
    <s v="Valid"/>
    <n v="4.0000000000000001E-3"/>
    <n v="12"/>
    <n v="10786.32144"/>
    <n v="4693.92"/>
    <n v="6092.4014399999996"/>
    <n v="0.56482661618139207"/>
    <n v="1"/>
  </r>
  <r>
    <x v="616"/>
    <d v="2024-12-17T00:00:00"/>
    <s v="Dec-2024"/>
    <s v="Q4-2024"/>
    <d v="2025-01-16T00:00:00"/>
    <s v="Valid"/>
    <n v="30"/>
    <d v="2025-01-16T00:00:00"/>
    <s v="Europe"/>
    <s v="Europe → United Kingdom → Manchester"/>
    <s v="United Kingdom-2024-12"/>
    <x v="8"/>
    <s v="Manchester"/>
    <s v="Corporate"/>
    <s v="Retail"/>
    <s v="D. Smith"/>
    <x v="5"/>
    <s v="MON-4215"/>
    <n v="722.87"/>
    <n v="-33.659999999999997"/>
    <s v="Invalid Price"/>
    <n v="1202.1397872340422"/>
    <s v="Medium"/>
    <n v="0.10199999999999999"/>
    <s v="Valid"/>
    <n v="0.10199999999999999"/>
    <n v="28"/>
    <n v="30226.602810212757"/>
    <n v="20240.36"/>
    <n v="9986.242810212756"/>
    <n v="0.33037926468000806"/>
    <n v="0"/>
  </r>
  <r>
    <x v="617"/>
    <d v="2025-07-11T00:00:00"/>
    <s v="Jul-2025"/>
    <s v="Q3-2025"/>
    <d v="2025-07-16T00:00:00"/>
    <s v="Valid"/>
    <n v="5"/>
    <d v="2025-07-16T00:00:00"/>
    <s v="Europe"/>
    <s v="Europe → United Kingdom → London"/>
    <s v="United Kingdom-2025-07"/>
    <x v="8"/>
    <s v="London"/>
    <s v="Enterprise"/>
    <s v="Online"/>
    <s v="K. Singh"/>
    <x v="1"/>
    <s v="PRN-5753"/>
    <n v="930.03"/>
    <n v="1086.68"/>
    <s v="Valid"/>
    <n v="1086.68"/>
    <s v="Medium"/>
    <n v="0.109"/>
    <s v="Valid"/>
    <n v="0.109"/>
    <n v="26"/>
    <n v="25174.028880000002"/>
    <n v="24180.78"/>
    <n v="993.24888000000283"/>
    <n v="3.9455300728168656E-2"/>
    <n v="1"/>
  </r>
  <r>
    <x v="618"/>
    <d v="2024-10-13T00:00:00"/>
    <s v="Oct-2024"/>
    <s v="Q4-2024"/>
    <d v="2024-10-24T00:00:00"/>
    <s v="Valid"/>
    <n v="11"/>
    <d v="2024-10-24T00:00:00"/>
    <s v="Europe"/>
    <s v="Europe → France → Paris"/>
    <s v="France-2024-10"/>
    <x v="7"/>
    <s v="Paris"/>
    <s v="Education"/>
    <s v="Distributor"/>
    <s v="F. Müller"/>
    <x v="0"/>
    <s v="CMP-5006"/>
    <n v="816.7"/>
    <n v="1010.75"/>
    <s v="Valid"/>
    <n v="1010.75"/>
    <s v="Medium"/>
    <n v="4.7E-2"/>
    <s v="Valid"/>
    <n v="4.7E-2"/>
    <n v="43"/>
    <n v="41419.524249999995"/>
    <n v="35118.1"/>
    <n v="6301.4242499999964"/>
    <n v="0.15213656757537472"/>
    <n v="0"/>
  </r>
  <r>
    <x v="619"/>
    <d v="2023-09-08T00:00:00"/>
    <s v="Sep-2023"/>
    <s v="Q3-2023"/>
    <d v="2023-09-14T00:00:00"/>
    <s v="Valid"/>
    <n v="6"/>
    <d v="2023-09-14T00:00:00"/>
    <s v="Africa"/>
    <s v="Africa → Kenya → Nakuru"/>
    <s v="Kenya-2023-09"/>
    <x v="0"/>
    <s v="Nakuru"/>
    <s v="Education"/>
    <s v="Direct"/>
    <s v="I. Johnson"/>
    <x v="6"/>
    <s v="ACC-4766"/>
    <n v="251.03"/>
    <n v="411.48"/>
    <s v="Valid"/>
    <n v="411.48"/>
    <s v="Low"/>
    <n v="0.16500000000000001"/>
    <s v="Valid"/>
    <n v="0.16500000000000001"/>
    <n v="3"/>
    <n v="1030.7574"/>
    <n v="753.09"/>
    <n v="277.66739999999993"/>
    <n v="0.26938191275658069"/>
    <n v="1"/>
  </r>
  <r>
    <x v="620"/>
    <d v="2025-04-17T00:00:00"/>
    <s v="Apr-2025"/>
    <s v="Q2-2025"/>
    <d v="2025-05-03T00:00:00"/>
    <s v="Valid"/>
    <n v="16"/>
    <d v="2025-05-03T00:00:00"/>
    <s v="Americas"/>
    <s v="Americas → Brazil → Rio de Janeiro"/>
    <s v="Brazil-2025-04"/>
    <x v="5"/>
    <s v="Rio de Janeiro"/>
    <s v="Consumer"/>
    <s v="Marketplace"/>
    <s v="J. Njeri"/>
    <x v="2"/>
    <s v="NET-8610"/>
    <n v="168.68"/>
    <n v="413.34"/>
    <s v="Valid"/>
    <n v="413.34"/>
    <s v="Low"/>
    <n v="0.186"/>
    <s v="Valid"/>
    <n v="0.186"/>
    <n v="7"/>
    <n v="2355.2113199999999"/>
    <n v="1180.76"/>
    <n v="1174.4513199999999"/>
    <n v="0.49866069767361682"/>
    <n v="0"/>
  </r>
  <r>
    <x v="621"/>
    <d v="2024-07-28T00:00:00"/>
    <s v="Jul-2024"/>
    <s v="Q3-2024"/>
    <d v="2024-08-23T00:00:00"/>
    <s v="Valid"/>
    <n v="26"/>
    <d v="2024-08-23T00:00:00"/>
    <s v="Asia"/>
    <s v="Asia → India → Hyderabad"/>
    <s v="India-2024-07"/>
    <x v="4"/>
    <s v="Hyderabad"/>
    <s v="Corporate"/>
    <s v="Retail"/>
    <s v="J. Njeri"/>
    <x v="2"/>
    <s v="NET-4675"/>
    <n v="1339.24"/>
    <n v="1558.89"/>
    <s v="Valid"/>
    <n v="1558.89"/>
    <s v="Medium"/>
    <n v="0.192"/>
    <s v="Valid"/>
    <n v="0.192"/>
    <n v="24"/>
    <n v="30229.994880000002"/>
    <n v="32141.760000000002"/>
    <n v="-1911.76512"/>
    <n v="-6.3240669659021781E-2"/>
    <n v="0"/>
  </r>
  <r>
    <x v="622"/>
    <d v="2025-07-19T00:00:00"/>
    <s v="Jul-2025"/>
    <s v="Q3-2025"/>
    <d v="2025-07-31T00:00:00"/>
    <s v="Valid"/>
    <n v="12"/>
    <d v="2025-07-31T00:00:00"/>
    <s v="Africa"/>
    <s v="Africa → Kenya → Nairobi"/>
    <s v="Kenya-2025-07"/>
    <x v="0"/>
    <s v="Nairobi"/>
    <s v="Small Business"/>
    <s v="Marketplace"/>
    <s v="O. Wang"/>
    <x v="6"/>
    <s v="ACC-1028"/>
    <n v="619.64"/>
    <n v="861.16"/>
    <s v="Valid"/>
    <n v="861.16"/>
    <s v="Medium"/>
    <n v="0.113"/>
    <s v="Valid"/>
    <n v="0.113"/>
    <n v="14"/>
    <n v="10693.88488"/>
    <n v="8674.9599999999991"/>
    <n v="2018.9248800000005"/>
    <n v="0.18879246435276761"/>
    <n v="0"/>
  </r>
  <r>
    <x v="623"/>
    <d v="2023-08-03T00:00:00"/>
    <s v="Aug-2023"/>
    <s v="Q3-2023"/>
    <d v="2023-08-02T00:00:00"/>
    <s v="Invalid RequiredDate"/>
    <n v="-1"/>
    <d v="2023-08-29T00:00:00"/>
    <s v="Asia"/>
    <s v="Asia → China → Shanghai"/>
    <s v="China-2023-08"/>
    <x v="9"/>
    <s v="Shanghai"/>
    <s v="Non-Profit"/>
    <s v="Direct"/>
    <s v="J. Njeri"/>
    <x v="2"/>
    <s v="NET-4735"/>
    <n v="1021.97"/>
    <n v="2296.25"/>
    <s v="Valid"/>
    <n v="2296.25"/>
    <s v="High"/>
    <n v="0.161"/>
    <s v="Valid"/>
    <n v="0.161"/>
    <n v="26"/>
    <n v="50090.397499999999"/>
    <n v="26571.22"/>
    <n v="23519.177499999998"/>
    <n v="0.46953465482081669"/>
    <n v="1"/>
  </r>
  <r>
    <x v="624"/>
    <d v="2023-11-19T00:00:00"/>
    <s v="Nov-2023"/>
    <s v="Q4-2023"/>
    <d v="2023-12-12T00:00:00"/>
    <s v="Valid"/>
    <n v="23"/>
    <d v="2023-12-12T00:00:00"/>
    <s v="Asia"/>
    <s v="Asia → India → Delhi"/>
    <s v="India-2023-11"/>
    <x v="4"/>
    <s v="Delhi"/>
    <s v="Small Business"/>
    <s v="Direct"/>
    <s v="C. Otieno"/>
    <x v="2"/>
    <s v="NET-2460"/>
    <n v="1349.04"/>
    <n v="2636.6"/>
    <s v="Valid"/>
    <n v="2636.6"/>
    <s v="High"/>
    <n v="0.114"/>
    <s v="Valid"/>
    <n v="0.114"/>
    <n v="14"/>
    <n v="32704.386400000003"/>
    <n v="18886.559999999998"/>
    <n v="13817.826400000005"/>
    <n v="0.42250682312143928"/>
    <n v="0"/>
  </r>
  <r>
    <x v="625"/>
    <d v="2023-12-22T00:00:00"/>
    <s v="Dec-2023"/>
    <s v="Q4-2023"/>
    <d v="2024-01-16T00:00:00"/>
    <s v="Valid"/>
    <n v="25"/>
    <d v="2024-01-16T00:00:00"/>
    <s v="Asia"/>
    <s v="Asia → India → Hyderabad"/>
    <s v="India-2023-12"/>
    <x v="4"/>
    <s v="Hyderabad"/>
    <s v="Small Business"/>
    <s v="Retail"/>
    <s v="A. Patel"/>
    <x v="0"/>
    <s v="CMP-1555"/>
    <n v="1346.81"/>
    <n v="978.09"/>
    <s v="Valid"/>
    <n v="978.09"/>
    <s v="Medium"/>
    <n v="0.159"/>
    <s v="Valid"/>
    <n v="0.159"/>
    <n v="17"/>
    <n v="13983.752729999998"/>
    <n v="22895.77"/>
    <n v="-8912.0172700000021"/>
    <n v="-0.6373122753293996"/>
    <n v="0"/>
  </r>
  <r>
    <x v="626"/>
    <d v="2023-08-03T00:00:00"/>
    <s v="Aug-2023"/>
    <s v="Q3-2023"/>
    <d v="2023-08-30T00:00:00"/>
    <s v="Valid"/>
    <n v="27"/>
    <d v="2023-08-30T00:00:00"/>
    <s v="Asia"/>
    <s v="Asia → China → Shanghai"/>
    <s v="China-2023-08"/>
    <x v="9"/>
    <s v="Shanghai"/>
    <s v="Consumer"/>
    <s v="Distributor"/>
    <s v="N. Brown"/>
    <x v="5"/>
    <s v="MON-3773"/>
    <n v="226.04"/>
    <n v="545.72"/>
    <s v="Valid"/>
    <n v="545.72"/>
    <s v="Low"/>
    <n v="0.151"/>
    <s v="Valid"/>
    <n v="0.151"/>
    <n v="11"/>
    <n v="5096.4790800000001"/>
    <n v="2486.44"/>
    <n v="2610.03908"/>
    <n v="0.51212592831834014"/>
    <n v="0"/>
  </r>
  <r>
    <x v="627"/>
    <d v="2023-06-23T00:00:00"/>
    <s v="Jun-2023"/>
    <s v="Q2-2023"/>
    <d v="2023-07-18T00:00:00"/>
    <s v="Valid"/>
    <n v="25"/>
    <d v="2023-07-18T00:00:00"/>
    <s v="Americas"/>
    <s v="Americas → Canada → Vancouver"/>
    <s v="Canada-2023-06"/>
    <x v="3"/>
    <s v="Vancouver"/>
    <s v="Enterprise"/>
    <s v="Online"/>
    <s v="N. Brown"/>
    <x v="3"/>
    <s v="PHN-4677"/>
    <n v="807.02"/>
    <n v="1435.54"/>
    <s v="Valid"/>
    <n v="1435.54"/>
    <s v="Medium"/>
    <n v="0"/>
    <s v="Valid"/>
    <n v="0"/>
    <n v="23"/>
    <n v="33017.42"/>
    <n v="18561.46"/>
    <n v="14455.96"/>
    <n v="0.43782827368098415"/>
    <n v="0"/>
  </r>
  <r>
    <x v="628"/>
    <d v="2023-12-07T00:00:00"/>
    <s v="Dec-2023"/>
    <s v="Q4-2023"/>
    <d v="2024-01-02T00:00:00"/>
    <s v="Valid"/>
    <n v="26"/>
    <d v="2024-01-02T00:00:00"/>
    <s v="Europe"/>
    <s v="Europe → Germany → Frankfurt"/>
    <s v="Germany-2023-12"/>
    <x v="6"/>
    <s v="Frankfurt"/>
    <s v="Enterprise"/>
    <s v="Distributor"/>
    <s v="E. Garcia"/>
    <x v="0"/>
    <s v="CMP-1940"/>
    <n v="1071.99"/>
    <n v="2397.3000000000002"/>
    <s v="Valid"/>
    <n v="2397.3000000000002"/>
    <s v="High"/>
    <n v="6.2E-2"/>
    <s v="Valid"/>
    <n v="6.2E-2"/>
    <n v="18"/>
    <n v="40476.013200000001"/>
    <n v="19295.82"/>
    <n v="21180.193200000002"/>
    <n v="0.52327765324476183"/>
    <n v="0"/>
  </r>
  <r>
    <x v="629"/>
    <d v="2023-11-19T00:00:00"/>
    <s v="Nov-2023"/>
    <s v="Q4-2023"/>
    <d v="2023-12-19T00:00:00"/>
    <s v="Valid"/>
    <n v="30"/>
    <d v="2023-12-19T00:00:00"/>
    <s v="Asia"/>
    <s v="Asia → Japan → Nagoya"/>
    <s v="Japan-2023-11"/>
    <x v="2"/>
    <s v="Nagoya"/>
    <s v="Consumer"/>
    <s v="Retail"/>
    <s v="Unassigned"/>
    <x v="3"/>
    <s v="PHN-9184"/>
    <n v="807.11"/>
    <n v="1853.86"/>
    <s v="Valid"/>
    <n v="1853.86"/>
    <s v="Medium"/>
    <n v="0.13900000000000001"/>
    <s v="Valid"/>
    <n v="0.13900000000000001"/>
    <n v="8"/>
    <n v="12769.38768"/>
    <n v="6456.88"/>
    <n v="6312.5076799999997"/>
    <n v="0.49434693645388639"/>
    <n v="0"/>
  </r>
  <r>
    <x v="630"/>
    <d v="2025-02-28T00:00:00"/>
    <s v="Feb-2025"/>
    <s v="Q1-2025"/>
    <d v="2025-03-10T00:00:00"/>
    <s v="Valid"/>
    <n v="10"/>
    <d v="2025-03-10T00:00:00"/>
    <s v="Asia"/>
    <s v="Asia → Japan → Osaka"/>
    <s v="Japan-2025-02"/>
    <x v="2"/>
    <s v="Osaka"/>
    <s v="Education"/>
    <s v="Distributor"/>
    <s v="N. Brown"/>
    <x v="4"/>
    <s v="LAP-3017"/>
    <n v="51.86"/>
    <n v="45.98"/>
    <s v="Valid"/>
    <n v="45.98"/>
    <s v="Low"/>
    <n v="0.17299999999999999"/>
    <s v="Valid"/>
    <n v="0.17299999999999999"/>
    <n v="7"/>
    <n v="266.17821999999995"/>
    <n v="363.02"/>
    <n v="-96.841780000000028"/>
    <n v="-0.3638230806412337"/>
    <n v="0"/>
  </r>
  <r>
    <x v="631"/>
    <m/>
    <m/>
    <m/>
    <m/>
    <m/>
    <m/>
    <m/>
    <m/>
    <m/>
    <m/>
    <x v="12"/>
    <m/>
    <m/>
    <m/>
    <m/>
    <x v="7"/>
    <m/>
    <m/>
    <m/>
    <m/>
    <m/>
    <m/>
    <m/>
    <m/>
    <m/>
    <m/>
    <m/>
    <m/>
    <m/>
    <m/>
    <m/>
  </r>
</pivotCacheRecords>
</file>

<file path=xl/pivotCache/pivotCacheRecords3.xml><?xml version="1.0" encoding="utf-8"?>
<pivotCacheRecords xmlns="http://schemas.openxmlformats.org/spreadsheetml/2006/main" xmlns:r="http://schemas.openxmlformats.org/officeDocument/2006/relationships" count="633">
  <r>
    <s v="ORD-2024-275203"/>
    <d v="2024-03-11T00:00:00"/>
    <x v="0"/>
    <s v="Q1-2024"/>
    <d v="2024-04-06T00:00:00"/>
    <s v="Valid"/>
    <n v="26"/>
    <d v="2024-04-06T00:00:00"/>
    <x v="0"/>
    <s v="Africa → Kenya → Kisumu"/>
    <s v="Kenya-2024-03"/>
    <s v="Kenya"/>
    <s v="Kisumu"/>
    <s v="Corporate"/>
    <s v="Retail"/>
    <x v="0"/>
    <s v="Components"/>
    <s v="CMP-8270"/>
    <n v="279.24"/>
    <n v="608.9"/>
    <s v="Valid"/>
    <n v="608.9"/>
    <s v="Low"/>
    <n v="0.112"/>
    <s v="Valid"/>
    <n v="0.112"/>
    <n v="9"/>
    <n v="4866.3287999999993"/>
    <n v="2513.16"/>
    <n v="2353.1687999999995"/>
    <n v="0.48356140670149533"/>
    <n v="0"/>
    <n v="0"/>
  </r>
  <r>
    <s v="ORD-2024-358795"/>
    <d v="2024-10-23T00:00:00"/>
    <x v="1"/>
    <s v="Q4-2024"/>
    <d v="2024-10-22T00:00:00"/>
    <s v="Invalid RequiredDate"/>
    <n v="-1"/>
    <d v="2024-11-18T00:00:00"/>
    <x v="0"/>
    <s v="Africa → Nigeria → Port Harcourt"/>
    <s v="Nigeria-2024-10"/>
    <s v="Nigeria"/>
    <s v="Port Harcourt"/>
    <s v="Education"/>
    <s v="Online"/>
    <x v="1"/>
    <s v="Printers"/>
    <s v="PRN-9322"/>
    <n v="1084.3900000000001"/>
    <n v="759.33"/>
    <s v="Valid"/>
    <n v="759.33"/>
    <s v="Medium"/>
    <n v="0.23699999999999999"/>
    <s v="Valid"/>
    <n v="0.23699999999999999"/>
    <n v="31"/>
    <n v="17960.432489999999"/>
    <n v="33616.090000000004"/>
    <n v="-15655.657510000005"/>
    <n v="-0.87167486187856302"/>
    <n v="1"/>
    <n v="1"/>
  </r>
  <r>
    <s v="ORD-2023-373538"/>
    <d v="2023-02-28T00:00:00"/>
    <x v="2"/>
    <s v="Q1-2023"/>
    <d v="2023-03-25T00:00:00"/>
    <s v="Valid"/>
    <n v="25"/>
    <d v="2023-03-25T00:00:00"/>
    <x v="0"/>
    <s v="Africa → Kenya → Nairobi"/>
    <s v="Kenya-2023-02"/>
    <s v="Kenya"/>
    <s v="Nairobi"/>
    <s v="Corporate"/>
    <s v="Retail"/>
    <x v="2"/>
    <s v="Networking"/>
    <s v="NET-9666"/>
    <n v="1460.76"/>
    <n v="-30.66"/>
    <s v="Invalid Price"/>
    <n v="1445.2723255813949"/>
    <s v="Medium"/>
    <n v="0.13100000000000001"/>
    <s v="Valid"/>
    <n v="0.13100000000000001"/>
    <n v="12"/>
    <n v="15071.299811162788"/>
    <n v="17529.12"/>
    <n v="-2457.8201888372114"/>
    <n v="-0.16307951003779975"/>
    <n v="0"/>
    <n v="0"/>
  </r>
  <r>
    <s v="ORD-2025-168148"/>
    <d v="2025-03-29T00:00:00"/>
    <x v="3"/>
    <s v="Q1-2025"/>
    <d v="2025-04-02T00:00:00"/>
    <s v="Valid"/>
    <n v="4"/>
    <d v="2025-04-02T00:00:00"/>
    <x v="0"/>
    <s v="Africa → Nigeria → Lagos"/>
    <s v="Nigeria-2025-03"/>
    <s v="Nigeria"/>
    <s v="Lagos"/>
    <s v="Non-Profit"/>
    <s v="Marketplace"/>
    <x v="3"/>
    <s v="Phones"/>
    <s v="PHN-4556"/>
    <n v="259.93"/>
    <n v="255.94"/>
    <s v="Valid"/>
    <n v="255.94"/>
    <s v="Low"/>
    <n v="7.1999999999999995E-2"/>
    <s v="Valid"/>
    <n v="7.1999999999999995E-2"/>
    <n v="22"/>
    <n v="5225.2710400000005"/>
    <n v="5718.46"/>
    <n v="-493.1889599999995"/>
    <n v="-9.4385335463861311E-2"/>
    <n v="1"/>
    <n v="0"/>
  </r>
  <r>
    <s v="ORD-2023-824839"/>
    <d v="2023-12-06T00:00:00"/>
    <x v="4"/>
    <s v="Q4-2023"/>
    <d v="2023-12-31T00:00:00"/>
    <s v="Valid"/>
    <n v="25"/>
    <d v="2023-12-31T00:00:00"/>
    <x v="1"/>
    <s v="Asia → Japan → Osaka"/>
    <s v="Japan-2023-12"/>
    <s v="Japan"/>
    <s v="Osaka"/>
    <s v="Consumer"/>
    <s v="Retail"/>
    <x v="4"/>
    <s v="Printers"/>
    <s v="PRN-8041"/>
    <n v="663.03"/>
    <n v="813.51"/>
    <s v="Valid"/>
    <n v="813.51"/>
    <s v="Medium"/>
    <n v="0.10199999999999999"/>
    <s v="Valid"/>
    <n v="0.10199999999999999"/>
    <n v="15"/>
    <n v="10957.9797"/>
    <n v="9945.4499999999989"/>
    <n v="1012.529700000001"/>
    <n v="9.2401129379715952E-2"/>
    <n v="0"/>
    <n v="0"/>
  </r>
  <r>
    <s v="ORD-2023-723587"/>
    <d v="2023-01-02T00:00:00"/>
    <x v="5"/>
    <s v="Q1-2023"/>
    <d v="2023-01-05T00:00:00"/>
    <s v="Valid"/>
    <n v="3"/>
    <d v="2023-01-05T00:00:00"/>
    <x v="2"/>
    <s v="Americas → Canada → Toronto"/>
    <s v="Canada-2023-01"/>
    <s v="Canada"/>
    <s v="Toronto"/>
    <s v="Corporate"/>
    <s v="Distributor"/>
    <x v="5"/>
    <s v="Laptops"/>
    <s v="LAP-8555"/>
    <n v="315.87"/>
    <n v="591.67999999999995"/>
    <s v="Valid"/>
    <n v="591.67999999999995"/>
    <s v="Low"/>
    <n v="0"/>
    <s v="Valid"/>
    <n v="0"/>
    <n v="7"/>
    <n v="4141.7599999999993"/>
    <n v="2211.09"/>
    <n v="1930.6699999999992"/>
    <n v="0.46614724175229844"/>
    <n v="1"/>
    <n v="0"/>
  </r>
  <r>
    <s v="ORD-2024-336584"/>
    <d v="2024-12-27T00:00:00"/>
    <x v="6"/>
    <s v="Q4-2024"/>
    <d v="2025-01-14T00:00:00"/>
    <s v="Valid"/>
    <n v="18"/>
    <d v="2025-01-14T00:00:00"/>
    <x v="1"/>
    <s v="Asia → India → Bengaluru"/>
    <s v="India-2024-12"/>
    <s v="India"/>
    <s v="Bengaluru"/>
    <s v="Small Business"/>
    <s v="Marketplace"/>
    <x v="6"/>
    <s v="Monitors"/>
    <s v="MON-8629"/>
    <n v="586.07000000000005"/>
    <n v="845.97"/>
    <s v="Valid"/>
    <n v="845.97"/>
    <s v="Medium"/>
    <n v="0.14699999999999999"/>
    <s v="Valid"/>
    <n v="0.14699999999999999"/>
    <n v="4"/>
    <n v="2886.4496399999998"/>
    <n v="2344.2800000000002"/>
    <n v="542.16963999999962"/>
    <n v="0.18783270370862928"/>
    <n v="0"/>
    <n v="0"/>
  </r>
  <r>
    <s v="ORD-2023-112666"/>
    <d v="2023-01-15T00:00:00"/>
    <x v="5"/>
    <s v="Q1-2023"/>
    <d v="2023-01-13T00:00:00"/>
    <s v="Invalid RequiredDate"/>
    <n v="-2"/>
    <d v="2023-02-10T00:00:00"/>
    <x v="0"/>
    <s v="Africa → Nigeria → Abuja"/>
    <s v="Nigeria-2023-01"/>
    <s v="Nigeria"/>
    <s v="Abuja"/>
    <s v="Education"/>
    <s v="Online"/>
    <x v="7"/>
    <s v="Printers"/>
    <s v="PRN-6276"/>
    <n v="28.38"/>
    <n v="47.22"/>
    <s v="Valid"/>
    <n v="47.22"/>
    <s v="Low"/>
    <n v="0.19400000000000001"/>
    <s v="Valid"/>
    <n v="0.19400000000000001"/>
    <n v="18"/>
    <n v="685.06776000000002"/>
    <n v="510.84"/>
    <n v="174.22776000000005"/>
    <n v="0.25432193743871417"/>
    <n v="1"/>
    <n v="0"/>
  </r>
  <r>
    <s v="ORD-2024-589570"/>
    <d v="2024-05-04T00:00:00"/>
    <x v="7"/>
    <s v="Q2-2024"/>
    <d v="2024-05-29T00:00:00"/>
    <s v="Valid"/>
    <n v="25"/>
    <d v="2024-05-29T00:00:00"/>
    <x v="0"/>
    <s v="Africa → Nigeria → Abuja"/>
    <s v="Nigeria-2024-05"/>
    <s v="Nigeria"/>
    <s v="Abuja"/>
    <s v="Non-Profit"/>
    <s v="Marketplace"/>
    <x v="7"/>
    <s v="Monitors"/>
    <s v="MON-6892"/>
    <n v="1295.3399999999999"/>
    <n v="2530.81"/>
    <s v="Valid"/>
    <n v="2530.81"/>
    <s v="High"/>
    <n v="3.1E-2"/>
    <s v="Valid"/>
    <n v="3.1E-2"/>
    <n v="6"/>
    <n v="14714.12934"/>
    <n v="7772.0399999999991"/>
    <n v="6942.0893400000004"/>
    <n v="0.4717974933880798"/>
    <n v="0"/>
    <n v="0"/>
  </r>
  <r>
    <s v="ORD-2025-997421"/>
    <d v="2025-05-21T00:00:00"/>
    <x v="8"/>
    <s v="Q2-2025"/>
    <d v="2025-06-09T00:00:00"/>
    <s v="Valid"/>
    <n v="19"/>
    <d v="2025-06-09T00:00:00"/>
    <x v="2"/>
    <s v="Americas → Brazil → São Paulo"/>
    <s v="Brazil-2025-05"/>
    <s v="Brazil"/>
    <s v="São Paulo"/>
    <s v="Non-Profit"/>
    <s v="Online"/>
    <x v="8"/>
    <s v="Components"/>
    <s v="CMP-3731"/>
    <n v="1331.38"/>
    <n v="2309.56"/>
    <s v="Valid"/>
    <n v="2309.56"/>
    <s v="High"/>
    <n v="0.14899999999999999"/>
    <s v="Valid"/>
    <n v="0.14899999999999999"/>
    <n v="31"/>
    <n v="60928.502359999999"/>
    <n v="41272.780000000006"/>
    <n v="19655.722359999992"/>
    <n v="0.32260307735553528"/>
    <n v="0"/>
    <n v="0"/>
  </r>
  <r>
    <s v="ORD-2024-210687"/>
    <d v="2024-01-28T00:00:00"/>
    <x v="9"/>
    <s v="Q1-2024"/>
    <d v="2024-02-09T00:00:00"/>
    <s v="Valid"/>
    <n v="12"/>
    <d v="2024-02-09T00:00:00"/>
    <x v="3"/>
    <s v="Europe → Germany → Berlin"/>
    <s v="Germany-2024-01"/>
    <s v="Germany"/>
    <s v="Berlin"/>
    <s v="Corporate"/>
    <s v="Online"/>
    <x v="3"/>
    <s v="Accessories"/>
    <s v="ACC-7938"/>
    <n v="644.16999999999996"/>
    <n v="700.12"/>
    <s v="Valid"/>
    <n v="700.12"/>
    <s v="Medium"/>
    <n v="6.0000000000000001E-3"/>
    <s v="Valid"/>
    <n v="6.0000000000000001E-3"/>
    <n v="23"/>
    <n v="16006.14344"/>
    <n v="14815.91"/>
    <n v="1190.23344"/>
    <n v="7.436103796405813E-2"/>
    <n v="0"/>
    <n v="0"/>
  </r>
  <r>
    <s v="ORD-2025-515515"/>
    <d v="2025-01-03T00:00:00"/>
    <x v="10"/>
    <s v="Q1-2025"/>
    <d v="2025-01-23T00:00:00"/>
    <s v="Valid"/>
    <n v="20"/>
    <d v="2025-01-23T00:00:00"/>
    <x v="1"/>
    <s v="Asia → Japan → Osaka"/>
    <s v="Japan-2025-01"/>
    <s v="Japan"/>
    <s v="Osaka"/>
    <s v="Corporate"/>
    <s v="Distributor"/>
    <x v="9"/>
    <s v="Phones"/>
    <s v="PHN-7019"/>
    <n v="908.6"/>
    <n v="691.37"/>
    <s v="Valid"/>
    <n v="691.37"/>
    <s v="Medium"/>
    <n v="0.25"/>
    <s v="Valid"/>
    <n v="0.25"/>
    <n v="20"/>
    <n v="10370.549999999999"/>
    <n v="18172"/>
    <n v="-7801.4500000000007"/>
    <n v="-0.75226964818645115"/>
    <n v="0"/>
    <n v="1"/>
  </r>
  <r>
    <s v="ORD-2025-487261"/>
    <d v="2025-03-06T00:00:00"/>
    <x v="3"/>
    <s v="Q1-2025"/>
    <d v="2025-03-31T00:00:00"/>
    <s v="Valid"/>
    <n v="25"/>
    <d v="2025-03-31T00:00:00"/>
    <x v="2"/>
    <s v="Americas → Brazil → Brasília"/>
    <s v="Brazil-2025-03"/>
    <s v="Brazil"/>
    <s v="Brasília"/>
    <s v="Non-Profit"/>
    <s v="Online"/>
    <x v="1"/>
    <s v="Components"/>
    <s v="CMP-3693"/>
    <n v="331.57"/>
    <n v="548.4"/>
    <s v="Valid"/>
    <n v="548.4"/>
    <s v="Low"/>
    <n v="9.4E-2"/>
    <s v="Valid"/>
    <n v="9.4E-2"/>
    <n v="10"/>
    <n v="4968.5039999999999"/>
    <n v="3315.7"/>
    <n v="1652.8040000000001"/>
    <n v="0.33265626836568918"/>
    <n v="0"/>
    <n v="0"/>
  </r>
  <r>
    <s v="ORD-2024-890180"/>
    <d v="2024-01-20T00:00:00"/>
    <x v="9"/>
    <s v="Q1-2024"/>
    <d v="2024-02-13T00:00:00"/>
    <s v="Valid"/>
    <n v="24"/>
    <d v="2024-02-13T00:00:00"/>
    <x v="3"/>
    <s v="Europe → France → Marseille"/>
    <s v="France-2024-01"/>
    <s v="France"/>
    <s v="Marseille"/>
    <s v="Corporate"/>
    <s v="Retail"/>
    <x v="10"/>
    <s v="Printers"/>
    <s v="PRN-8392"/>
    <n v="643.53"/>
    <n v="1439.01"/>
    <s v="Valid"/>
    <n v="1439.01"/>
    <s v="Medium"/>
    <n v="0"/>
    <s v="Valid"/>
    <n v="0"/>
    <n v="15"/>
    <n v="21585.15"/>
    <n v="9652.9499999999989"/>
    <n v="11932.200000000003"/>
    <n v="0.55279671440782208"/>
    <n v="0"/>
    <n v="0"/>
  </r>
  <r>
    <s v="ORD-2025-840976"/>
    <d v="2025-09-01T00:00:00"/>
    <x v="11"/>
    <s v="Q3-2025"/>
    <d v="2025-09-30T00:00:00"/>
    <s v="Valid"/>
    <n v="29"/>
    <d v="2025-09-30T00:00:00"/>
    <x v="2"/>
    <s v="Americas → Brazil → Brasília"/>
    <s v="Brazil-2025-09"/>
    <s v="Brazil"/>
    <s v="Brasília"/>
    <s v="Education"/>
    <s v="Retail"/>
    <x v="11"/>
    <s v="Accessories"/>
    <s v="ACC-1663"/>
    <n v="780.59"/>
    <n v="631.57000000000005"/>
    <s v="Valid"/>
    <n v="631.57000000000005"/>
    <s v="Medium"/>
    <n v="0"/>
    <s v="Valid"/>
    <n v="0"/>
    <n v="12"/>
    <n v="7578.84"/>
    <n v="9367.08"/>
    <n v="-1788.2399999999998"/>
    <n v="-0.23595167598207639"/>
    <n v="0"/>
    <n v="0"/>
  </r>
  <r>
    <s v="ORD-2023-937291"/>
    <d v="2023-04-23T00:00:00"/>
    <x v="12"/>
    <s v="Q2-2023"/>
    <d v="2023-04-22T00:00:00"/>
    <s v="Invalid RequiredDate"/>
    <n v="-1"/>
    <d v="2023-05-19T00:00:00"/>
    <x v="0"/>
    <s v="Africa → Kenya → Nairobi"/>
    <s v="Kenya-2023-04"/>
    <s v="Kenya"/>
    <s v="Nairobi"/>
    <s v="Small Business"/>
    <s v="Direct"/>
    <x v="6"/>
    <s v="Laptops"/>
    <s v="LAP-1698"/>
    <n v="756.51"/>
    <n v="850.8"/>
    <s v="Valid"/>
    <n v="850.8"/>
    <s v="Medium"/>
    <n v="7.3999999999999996E-2"/>
    <s v="Valid"/>
    <n v="7.3999999999999996E-2"/>
    <n v="9"/>
    <n v="7090.5672000000004"/>
    <n v="6808.59"/>
    <n v="281.97720000000027"/>
    <n v="3.9767932810791252E-2"/>
    <n v="1"/>
    <n v="0"/>
  </r>
  <r>
    <s v="ORD-2024-206081"/>
    <d v="2024-12-10T00:00:00"/>
    <x v="6"/>
    <s v="Q4-2024"/>
    <d v="2025-01-08T00:00:00"/>
    <s v="Valid"/>
    <n v="29"/>
    <d v="2025-01-08T00:00:00"/>
    <x v="3"/>
    <s v="Europe → France → Marseille"/>
    <s v="France-2024-12"/>
    <s v="France"/>
    <s v="Marseille"/>
    <s v="Small Business"/>
    <s v="Retail"/>
    <x v="11"/>
    <s v="Printers"/>
    <s v="PRN-6791"/>
    <n v="891.08"/>
    <n v="1040.0999999999999"/>
    <s v="Valid"/>
    <n v="1040.0999999999999"/>
    <s v="Medium"/>
    <n v="0.109"/>
    <s v="Valid"/>
    <n v="0.109"/>
    <n v="28"/>
    <n v="25948.414799999995"/>
    <n v="24950.240000000002"/>
    <n v="998.17479999999341"/>
    <n v="3.8467660074556598E-2"/>
    <n v="0"/>
    <n v="0"/>
  </r>
  <r>
    <s v="ORD-2025-233883"/>
    <d v="2025-09-08T00:00:00"/>
    <x v="11"/>
    <s v="Q3-2025"/>
    <d v="2025-09-16T00:00:00"/>
    <s v="Valid"/>
    <n v="8"/>
    <d v="2025-09-16T00:00:00"/>
    <x v="1"/>
    <s v="Asia → Japan → Osaka"/>
    <s v="Japan-2025-09"/>
    <s v="Japan"/>
    <s v="Osaka"/>
    <s v="Corporate"/>
    <s v="Distributor"/>
    <x v="0"/>
    <s v="Phones"/>
    <s v="PHN-1197"/>
    <n v="1225.57"/>
    <n v="2705.57"/>
    <s v="Valid"/>
    <n v="2705.57"/>
    <s v="High"/>
    <n v="0.183"/>
    <s v="Valid"/>
    <n v="0.183"/>
    <n v="16"/>
    <n v="35367.211040000002"/>
    <n v="19609.12"/>
    <n v="15758.091040000003"/>
    <n v="0.44555650775453404"/>
    <n v="0"/>
    <n v="0"/>
  </r>
  <r>
    <s v="ORD-2025-843974"/>
    <d v="2025-07-20T00:00:00"/>
    <x v="13"/>
    <s v="Q3-2025"/>
    <d v="2025-08-05T00:00:00"/>
    <s v="Valid"/>
    <n v="16"/>
    <d v="2025-08-05T00:00:00"/>
    <x v="2"/>
    <s v="Americas → Brazil → Brasília"/>
    <s v="Brazil-2025-07"/>
    <s v="Brazil"/>
    <s v="Brasília"/>
    <s v="Enterprise"/>
    <s v="Marketplace"/>
    <x v="3"/>
    <s v="Accessories"/>
    <s v="ACC-8098"/>
    <n v="1068.17"/>
    <n v="2375.37"/>
    <s v="Valid"/>
    <n v="2375.37"/>
    <s v="High"/>
    <n v="0.109"/>
    <s v="Valid"/>
    <n v="0.109"/>
    <n v="18"/>
    <n v="38096.18406"/>
    <n v="19227.060000000001"/>
    <n v="18869.124059999998"/>
    <n v="0.49530220744108822"/>
    <n v="0"/>
    <n v="0"/>
  </r>
  <r>
    <s v="ORD-2025-745263"/>
    <d v="2025-05-21T00:00:00"/>
    <x v="8"/>
    <s v="Q2-2025"/>
    <d v="2025-05-19T00:00:00"/>
    <s v="Invalid RequiredDate"/>
    <n v="-2"/>
    <d v="2025-06-16T00:00:00"/>
    <x v="3"/>
    <s v="Europe → United Kingdom → Birmingham"/>
    <s v="United Kingdom-2025-05"/>
    <s v="United Kingdom"/>
    <s v="Birmingham"/>
    <s v="Enterprise"/>
    <s v="Online"/>
    <x v="12"/>
    <s v="Laptops"/>
    <s v="LAP-3385"/>
    <n v="1015.16"/>
    <n v="2148.14"/>
    <s v="Valid"/>
    <n v="2148.14"/>
    <s v="High"/>
    <n v="3.7999999999999999E-2"/>
    <s v="Valid"/>
    <n v="3.7999999999999999E-2"/>
    <n v="19"/>
    <n v="39263.702919999996"/>
    <n v="19288.04"/>
    <n v="19975.662919999995"/>
    <n v="0.50875647059322227"/>
    <n v="1"/>
    <n v="0"/>
  </r>
  <r>
    <s v="ORD-2024-798002"/>
    <d v="2024-07-25T00:00:00"/>
    <x v="14"/>
    <s v="Q3-2024"/>
    <d v="2024-07-24T00:00:00"/>
    <s v="Invalid RequiredDate"/>
    <n v="-1"/>
    <d v="2024-08-20T00:00:00"/>
    <x v="0"/>
    <s v="Africa → Kenya → Mombasa"/>
    <s v="Kenya-2024-07"/>
    <s v="Kenya"/>
    <s v="Mombasa"/>
    <s v="Non-Profit"/>
    <s v="Direct"/>
    <x v="1"/>
    <s v="Laptops"/>
    <s v="LAP-9815"/>
    <n v="1494.4"/>
    <n v="3661.07"/>
    <s v="Valid"/>
    <n v="3661.07"/>
    <s v="High"/>
    <n v="7.1999999999999995E-2"/>
    <s v="Valid"/>
    <n v="7.1999999999999995E-2"/>
    <n v="7"/>
    <n v="23782.310720000001"/>
    <n v="10460.800000000001"/>
    <n v="13321.51072"/>
    <n v="0.56014366630897339"/>
    <n v="1"/>
    <n v="0"/>
  </r>
  <r>
    <s v="ORD-2023-867836"/>
    <d v="2023-05-11T00:00:00"/>
    <x v="15"/>
    <s v="Q2-2023"/>
    <d v="2023-05-28T00:00:00"/>
    <s v="Valid"/>
    <n v="17"/>
    <d v="2023-05-28T00:00:00"/>
    <x v="1"/>
    <s v="Asia → China → Shenzhen"/>
    <s v="China-2023-05"/>
    <s v="China"/>
    <s v="Shenzhen"/>
    <s v="Enterprise"/>
    <s v="Marketplace"/>
    <x v="6"/>
    <s v="Networking"/>
    <s v="NET-3255"/>
    <n v="1331.19"/>
    <n v="2903.09"/>
    <s v="Valid"/>
    <n v="2903.09"/>
    <s v="High"/>
    <n v="0.14299999999999999"/>
    <s v="Valid"/>
    <n v="0.14299999999999999"/>
    <n v="8"/>
    <n v="19903.585040000002"/>
    <n v="10649.52"/>
    <n v="9254.0650400000013"/>
    <n v="0.46494463290920784"/>
    <n v="0"/>
    <n v="0"/>
  </r>
  <r>
    <s v="ORD-2025-580047"/>
    <d v="2025-06-14T00:00:00"/>
    <x v="16"/>
    <s v="Q2-2025"/>
    <d v="2025-06-29T00:00:00"/>
    <s v="Valid"/>
    <n v="15"/>
    <d v="2025-06-29T00:00:00"/>
    <x v="0"/>
    <s v="Africa → Nigeria → Port Harcourt"/>
    <s v="Nigeria-2025-06"/>
    <s v="Nigeria"/>
    <s v="Port Harcourt"/>
    <s v="Consumer"/>
    <s v="Marketplace"/>
    <x v="12"/>
    <s v="Accessories"/>
    <s v="ACC-3961"/>
    <n v="730.99"/>
    <n v="1242.8399999999999"/>
    <s v="Valid"/>
    <n v="1242.8399999999999"/>
    <s v="Medium"/>
    <n v="0.12"/>
    <s v="Valid"/>
    <n v="0.12"/>
    <n v="10"/>
    <n v="10936.992"/>
    <n v="7309.9"/>
    <n v="3627.0920000000006"/>
    <n v="0.33163524303574515"/>
    <n v="0"/>
    <n v="0"/>
  </r>
  <r>
    <s v="ORD-2024-500109"/>
    <d v="2024-05-18T00:00:00"/>
    <x v="7"/>
    <s v="Q2-2024"/>
    <d v="2024-05-23T00:00:00"/>
    <s v="Valid"/>
    <n v="5"/>
    <d v="2024-05-23T00:00:00"/>
    <x v="2"/>
    <s v="Americas → USA → Chicago"/>
    <s v="USA-2024-05"/>
    <s v="USA"/>
    <s v="Chicago"/>
    <s v="Enterprise"/>
    <s v="Retail"/>
    <x v="10"/>
    <s v="Laptops"/>
    <s v="LAP-4987"/>
    <n v="1274.5899999999999"/>
    <n v="2553.69"/>
    <s v="Valid"/>
    <n v="2553.69"/>
    <s v="High"/>
    <n v="0.01"/>
    <s v="Valid"/>
    <n v="0.01"/>
    <n v="8"/>
    <n v="20225.2248"/>
    <n v="10196.719999999999"/>
    <n v="10028.504800000001"/>
    <n v="0.49584145042481803"/>
    <n v="1"/>
    <n v="0"/>
  </r>
  <r>
    <s v="ORD-2023-271836"/>
    <d v="2023-02-07T00:00:00"/>
    <x v="2"/>
    <s v="Q1-2023"/>
    <d v="2023-02-12T00:00:00"/>
    <s v="Valid"/>
    <n v="5"/>
    <d v="2023-02-12T00:00:00"/>
    <x v="2"/>
    <s v="Americas → Brazil → São Paulo"/>
    <s v="Brazil-2023-02"/>
    <s v="Brazil"/>
    <s v="São Paulo"/>
    <s v="Education"/>
    <s v="Online"/>
    <x v="13"/>
    <s v="Components"/>
    <s v="CMP-2693"/>
    <n v="948.55"/>
    <n v="2089.16"/>
    <s v="Valid"/>
    <n v="2089.16"/>
    <s v="High"/>
    <n v="7.0000000000000001E-3"/>
    <s v="Valid"/>
    <n v="7.0000000000000001E-3"/>
    <n v="12"/>
    <n v="24894.430559999997"/>
    <n v="11382.599999999999"/>
    <n v="13511.830559999999"/>
    <n v="0.54276519912492427"/>
    <n v="1"/>
    <n v="0"/>
  </r>
  <r>
    <s v="ORD-2024-215294"/>
    <d v="2024-06-30T00:00:00"/>
    <x v="17"/>
    <s v="Q2-2024"/>
    <d v="2024-07-14T00:00:00"/>
    <s v="Valid"/>
    <n v="14"/>
    <d v="2024-07-14T00:00:00"/>
    <x v="2"/>
    <s v="Americas → Brazil → Brasília"/>
    <s v="Brazil-2024-06"/>
    <s v="Brazil"/>
    <s v="Brasília"/>
    <s v="Education"/>
    <s v="Retail"/>
    <x v="0"/>
    <s v="Accessories"/>
    <s v="ACC-8683"/>
    <n v="1491.85"/>
    <n v="2583.02"/>
    <s v="Valid"/>
    <n v="2583.02"/>
    <s v="High"/>
    <n v="0.16800000000000001"/>
    <s v="Valid"/>
    <n v="0.16800000000000001"/>
    <n v="4"/>
    <n v="8596.2905599999995"/>
    <n v="5967.4"/>
    <n v="2628.8905599999998"/>
    <n v="0.30581685689321325"/>
    <n v="0"/>
    <n v="0"/>
  </r>
  <r>
    <s v="ORD-2024-788105"/>
    <d v="2024-11-30T00:00:00"/>
    <x v="18"/>
    <s v="Q4-2024"/>
    <d v="2024-12-30T00:00:00"/>
    <s v="Valid"/>
    <n v="30"/>
    <d v="2024-12-30T00:00:00"/>
    <x v="3"/>
    <s v="Europe → France → Marseille"/>
    <s v="France-2024-11"/>
    <s v="France"/>
    <s v="Marseille"/>
    <s v="Consumer"/>
    <s v="Marketplace"/>
    <x v="9"/>
    <s v="Printers"/>
    <s v="PRN-4170"/>
    <n v="117.64"/>
    <n v="175.67"/>
    <s v="Valid"/>
    <n v="175.67"/>
    <s v="Low"/>
    <n v="0"/>
    <s v="Valid"/>
    <n v="0"/>
    <n v="10"/>
    <n v="1756.6999999999998"/>
    <n v="1176.4000000000001"/>
    <n v="580.29999999999973"/>
    <n v="0.33033528775545046"/>
    <n v="0"/>
    <n v="0"/>
  </r>
  <r>
    <s v="ORD-2024-855073"/>
    <d v="2024-07-19T00:00:00"/>
    <x v="14"/>
    <s v="Q3-2024"/>
    <d v="2024-07-19T00:00:00"/>
    <s v="Valid"/>
    <n v="0"/>
    <d v="2024-07-19T00:00:00"/>
    <x v="0"/>
    <s v="Africa → Kenya → Kisumu"/>
    <s v="Kenya-2024-07"/>
    <s v="Kenya"/>
    <s v="Kisumu"/>
    <s v="Small Business"/>
    <s v="Retail"/>
    <x v="8"/>
    <s v="Phones"/>
    <s v="PHN-6854"/>
    <n v="857.24"/>
    <n v="758.23"/>
    <s v="Valid"/>
    <n v="758.23"/>
    <s v="Medium"/>
    <n v="0.125"/>
    <s v="Valid"/>
    <n v="0.125"/>
    <n v="6"/>
    <n v="3980.7075"/>
    <n v="5143.4400000000005"/>
    <n v="-1162.7325000000005"/>
    <n v="-0.29209192084572921"/>
    <n v="1"/>
    <n v="0"/>
  </r>
  <r>
    <s v="ORD-2023-897079"/>
    <d v="2023-04-14T00:00:00"/>
    <x v="12"/>
    <s v="Q2-2023"/>
    <d v="2023-05-14T00:00:00"/>
    <s v="Valid"/>
    <n v="30"/>
    <d v="2023-05-14T00:00:00"/>
    <x v="0"/>
    <s v="Africa → Kenya → Nakuru"/>
    <s v="Kenya-2023-04"/>
    <s v="Kenya"/>
    <s v="Nakuru"/>
    <s v="Consumer"/>
    <s v="Marketplace"/>
    <x v="12"/>
    <s v="Phones"/>
    <s v="PHN-1784"/>
    <n v="209.25"/>
    <n v="434.8"/>
    <s v="Valid"/>
    <n v="434.8"/>
    <s v="Low"/>
    <n v="0"/>
    <s v="Valid"/>
    <n v="0"/>
    <n v="9"/>
    <n v="3913.2000000000003"/>
    <n v="1883.25"/>
    <n v="2029.9500000000003"/>
    <n v="0.51874425022999082"/>
    <n v="0"/>
    <n v="0"/>
  </r>
  <r>
    <s v="ORD-2025-548982"/>
    <d v="2025-04-07T00:00:00"/>
    <x v="19"/>
    <s v="Q2-2025"/>
    <d v="2025-04-11T00:00:00"/>
    <s v="Valid"/>
    <n v="4"/>
    <d v="2025-04-11T00:00:00"/>
    <x v="3"/>
    <s v="Europe → France → Lyon"/>
    <s v="France-2025-04"/>
    <s v="France"/>
    <s v="Lyon"/>
    <s v="Education"/>
    <s v="Retail"/>
    <x v="6"/>
    <s v="Networking"/>
    <s v="NET-9716"/>
    <n v="754.77"/>
    <n v="1666.18"/>
    <s v="Valid"/>
    <n v="1666.18"/>
    <s v="Medium"/>
    <n v="0.13900000000000001"/>
    <s v="Valid"/>
    <n v="0.13900000000000001"/>
    <n v="14"/>
    <n v="20084.133720000002"/>
    <n v="10566.779999999999"/>
    <n v="9517.3537200000028"/>
    <n v="0.47387424584424653"/>
    <n v="1"/>
    <n v="0"/>
  </r>
  <r>
    <s v="ORD-2024-170313"/>
    <d v="2024-12-27T00:00:00"/>
    <x v="6"/>
    <s v="Q4-2024"/>
    <d v="2025-01-15T00:00:00"/>
    <s v="Valid"/>
    <n v="19"/>
    <d v="2025-01-15T00:00:00"/>
    <x v="1"/>
    <s v="Asia → India → Delhi"/>
    <s v="India-2024-12"/>
    <s v="India"/>
    <s v="Delhi"/>
    <s v="Non-Profit"/>
    <s v="Distributor"/>
    <x v="3"/>
    <s v="Components"/>
    <s v="CMP-6919"/>
    <n v="495.59"/>
    <n v="631.78"/>
    <s v="Valid"/>
    <n v="631.78"/>
    <s v="Medium"/>
    <n v="8.6999999999999994E-2"/>
    <s v="Valid"/>
    <n v="8.6999999999999994E-2"/>
    <n v="17"/>
    <n v="9805.8573800000013"/>
    <n v="8425.0299999999988"/>
    <n v="1380.8273800000024"/>
    <n v="0.14081658813601899"/>
    <n v="0"/>
    <n v="0"/>
  </r>
  <r>
    <s v="ORD-2023-562894"/>
    <d v="2023-02-23T00:00:00"/>
    <x v="2"/>
    <s v="Q1-2023"/>
    <d v="2023-03-25T00:00:00"/>
    <s v="Valid"/>
    <n v="30"/>
    <d v="2023-03-25T00:00:00"/>
    <x v="2"/>
    <s v="Americas → Canada → Montreal"/>
    <s v="Canada-2023-02"/>
    <s v="Canada"/>
    <s v="Montreal"/>
    <s v="Enterprise"/>
    <s v="Online"/>
    <x v="14"/>
    <s v="Phones"/>
    <s v="PHN-4854"/>
    <n v="1242.6600000000001"/>
    <n v="1794.07"/>
    <s v="Valid"/>
    <n v="1794.07"/>
    <s v="Medium"/>
    <n v="8.8999999999999996E-2"/>
    <s v="Valid"/>
    <n v="8.8999999999999996E-2"/>
    <n v="16"/>
    <n v="26150.364320000001"/>
    <n v="19882.560000000001"/>
    <n v="6267.8043199999993"/>
    <n v="0.23968325042440553"/>
    <n v="0"/>
    <n v="0"/>
  </r>
  <r>
    <s v="ORD-2025-474710"/>
    <d v="2025-07-24T00:00:00"/>
    <x v="13"/>
    <s v="Q3-2025"/>
    <d v="2025-08-06T00:00:00"/>
    <s v="Valid"/>
    <n v="13"/>
    <d v="2025-08-06T00:00:00"/>
    <x v="0"/>
    <s v="Africa → South Africa → Johannesburg"/>
    <s v="South Africa-2025-07"/>
    <s v="South Africa"/>
    <s v="Johannesburg"/>
    <s v="Education"/>
    <s v="Marketplace"/>
    <x v="14"/>
    <s v="Networking"/>
    <s v="NET-7966"/>
    <n v="1463.9"/>
    <n v="2633.02"/>
    <s v="Valid"/>
    <n v="2633.02"/>
    <s v="High"/>
    <n v="8.4000000000000005E-2"/>
    <s v="Valid"/>
    <n v="8.4000000000000005E-2"/>
    <n v="4"/>
    <n v="9647.3852800000004"/>
    <n v="5855.6"/>
    <n v="3791.7852800000001"/>
    <n v="0.39303761277791527"/>
    <n v="0"/>
    <n v="0"/>
  </r>
  <r>
    <s v="ORD-2024-629525"/>
    <d v="2024-04-18T00:00:00"/>
    <x v="20"/>
    <s v="Q2-2024"/>
    <d v="2024-05-08T00:00:00"/>
    <s v="Valid"/>
    <n v="20"/>
    <d v="2024-05-08T00:00:00"/>
    <x v="3"/>
    <s v="Europe → United Kingdom → London"/>
    <s v="United Kingdom-2024-04"/>
    <s v="United Kingdom"/>
    <s v="London"/>
    <s v="Non-Profit"/>
    <s v="Unknown"/>
    <x v="14"/>
    <s v="Laptops"/>
    <s v="LAP-9932"/>
    <n v="645.33000000000004"/>
    <n v="1321.85"/>
    <s v="Valid"/>
    <n v="1321.85"/>
    <s v="Medium"/>
    <n v="0"/>
    <s v="Valid"/>
    <n v="0"/>
    <n v="10"/>
    <n v="13218.5"/>
    <n v="6453.3"/>
    <n v="6765.2"/>
    <n v="0.51179785906116426"/>
    <n v="0"/>
    <n v="0"/>
  </r>
  <r>
    <s v="ORD-2024-167215"/>
    <d v="2024-08-23T00:00:00"/>
    <x v="21"/>
    <s v="Q3-2024"/>
    <d v="2024-08-21T00:00:00"/>
    <s v="Invalid RequiredDate"/>
    <n v="-2"/>
    <d v="2024-09-18T00:00:00"/>
    <x v="0"/>
    <s v="Africa → South Africa → Johannesburg"/>
    <s v="South Africa-2024-08"/>
    <s v="South Africa"/>
    <s v="Johannesburg"/>
    <s v="Education"/>
    <s v="Retail"/>
    <x v="6"/>
    <s v="Components"/>
    <s v="CMP-1559"/>
    <n v="1432.52"/>
    <n v="3036.87"/>
    <s v="Valid"/>
    <n v="3036.87"/>
    <s v="High"/>
    <n v="0"/>
    <s v="Valid"/>
    <n v="0"/>
    <n v="9"/>
    <n v="27331.829999999998"/>
    <n v="12892.68"/>
    <n v="14439.149999999998"/>
    <n v="0.52829064135112791"/>
    <n v="1"/>
    <n v="0"/>
  </r>
  <r>
    <s v="ORD-2023-864121"/>
    <d v="2023-03-27T00:00:00"/>
    <x v="22"/>
    <s v="Q1-2023"/>
    <d v="2023-04-22T00:00:00"/>
    <s v="Valid"/>
    <n v="26"/>
    <d v="2023-04-22T00:00:00"/>
    <x v="1"/>
    <s v="Asia → India → Delhi"/>
    <s v="India-2023-03"/>
    <s v="India"/>
    <s v="Delhi"/>
    <s v="Non-Profit"/>
    <s v="Marketplace"/>
    <x v="1"/>
    <s v="Printers"/>
    <s v="PRN-4506"/>
    <n v="178.53"/>
    <n v="199.37"/>
    <s v="Valid"/>
    <n v="199.37"/>
    <s v="Low"/>
    <n v="0.10100000000000001"/>
    <s v="Valid"/>
    <n v="0.10100000000000001"/>
    <n v="37"/>
    <n v="6631.6443100000006"/>
    <n v="6605.61"/>
    <n v="26.034310000000914"/>
    <n v="3.9257699573457538E-3"/>
    <n v="0"/>
    <n v="0"/>
  </r>
  <r>
    <s v="ORD-2024-692673"/>
    <d v="2024-03-07T00:00:00"/>
    <x v="0"/>
    <s v="Q1-2024"/>
    <d v="2024-03-25T00:00:00"/>
    <s v="Valid"/>
    <n v="18"/>
    <d v="2024-03-25T00:00:00"/>
    <x v="3"/>
    <s v="Europe → Germany → Munich"/>
    <s v="Germany-2024-03"/>
    <s v="Germany"/>
    <s v="Munich"/>
    <s v="Corporate"/>
    <s v="Online"/>
    <x v="5"/>
    <s v="Components"/>
    <s v="CMP-7617"/>
    <n v="712.84"/>
    <n v="927.51"/>
    <s v="Valid"/>
    <n v="927.51"/>
    <s v="Medium"/>
    <n v="0.24299999999999999"/>
    <s v="Valid"/>
    <n v="0.24299999999999999"/>
    <n v="27"/>
    <n v="18957.37689"/>
    <n v="19246.68"/>
    <n v="-289.30311000000074"/>
    <n v="-1.5260714163076427E-2"/>
    <n v="0"/>
    <n v="1"/>
  </r>
  <r>
    <s v="ORD-2025-718992"/>
    <d v="2025-06-24T00:00:00"/>
    <x v="16"/>
    <s v="Q2-2025"/>
    <d v="2025-07-10T00:00:00"/>
    <s v="Valid"/>
    <n v="16"/>
    <d v="2025-07-10T00:00:00"/>
    <x v="1"/>
    <s v="Asia → China → Shanghai"/>
    <s v="China-2025-06"/>
    <s v="China"/>
    <s v="Shanghai"/>
    <s v="Enterprise"/>
    <s v="Direct"/>
    <x v="13"/>
    <s v="Components"/>
    <s v="CMP-8390"/>
    <n v="757.19"/>
    <n v="1735.41"/>
    <s v="Valid"/>
    <n v="1735.41"/>
    <s v="Medium"/>
    <n v="0.13600000000000001"/>
    <s v="Valid"/>
    <n v="0.13600000000000001"/>
    <n v="8"/>
    <n v="11995.153920000001"/>
    <n v="6057.52"/>
    <n v="5937.6339200000002"/>
    <n v="0.4950027285685718"/>
    <n v="0"/>
    <n v="0"/>
  </r>
  <r>
    <s v="ORD-2024-599522"/>
    <d v="2024-04-19T00:00:00"/>
    <x v="20"/>
    <s v="Q2-2024"/>
    <d v="2024-05-06T00:00:00"/>
    <s v="Valid"/>
    <n v="17"/>
    <d v="2024-05-06T00:00:00"/>
    <x v="0"/>
    <s v="Africa → Nigeria → Port Harcourt"/>
    <s v="Nigeria-2024-04"/>
    <s v="Nigeria"/>
    <s v="Port Harcourt"/>
    <s v="Non-Profit"/>
    <s v="Online"/>
    <x v="8"/>
    <s v="Printers"/>
    <s v="PRN-7303"/>
    <n v="865.33"/>
    <n v="1395.64"/>
    <s v="Valid"/>
    <n v="1395.64"/>
    <s v="Medium"/>
    <n v="0.17499999999999999"/>
    <s v="Valid"/>
    <n v="0.17499999999999999"/>
    <n v="13"/>
    <n v="14968.239"/>
    <n v="11249.29"/>
    <n v="3718.9489999999987"/>
    <n v="0.24845601409758347"/>
    <n v="0"/>
    <n v="0"/>
  </r>
  <r>
    <s v="ORD-2023-651638"/>
    <d v="2023-06-17T00:00:00"/>
    <x v="23"/>
    <s v="Q2-2023"/>
    <d v="2023-06-24T00:00:00"/>
    <s v="Valid"/>
    <n v="7"/>
    <d v="2023-06-24T00:00:00"/>
    <x v="2"/>
    <s v="Americas → USA → San Francisco"/>
    <s v="USA-2023-06"/>
    <s v="USA"/>
    <s v="San Francisco"/>
    <s v="Corporate"/>
    <s v="Retail"/>
    <x v="2"/>
    <s v="Printers"/>
    <s v="PRN-6536"/>
    <n v="313.99"/>
    <n v="454.42"/>
    <s v="Valid"/>
    <n v="454.42"/>
    <s v="Low"/>
    <n v="0.129"/>
    <s v="Valid"/>
    <n v="0.129"/>
    <n v="9"/>
    <n v="3562.1983800000003"/>
    <n v="2825.91"/>
    <n v="736.28838000000042"/>
    <n v="0.20669493988147858"/>
    <n v="1"/>
    <n v="0"/>
  </r>
  <r>
    <s v="ORD-2024-635626"/>
    <d v="2024-08-27T00:00:00"/>
    <x v="21"/>
    <s v="Q3-2024"/>
    <d v="2024-09-19T00:00:00"/>
    <s v="Valid"/>
    <n v="23"/>
    <d v="2024-09-19T00:00:00"/>
    <x v="3"/>
    <s v="Europe → Germany → Berlin"/>
    <s v="Germany-2024-08"/>
    <s v="Germany"/>
    <s v="Berlin"/>
    <s v="Small Business"/>
    <s v="Direct"/>
    <x v="14"/>
    <s v="Monitors"/>
    <s v="MON-9967"/>
    <n v="1024.01"/>
    <n v="1580.97"/>
    <s v="Valid"/>
    <n v="1580.97"/>
    <s v="Medium"/>
    <n v="3.6999999999999998E-2"/>
    <s v="Valid"/>
    <n v="3.6999999999999998E-2"/>
    <n v="27"/>
    <n v="41106.800970000004"/>
    <n v="27648.27"/>
    <n v="13458.530970000003"/>
    <n v="0.3274039976942531"/>
    <n v="0"/>
    <n v="0"/>
  </r>
  <r>
    <s v="ORD-2024-296582"/>
    <d v="2024-01-11T00:00:00"/>
    <x v="9"/>
    <s v="Q1-2024"/>
    <d v="2024-02-02T00:00:00"/>
    <s v="Valid"/>
    <n v="22"/>
    <d v="2024-02-02T00:00:00"/>
    <x v="0"/>
    <s v="Africa → South Africa → Durban"/>
    <s v="South Africa-2024-01"/>
    <s v="South Africa"/>
    <s v="Durban"/>
    <s v="Consumer"/>
    <s v="Online"/>
    <x v="11"/>
    <s v="Networking"/>
    <s v="NET-1412"/>
    <n v="1206.2"/>
    <n v="1759.79"/>
    <s v="Valid"/>
    <n v="1759.79"/>
    <s v="Medium"/>
    <n v="0"/>
    <s v="Valid"/>
    <n v="0"/>
    <n v="6"/>
    <n v="10558.74"/>
    <n v="7237.2000000000007"/>
    <n v="3321.5399999999991"/>
    <n v="0.31457730751964713"/>
    <n v="0"/>
    <n v="0"/>
  </r>
  <r>
    <s v="ORD-2024-998320"/>
    <d v="2024-10-25T00:00:00"/>
    <x v="1"/>
    <s v="Q4-2024"/>
    <d v="2024-11-14T00:00:00"/>
    <s v="Valid"/>
    <n v="20"/>
    <d v="2024-11-14T00:00:00"/>
    <x v="0"/>
    <s v="Africa → Kenya → Mombasa"/>
    <s v="Kenya-2024-10"/>
    <s v="Kenya"/>
    <s v="Mombasa"/>
    <s v="Corporate"/>
    <s v="Direct"/>
    <x v="10"/>
    <s v="Printers"/>
    <s v="PRN-3143"/>
    <n v="1396.48"/>
    <n v="3204.5"/>
    <s v="Valid"/>
    <n v="3204.5"/>
    <s v="High"/>
    <n v="0.318"/>
    <s v="High Discount"/>
    <n v="0.3"/>
    <n v="14"/>
    <n v="31404.1"/>
    <n v="19550.72"/>
    <n v="11853.379999999997"/>
    <n v="0.3774468938769141"/>
    <n v="0"/>
    <n v="1"/>
  </r>
  <r>
    <s v="ORD-2025-820255"/>
    <d v="2025-05-29T00:00:00"/>
    <x v="8"/>
    <s v="Q2-2025"/>
    <d v="2025-06-20T00:00:00"/>
    <s v="Valid"/>
    <n v="22"/>
    <d v="2025-06-20T00:00:00"/>
    <x v="3"/>
    <s v="Europe → Germany → Berlin"/>
    <s v="Germany-2025-05"/>
    <s v="Germany"/>
    <s v="Berlin"/>
    <s v="Corporate"/>
    <s v="Direct"/>
    <x v="8"/>
    <s v="Printers"/>
    <s v="PRN-9787"/>
    <n v="483.47"/>
    <n v="1135.43"/>
    <s v="Valid"/>
    <n v="1135.43"/>
    <s v="Medium"/>
    <n v="0.14599999999999999"/>
    <s v="Valid"/>
    <n v="0.14599999999999999"/>
    <n v="11"/>
    <n v="10666.229420000001"/>
    <n v="5318.17"/>
    <n v="5348.0594200000014"/>
    <n v="0.50140112399719983"/>
    <n v="0"/>
    <n v="0"/>
  </r>
  <r>
    <s v="ORD-2024-389336"/>
    <d v="2024-05-20T00:00:00"/>
    <x v="7"/>
    <s v="Q2-2024"/>
    <d v="2024-06-02T00:00:00"/>
    <s v="Valid"/>
    <n v="13"/>
    <d v="2024-06-02T00:00:00"/>
    <x v="2"/>
    <s v="Americas → Canada → Vancouver"/>
    <s v="Canada-2024-05"/>
    <s v="Canada"/>
    <s v="Vancouver"/>
    <s v="Enterprise"/>
    <s v="Marketplace"/>
    <x v="11"/>
    <s v="Components"/>
    <s v="CMP-5946"/>
    <n v="675.43"/>
    <n v="996.36"/>
    <s v="Valid"/>
    <n v="996.36"/>
    <s v="Medium"/>
    <n v="0.182"/>
    <s v="Valid"/>
    <n v="0.182"/>
    <n v="22"/>
    <n v="17930.494560000003"/>
    <n v="14859.46"/>
    <n v="3071.0345600000037"/>
    <n v="0.17127439233332575"/>
    <n v="0"/>
    <n v="0"/>
  </r>
  <r>
    <s v="ORD-2023-308124"/>
    <d v="2023-04-19T00:00:00"/>
    <x v="12"/>
    <s v="Q2-2023"/>
    <d v="2023-04-30T00:00:00"/>
    <s v="Valid"/>
    <n v="11"/>
    <d v="2023-04-30T00:00:00"/>
    <x v="1"/>
    <s v="Asia → India → Delhi"/>
    <s v="India-2023-04"/>
    <s v="India"/>
    <s v="Delhi"/>
    <s v="Small Business"/>
    <s v="Retail"/>
    <x v="8"/>
    <s v="Networking"/>
    <s v="NET-2062"/>
    <n v="826.55"/>
    <n v="1397.05"/>
    <s v="Valid"/>
    <n v="1397.05"/>
    <s v="Medium"/>
    <n v="0.16900000000000001"/>
    <s v="Valid"/>
    <n v="0.16900000000000001"/>
    <n v="28"/>
    <n v="32506.559399999998"/>
    <n v="23143.399999999998"/>
    <n v="9363.1594000000005"/>
    <n v="0.28803907804527601"/>
    <n v="0"/>
    <n v="0"/>
  </r>
  <r>
    <s v="ORD-2023-128295"/>
    <d v="2023-06-23T00:00:00"/>
    <x v="23"/>
    <s v="Q2-2023"/>
    <d v="2023-07-03T00:00:00"/>
    <s v="Valid"/>
    <n v="10"/>
    <d v="2023-07-03T00:00:00"/>
    <x v="0"/>
    <s v="Africa → Nigeria → Abuja"/>
    <s v="Nigeria-2023-06"/>
    <s v="Nigeria"/>
    <s v="Abuja"/>
    <s v="Consumer"/>
    <s v="Online"/>
    <x v="1"/>
    <s v="Printers"/>
    <s v="PRN-2542"/>
    <n v="337.75"/>
    <n v="548.89"/>
    <s v="Valid"/>
    <n v="548.89"/>
    <s v="Low"/>
    <n v="0"/>
    <s v="Valid"/>
    <n v="0"/>
    <n v="13"/>
    <n v="7135.57"/>
    <n v="4390.75"/>
    <n v="2744.8199999999997"/>
    <n v="0.38466723751571352"/>
    <n v="0"/>
    <n v="0"/>
  </r>
  <r>
    <s v="ORD-2024-548345"/>
    <d v="2024-05-14T00:00:00"/>
    <x v="7"/>
    <s v="Q2-2024"/>
    <d v="2024-05-28T00:00:00"/>
    <s v="Valid"/>
    <n v="14"/>
    <d v="2024-05-28T00:00:00"/>
    <x v="3"/>
    <s v="Europe → United Kingdom → Birmingham"/>
    <s v="United Kingdom-2024-05"/>
    <s v="United Kingdom"/>
    <s v="Birmingham"/>
    <s v="Consumer"/>
    <s v="Retail"/>
    <x v="5"/>
    <s v="Networking"/>
    <s v="NET-2365"/>
    <n v="1421.14"/>
    <n v="3524"/>
    <s v="Valid"/>
    <n v="3524"/>
    <s v="High"/>
    <n v="0"/>
    <s v="Valid"/>
    <n v="0"/>
    <n v="31"/>
    <n v="109244"/>
    <n v="44055.340000000004"/>
    <n v="65188.659999999996"/>
    <n v="0.59672531214528945"/>
    <n v="0"/>
    <n v="0"/>
  </r>
  <r>
    <s v="ORD-2024-966651"/>
    <d v="2024-10-14T00:00:00"/>
    <x v="1"/>
    <s v="Q4-2024"/>
    <d v="2024-11-08T00:00:00"/>
    <s v="Valid"/>
    <n v="25"/>
    <d v="2024-11-08T00:00:00"/>
    <x v="0"/>
    <s v="Africa → Nigeria → Lagos"/>
    <s v="Nigeria-2024-10"/>
    <s v="Nigeria"/>
    <s v="Lagos"/>
    <s v="Enterprise"/>
    <s v="Online"/>
    <x v="7"/>
    <s v="Networking"/>
    <s v="NET-5268"/>
    <n v="859.35"/>
    <n v="1825.61"/>
    <s v="Valid"/>
    <n v="1825.61"/>
    <s v="Medium"/>
    <n v="0.187"/>
    <s v="Valid"/>
    <n v="0.187"/>
    <n v="24"/>
    <n v="35621.302319999995"/>
    <n v="20624.400000000001"/>
    <n v="14996.902319999994"/>
    <n v="0.42100937762681989"/>
    <n v="0"/>
    <n v="0"/>
  </r>
  <r>
    <s v="ORD-2023-292714"/>
    <d v="2023-07-10T00:00:00"/>
    <x v="24"/>
    <s v="Q3-2023"/>
    <d v="2023-08-01T00:00:00"/>
    <s v="Valid"/>
    <n v="22"/>
    <d v="2023-08-01T00:00:00"/>
    <x v="3"/>
    <s v="Europe → France → Marseille"/>
    <s v="France-2023-07"/>
    <s v="France"/>
    <s v="Marseille"/>
    <s v="Consumer"/>
    <s v="Marketplace"/>
    <x v="5"/>
    <s v="Printers"/>
    <s v="PRN-1504"/>
    <n v="1303.56"/>
    <n v="1791.37"/>
    <s v="Valid"/>
    <n v="1791.37"/>
    <s v="Medium"/>
    <n v="0.126"/>
    <s v="Valid"/>
    <n v="0.126"/>
    <n v="22"/>
    <n v="34444.462359999998"/>
    <n v="28678.32"/>
    <n v="5766.142359999998"/>
    <n v="0.16740404596055358"/>
    <n v="0"/>
    <n v="0"/>
  </r>
  <r>
    <s v="ORD-2024-468501"/>
    <d v="2024-11-06T00:00:00"/>
    <x v="18"/>
    <s v="Q4-2024"/>
    <d v="2024-11-22T00:00:00"/>
    <s v="Valid"/>
    <n v="16"/>
    <d v="2024-11-22T00:00:00"/>
    <x v="2"/>
    <s v="Americas → Canada → Toronto"/>
    <s v="Canada-2024-11"/>
    <s v="Canada"/>
    <s v="Toronto"/>
    <s v="Non-Profit"/>
    <s v="Distributor"/>
    <x v="14"/>
    <s v="Accessories"/>
    <s v="ACC-6348"/>
    <n v="1454.11"/>
    <n v="2629.75"/>
    <s v="Valid"/>
    <n v="2629.75"/>
    <s v="High"/>
    <n v="0.29199999999999998"/>
    <s v="Valid"/>
    <n v="0.29199999999999998"/>
    <n v="8"/>
    <n v="14894.903999999999"/>
    <n v="11632.88"/>
    <n v="3262.0239999999994"/>
    <n v="0.21900268709351867"/>
    <n v="0"/>
    <n v="1"/>
  </r>
  <r>
    <s v="ORD-2024-260775"/>
    <d v="2024-10-17T00:00:00"/>
    <x v="1"/>
    <s v="Q4-2024"/>
    <d v="2024-11-06T00:00:00"/>
    <s v="Valid"/>
    <n v="20"/>
    <d v="2024-11-06T00:00:00"/>
    <x v="1"/>
    <s v="Asia → India → Bengaluru"/>
    <s v="India-2024-10"/>
    <s v="India"/>
    <s v="Bengaluru"/>
    <s v="Enterprise"/>
    <s v="Distributor"/>
    <x v="7"/>
    <s v="Monitors"/>
    <s v="MON-4330"/>
    <n v="72.94"/>
    <n v="106.3"/>
    <s v="Valid"/>
    <n v="106.3"/>
    <s v="Low"/>
    <n v="0.29499999999999998"/>
    <s v="Valid"/>
    <n v="0.29499999999999998"/>
    <n v="8"/>
    <n v="599.53200000000004"/>
    <n v="583.52"/>
    <n v="16.012000000000057"/>
    <n v="2.6707498515508857E-2"/>
    <n v="0"/>
    <n v="1"/>
  </r>
  <r>
    <s v="ORD-2023-419187"/>
    <d v="2023-03-31T00:00:00"/>
    <x v="22"/>
    <s v="Q1-2023"/>
    <d v="2023-04-05T00:00:00"/>
    <s v="Valid"/>
    <n v="5"/>
    <d v="2023-04-05T00:00:00"/>
    <x v="0"/>
    <s v="Africa → Kenya → Nakuru"/>
    <s v="Kenya-2023-03"/>
    <s v="Kenya"/>
    <s v="Nakuru"/>
    <s v="Education"/>
    <s v="Marketplace"/>
    <x v="5"/>
    <s v="Laptops"/>
    <s v="LAP-7819"/>
    <n v="533.26"/>
    <n v="385.72"/>
    <s v="Valid"/>
    <n v="385.72"/>
    <s v="Low"/>
    <n v="0"/>
    <s v="Valid"/>
    <n v="0"/>
    <n v="15"/>
    <n v="5785.8"/>
    <n v="7998.9"/>
    <n v="-2213.0999999999995"/>
    <n v="-0.38250544436378708"/>
    <n v="1"/>
    <n v="0"/>
  </r>
  <r>
    <s v="ORD-2025-578007"/>
    <d v="2025-01-21T00:00:00"/>
    <x v="10"/>
    <s v="Q1-2025"/>
    <d v="2025-02-16T00:00:00"/>
    <s v="Valid"/>
    <n v="26"/>
    <d v="2025-02-16T00:00:00"/>
    <x v="3"/>
    <s v="Europe → France → Lyon"/>
    <s v="France-2025-01"/>
    <s v="France"/>
    <s v="Lyon"/>
    <s v="Corporate"/>
    <s v="Distributor"/>
    <x v="7"/>
    <s v="Laptops"/>
    <s v="LAP-3779"/>
    <n v="204.11"/>
    <n v="236.87"/>
    <s v="Valid"/>
    <n v="236.87"/>
    <s v="Low"/>
    <n v="0.182"/>
    <s v="Valid"/>
    <n v="0.182"/>
    <n v="13"/>
    <n v="2518.8755800000004"/>
    <n v="2653.4300000000003"/>
    <n v="-134.55441999999994"/>
    <n v="-5.3418446337075494E-2"/>
    <n v="0"/>
    <n v="0"/>
  </r>
  <r>
    <s v="ORD-2023-235230"/>
    <d v="2023-08-30T00:00:00"/>
    <x v="25"/>
    <s v="Q3-2023"/>
    <d v="2023-09-01T00:00:00"/>
    <s v="Valid"/>
    <n v="2"/>
    <d v="2023-09-01T00:00:00"/>
    <x v="3"/>
    <s v="Europe → Germany → Munich"/>
    <s v="Germany-2023-08"/>
    <s v="Germany"/>
    <s v="Munich"/>
    <s v="Corporate"/>
    <s v="Direct"/>
    <x v="13"/>
    <s v="Networking"/>
    <s v="NET-9989"/>
    <n v="44.42"/>
    <n v="41.9"/>
    <s v="Valid"/>
    <n v="41.9"/>
    <s v="Low"/>
    <n v="0.14399999999999999"/>
    <s v="Valid"/>
    <n v="0.14399999999999999"/>
    <n v="6"/>
    <n v="215.19839999999996"/>
    <n v="266.52"/>
    <n v="-51.321600000000018"/>
    <n v="-0.23848504449847224"/>
    <n v="1"/>
    <n v="0"/>
  </r>
  <r>
    <s v="ORD-2025-765220"/>
    <d v="2025-04-06T00:00:00"/>
    <x v="19"/>
    <s v="Q2-2025"/>
    <d v="2025-04-30T00:00:00"/>
    <s v="Valid"/>
    <n v="24"/>
    <d v="2025-04-30T00:00:00"/>
    <x v="2"/>
    <s v="Americas → Brazil → Brasília"/>
    <s v="Brazil-2025-04"/>
    <s v="Brazil"/>
    <s v="Brasília"/>
    <s v="Education"/>
    <s v="Online"/>
    <x v="11"/>
    <s v="Monitors"/>
    <s v="MON-4925"/>
    <n v="855.78"/>
    <n v="977.38"/>
    <s v="Valid"/>
    <n v="977.38"/>
    <s v="Medium"/>
    <n v="0.14699999999999999"/>
    <s v="Valid"/>
    <n v="0.14699999999999999"/>
    <n v="38"/>
    <n v="31680.795320000001"/>
    <n v="32519.64"/>
    <n v="-838.84467999999833"/>
    <n v="-2.6478018355506307E-2"/>
    <n v="0"/>
    <n v="0"/>
  </r>
  <r>
    <s v="ORD-2025-931538"/>
    <d v="2025-02-09T00:00:00"/>
    <x v="26"/>
    <s v="Q1-2025"/>
    <d v="2025-03-01T00:00:00"/>
    <s v="Valid"/>
    <n v="20"/>
    <d v="2025-03-01T00:00:00"/>
    <x v="2"/>
    <s v="Americas → Brazil → São Paulo"/>
    <s v="Brazil-2025-02"/>
    <s v="Brazil"/>
    <s v="São Paulo"/>
    <s v="Corporate"/>
    <s v="Distributor"/>
    <x v="5"/>
    <s v="Laptops"/>
    <s v="LAP-6989"/>
    <n v="1154.6400000000001"/>
    <n v="2794.13"/>
    <s v="Valid"/>
    <n v="2794.13"/>
    <s v="High"/>
    <n v="3.5000000000000003E-2"/>
    <s v="Valid"/>
    <n v="3.5000000000000003E-2"/>
    <n v="11"/>
    <n v="29659.68995"/>
    <n v="12701.04"/>
    <n v="16958.649949999999"/>
    <n v="0.57177435025749479"/>
    <n v="0"/>
    <n v="0"/>
  </r>
  <r>
    <s v="ORD-2024-289089"/>
    <d v="2024-12-17T00:00:00"/>
    <x v="6"/>
    <s v="Q4-2024"/>
    <d v="2024-12-18T00:00:00"/>
    <s v="Valid"/>
    <n v="1"/>
    <d v="2024-12-18T00:00:00"/>
    <x v="3"/>
    <s v="Europe → Germany → Munich"/>
    <s v="Germany-2024-12"/>
    <s v="Germany"/>
    <s v="Munich"/>
    <s v="Education"/>
    <s v="Retail"/>
    <x v="4"/>
    <s v="Accessories"/>
    <s v="ACC-5780"/>
    <n v="346.82"/>
    <n v="701.95"/>
    <s v="Valid"/>
    <n v="701.95"/>
    <s v="Medium"/>
    <n v="0.14699999999999999"/>
    <s v="Valid"/>
    <n v="0.14699999999999999"/>
    <n v="8"/>
    <n v="4790.1068000000005"/>
    <n v="2774.56"/>
    <n v="2015.5468000000005"/>
    <n v="0.42077283120284509"/>
    <n v="1"/>
    <n v="0"/>
  </r>
  <r>
    <s v="ORD-2025-639542"/>
    <d v="2025-06-09T00:00:00"/>
    <x v="16"/>
    <s v="Q2-2025"/>
    <d v="2025-06-18T00:00:00"/>
    <s v="Valid"/>
    <n v="9"/>
    <d v="2025-06-18T00:00:00"/>
    <x v="3"/>
    <s v="Europe → France → Marseille"/>
    <s v="France-2025-06"/>
    <s v="France"/>
    <s v="Marseille"/>
    <s v="Small Business"/>
    <s v="Marketplace"/>
    <x v="10"/>
    <s v="Accessories"/>
    <s v="ACC-1770"/>
    <n v="1225.5"/>
    <n v="-5.27"/>
    <s v="Invalid Price"/>
    <n v="1242.0129545454542"/>
    <s v="Medium"/>
    <n v="7.4999999999999997E-2"/>
    <s v="Valid"/>
    <n v="7.4999999999999997E-2"/>
    <n v="56"/>
    <n v="64336.27104545453"/>
    <n v="68628"/>
    <n v="-4291.7289545454696"/>
    <n v="-6.6707766626904738E-2"/>
    <n v="0"/>
    <n v="0"/>
  </r>
  <r>
    <s v="ORD-2025-762301"/>
    <d v="2025-05-02T00:00:00"/>
    <x v="8"/>
    <s v="Q2-2025"/>
    <d v="2025-05-13T00:00:00"/>
    <s v="Valid"/>
    <n v="11"/>
    <d v="2025-05-13T00:00:00"/>
    <x v="0"/>
    <s v="Africa → Kenya → Nakuru"/>
    <s v="Kenya-2025-05"/>
    <s v="Kenya"/>
    <s v="Nakuru"/>
    <s v="Small Business"/>
    <s v="Online"/>
    <x v="8"/>
    <s v="Accessories"/>
    <s v="ACC-2252"/>
    <n v="1057.5999999999999"/>
    <n v="1437.06"/>
    <s v="Valid"/>
    <n v="1437.06"/>
    <s v="Medium"/>
    <n v="0.20499999999999999"/>
    <s v="Valid"/>
    <n v="0.20499999999999999"/>
    <n v="4"/>
    <n v="4569.8508000000002"/>
    <n v="4230.3999999999996"/>
    <n v="339.45080000000053"/>
    <n v="7.4280499485891424E-2"/>
    <n v="0"/>
    <n v="1"/>
  </r>
  <r>
    <s v="ORD-2024-906395"/>
    <d v="2024-03-10T00:00:00"/>
    <x v="0"/>
    <s v="Q1-2024"/>
    <d v="2024-04-09T00:00:00"/>
    <s v="Valid"/>
    <n v="30"/>
    <d v="2024-04-09T00:00:00"/>
    <x v="3"/>
    <s v="Europe → France → Lyon"/>
    <s v="France-2024-03"/>
    <s v="France"/>
    <s v="Lyon"/>
    <s v="Corporate"/>
    <s v="Direct"/>
    <x v="2"/>
    <s v="Components"/>
    <s v="CMP-8002"/>
    <n v="1176.56"/>
    <n v="1911.89"/>
    <s v="Valid"/>
    <n v="1911.89"/>
    <s v="Medium"/>
    <n v="0.11899999999999999"/>
    <s v="Valid"/>
    <n v="0.11899999999999999"/>
    <n v="20"/>
    <n v="33687.501800000005"/>
    <n v="23531.199999999997"/>
    <n v="10156.301800000008"/>
    <n v="0.30148575160892477"/>
    <n v="0"/>
    <n v="0"/>
  </r>
  <r>
    <s v="ORD-2025-779574"/>
    <d v="2025-09-10T00:00:00"/>
    <x v="11"/>
    <s v="Q3-2025"/>
    <d v="2025-09-12T00:00:00"/>
    <s v="Valid"/>
    <n v="2"/>
    <d v="2025-09-12T00:00:00"/>
    <x v="1"/>
    <s v="Asia → Japan → Tokyo"/>
    <s v="Japan-2025-09"/>
    <s v="Japan"/>
    <s v="Tokyo"/>
    <s v="Consumer"/>
    <s v="Online"/>
    <x v="7"/>
    <s v="Components"/>
    <s v="CMP-6971"/>
    <n v="1470.15"/>
    <n v="2593.7800000000002"/>
    <s v="Valid"/>
    <n v="2593.7800000000002"/>
    <s v="High"/>
    <n v="0.11"/>
    <s v="Valid"/>
    <n v="0.11"/>
    <n v="12"/>
    <n v="27701.570400000001"/>
    <n v="17641.800000000003"/>
    <n v="10059.770399999998"/>
    <n v="0.36314801849645306"/>
    <n v="1"/>
    <n v="0"/>
  </r>
  <r>
    <s v="ORD-2025-526650"/>
    <d v="2025-04-27T00:00:00"/>
    <x v="19"/>
    <s v="Q2-2025"/>
    <d v="2025-05-25T00:00:00"/>
    <s v="Valid"/>
    <n v="28"/>
    <d v="2025-05-25T00:00:00"/>
    <x v="3"/>
    <s v="Europe → France → Paris"/>
    <s v="France-2025-04"/>
    <s v="France"/>
    <s v="Paris"/>
    <s v="Small Business"/>
    <s v="Marketplace"/>
    <x v="2"/>
    <s v="Phones"/>
    <s v="PHN-8350"/>
    <n v="603.45000000000005"/>
    <n v="1244.08"/>
    <s v="Valid"/>
    <n v="1244.08"/>
    <s v="Medium"/>
    <n v="0.2"/>
    <s v="Valid"/>
    <n v="0.2"/>
    <n v="11"/>
    <n v="10947.904"/>
    <n v="6637.9500000000007"/>
    <n v="4309.9539999999997"/>
    <n v="0.39367846119220623"/>
    <n v="0"/>
    <n v="0"/>
  </r>
  <r>
    <s v="ORD-2024-247979"/>
    <d v="2024-11-02T00:00:00"/>
    <x v="18"/>
    <s v="Q4-2024"/>
    <d v="2024-11-18T00:00:00"/>
    <s v="Valid"/>
    <n v="16"/>
    <d v="2024-11-18T00:00:00"/>
    <x v="1"/>
    <s v="Asia → India → Mumbai"/>
    <s v="India-2024-11"/>
    <s v="India"/>
    <s v="Mumbai"/>
    <s v="Small Business"/>
    <s v="Distributor"/>
    <x v="7"/>
    <s v="Monitors"/>
    <s v="MON-5188"/>
    <n v="1233.58"/>
    <n v="1912.51"/>
    <s v="Valid"/>
    <n v="1912.51"/>
    <s v="High"/>
    <n v="0.255"/>
    <s v="Valid"/>
    <n v="0.255"/>
    <n v="51"/>
    <n v="72665.817450000002"/>
    <n v="62912.579999999994"/>
    <n v="9753.2374500000078"/>
    <n v="0.134220432553601"/>
    <n v="0"/>
    <n v="1"/>
  </r>
  <r>
    <s v="ORD-2023-480975"/>
    <d v="2023-02-15T00:00:00"/>
    <x v="2"/>
    <s v="Q1-2023"/>
    <d v="2023-02-26T00:00:00"/>
    <s v="Valid"/>
    <n v="11"/>
    <d v="2023-02-26T00:00:00"/>
    <x v="0"/>
    <s v="Africa → South Africa → Johannesburg"/>
    <s v="South Africa-2023-02"/>
    <s v="South Africa"/>
    <s v="Johannesburg"/>
    <s v="Non-Profit"/>
    <s v="Retail"/>
    <x v="11"/>
    <s v="Laptops"/>
    <s v="LAP-3393"/>
    <n v="498.5"/>
    <n v="755.87"/>
    <s v="Valid"/>
    <n v="755.87"/>
    <s v="Medium"/>
    <n v="0.13"/>
    <s v="Valid"/>
    <n v="0.13"/>
    <n v="40"/>
    <n v="26304.275999999998"/>
    <n v="19940"/>
    <n v="6364.275999999998"/>
    <n v="0.24194834330357537"/>
    <n v="0"/>
    <n v="0"/>
  </r>
  <r>
    <s v="ORD-2023-239789"/>
    <d v="2023-12-03T00:00:00"/>
    <x v="4"/>
    <s v="Q4-2023"/>
    <d v="2023-12-26T00:00:00"/>
    <s v="Valid"/>
    <n v="23"/>
    <d v="2023-12-26T00:00:00"/>
    <x v="2"/>
    <s v="Americas → Brazil → Rio de Janeiro"/>
    <s v="Brazil-2023-12"/>
    <s v="Brazil"/>
    <s v="Rio de Janeiro"/>
    <s v="Education"/>
    <s v="Retail"/>
    <x v="7"/>
    <s v="Phones"/>
    <s v="PHN-4644"/>
    <n v="1303.1099999999999"/>
    <n v="1145.67"/>
    <s v="Valid"/>
    <n v="1145.67"/>
    <s v="Medium"/>
    <n v="0.184"/>
    <s v="Valid"/>
    <n v="0.184"/>
    <n v="13"/>
    <n v="12153.267360000002"/>
    <n v="16940.43"/>
    <n v="-4787.1626399999986"/>
    <n v="-0.39389922875851208"/>
    <n v="0"/>
    <n v="0"/>
  </r>
  <r>
    <s v="ORD-2023-548874"/>
    <d v="2023-03-19T00:00:00"/>
    <x v="22"/>
    <s v="Q1-2023"/>
    <d v="2023-04-09T00:00:00"/>
    <s v="Valid"/>
    <n v="21"/>
    <d v="2023-04-09T00:00:00"/>
    <x v="3"/>
    <s v="Europe → United Kingdom → Manchester"/>
    <s v="United Kingdom-2023-03"/>
    <s v="United Kingdom"/>
    <s v="Manchester"/>
    <s v="Consumer"/>
    <s v="Retail"/>
    <x v="4"/>
    <s v="Accessories"/>
    <s v="ACC-9150"/>
    <n v="1082.17"/>
    <n v="1234.0999999999999"/>
    <s v="Valid"/>
    <n v="1234.0999999999999"/>
    <s v="Medium"/>
    <n v="0.189"/>
    <s v="Valid"/>
    <n v="0.189"/>
    <n v="16"/>
    <n v="16013.681599999998"/>
    <n v="17314.72"/>
    <n v="-1301.0384000000031"/>
    <n v="-8.124542703534228E-2"/>
    <n v="0"/>
    <n v="0"/>
  </r>
  <r>
    <s v="ORD-2024-347736"/>
    <d v="2024-05-22T00:00:00"/>
    <x v="7"/>
    <s v="Q2-2024"/>
    <d v="2024-06-06T00:00:00"/>
    <s v="Valid"/>
    <n v="15"/>
    <d v="2024-06-06T00:00:00"/>
    <x v="1"/>
    <s v="Asia → Japan → Nagoya"/>
    <s v="Japan-2024-05"/>
    <s v="Japan"/>
    <s v="Nagoya"/>
    <s v="Corporate"/>
    <s v="Distributor"/>
    <x v="0"/>
    <s v="Monitors"/>
    <s v="MON-6870"/>
    <n v="673.88"/>
    <n v="1228.01"/>
    <s v="Valid"/>
    <n v="1228.01"/>
    <s v="Medium"/>
    <n v="0.105"/>
    <s v="Valid"/>
    <n v="0.105"/>
    <n v="13"/>
    <n v="14287.896349999999"/>
    <n v="8760.44"/>
    <n v="5527.4563499999986"/>
    <n v="0.38686285332689996"/>
    <n v="0"/>
    <n v="0"/>
  </r>
  <r>
    <s v="ORD-2023-749324"/>
    <d v="2023-08-19T00:00:00"/>
    <x v="25"/>
    <s v="Q3-2023"/>
    <d v="2023-09-07T00:00:00"/>
    <s v="Valid"/>
    <n v="19"/>
    <d v="2023-09-07T00:00:00"/>
    <x v="0"/>
    <s v="Africa → South Africa → Johannesburg"/>
    <s v="South Africa-2023-08"/>
    <s v="South Africa"/>
    <s v="Johannesburg"/>
    <s v="Enterprise"/>
    <s v="Retail"/>
    <x v="14"/>
    <s v="Monitors"/>
    <s v="MON-2296"/>
    <n v="494.61"/>
    <n v="605.23"/>
    <s v="Valid"/>
    <n v="605.23"/>
    <s v="Low"/>
    <n v="0.20399999999999999"/>
    <s v="Valid"/>
    <n v="0.20399999999999999"/>
    <n v="18"/>
    <n v="8671.7354400000004"/>
    <n v="8902.98"/>
    <n v="-231.24455999999918"/>
    <n v="-2.6666468505639647E-2"/>
    <n v="0"/>
    <n v="1"/>
  </r>
  <r>
    <s v="ORD-2023-809913"/>
    <d v="2023-04-21T00:00:00"/>
    <x v="12"/>
    <s v="Q2-2023"/>
    <d v="2023-05-10T00:00:00"/>
    <s v="Valid"/>
    <n v="19"/>
    <d v="2023-05-10T00:00:00"/>
    <x v="1"/>
    <s v="Asia → China → Shanghai"/>
    <s v="China-2023-04"/>
    <s v="China"/>
    <s v="Shanghai"/>
    <s v="Corporate"/>
    <s v="Retail"/>
    <x v="8"/>
    <s v="Components"/>
    <s v="CMP-7371"/>
    <n v="882.33"/>
    <n v="1880.15"/>
    <s v="Valid"/>
    <n v="1880.15"/>
    <s v="Medium"/>
    <n v="0.05"/>
    <s v="Valid"/>
    <n v="0.05"/>
    <n v="5"/>
    <n v="8930.7124999999996"/>
    <n v="4411.6500000000005"/>
    <n v="4519.0624999999991"/>
    <n v="0.50601365792482955"/>
    <n v="0"/>
    <n v="0"/>
  </r>
  <r>
    <s v="ORD-2024-287210"/>
    <d v="2024-03-18T00:00:00"/>
    <x v="0"/>
    <s v="Q1-2024"/>
    <d v="2024-03-21T00:00:00"/>
    <s v="Valid"/>
    <n v="3"/>
    <d v="2024-03-21T00:00:00"/>
    <x v="3"/>
    <s v="Europe → Germany → Munich"/>
    <s v="Germany-2024-03"/>
    <s v="Germany"/>
    <s v="Munich"/>
    <s v="Small Business"/>
    <s v="Online"/>
    <x v="12"/>
    <s v="Accessories"/>
    <s v="ACC-2761"/>
    <n v="910.63"/>
    <n v="1269.4000000000001"/>
    <s v="Valid"/>
    <n v="1269.4000000000001"/>
    <s v="Medium"/>
    <n v="6.8000000000000005E-2"/>
    <s v="Valid"/>
    <n v="6.8000000000000005E-2"/>
    <n v="9"/>
    <n v="10647.727199999999"/>
    <n v="8195.67"/>
    <n v="2452.0571999999993"/>
    <n v="0.23028925834989455"/>
    <n v="1"/>
    <n v="0"/>
  </r>
  <r>
    <s v="ORD-2025-640677"/>
    <d v="2025-04-09T00:00:00"/>
    <x v="19"/>
    <s v="Q2-2025"/>
    <d v="2025-05-06T00:00:00"/>
    <s v="Valid"/>
    <n v="27"/>
    <d v="2025-05-06T00:00:00"/>
    <x v="2"/>
    <s v="Americas → Brazil → Brasília"/>
    <s v="Brazil-2025-04"/>
    <s v="Brazil"/>
    <s v="Brasília"/>
    <s v="Enterprise"/>
    <s v="Marketplace"/>
    <x v="9"/>
    <s v="Laptops"/>
    <s v="LAP-4517"/>
    <n v="264.19"/>
    <n v="620.92999999999995"/>
    <s v="Valid"/>
    <n v="620.92999999999995"/>
    <s v="Medium"/>
    <n v="0.14199999999999999"/>
    <s v="Valid"/>
    <n v="0.14199999999999999"/>
    <n v="12"/>
    <n v="6393.0952799999995"/>
    <n v="3170.2799999999997"/>
    <n v="3222.8152799999998"/>
    <n v="0.50410875152794532"/>
    <n v="0"/>
    <n v="0"/>
  </r>
  <r>
    <s v="ORD-2024-939873"/>
    <d v="2024-04-12T00:00:00"/>
    <x v="20"/>
    <s v="Q2-2024"/>
    <d v="2024-05-07T00:00:00"/>
    <s v="Valid"/>
    <n v="25"/>
    <d v="2024-05-07T00:00:00"/>
    <x v="0"/>
    <s v="Africa → South Africa → Johannesburg"/>
    <s v="South Africa-2024-04"/>
    <s v="South Africa"/>
    <s v="Johannesburg"/>
    <s v="Education"/>
    <s v="Distributor"/>
    <x v="8"/>
    <s v="Laptops"/>
    <s v="LAP-8489"/>
    <n v="1376.51"/>
    <n v="1455.91"/>
    <s v="Valid"/>
    <n v="1455.91"/>
    <s v="Medium"/>
    <n v="0.185"/>
    <s v="Valid"/>
    <n v="0.185"/>
    <n v="17"/>
    <n v="20171.63305"/>
    <n v="23400.67"/>
    <n v="-3229.0369499999979"/>
    <n v="-0.1600781127634085"/>
    <n v="0"/>
    <n v="0"/>
  </r>
  <r>
    <s v="ORD-2024-800947"/>
    <d v="2024-12-15T00:00:00"/>
    <x v="6"/>
    <s v="Q4-2024"/>
    <d v="2024-12-20T00:00:00"/>
    <s v="Valid"/>
    <n v="5"/>
    <d v="2024-12-20T00:00:00"/>
    <x v="1"/>
    <s v="Asia → China → Shenzhen"/>
    <s v="China-2024-12"/>
    <s v="China"/>
    <s v="Shenzhen"/>
    <s v="Small Business"/>
    <s v="Direct"/>
    <x v="1"/>
    <s v="Networking"/>
    <s v="NET-1846"/>
    <n v="717.55"/>
    <n v="546.42999999999995"/>
    <s v="Valid"/>
    <n v="546.42999999999995"/>
    <s v="Low"/>
    <n v="4.7E-2"/>
    <s v="Valid"/>
    <n v="4.7E-2"/>
    <n v="18"/>
    <n v="9373.460219999999"/>
    <n v="12915.9"/>
    <n v="-3542.4397800000006"/>
    <n v="-0.37792231437026369"/>
    <n v="1"/>
    <n v="0"/>
  </r>
  <r>
    <s v="ORD-2023-382272"/>
    <d v="2023-05-20T00:00:00"/>
    <x v="15"/>
    <s v="Q2-2023"/>
    <d v="2023-05-18T00:00:00"/>
    <s v="Invalid RequiredDate"/>
    <n v="-2"/>
    <d v="2023-06-15T00:00:00"/>
    <x v="0"/>
    <s v="Africa → South Africa → Durban"/>
    <s v="South Africa-2023-05"/>
    <s v="South Africa"/>
    <s v="Durban"/>
    <s v="Corporate"/>
    <s v="Distributor"/>
    <x v="8"/>
    <s v="Components"/>
    <s v="CMP-5208"/>
    <n v="917.88"/>
    <n v="1347.92"/>
    <s v="Valid"/>
    <n v="1347.92"/>
    <s v="Medium"/>
    <n v="0.34300000000000003"/>
    <s v="High Discount"/>
    <n v="0.3"/>
    <n v="5"/>
    <n v="4717.72"/>
    <n v="4589.3999999999996"/>
    <n v="128.32000000000062"/>
    <n v="2.7199579457873848E-2"/>
    <n v="1"/>
    <n v="1"/>
  </r>
  <r>
    <s v="ORD-2023-722117"/>
    <d v="2023-09-18T00:00:00"/>
    <x v="27"/>
    <s v="Q3-2023"/>
    <d v="2023-10-08T00:00:00"/>
    <s v="Valid"/>
    <n v="20"/>
    <d v="2023-10-08T00:00:00"/>
    <x v="1"/>
    <s v="Asia → India → Delhi"/>
    <s v="India-2023-09"/>
    <s v="India"/>
    <s v="Delhi"/>
    <s v="Small Business"/>
    <s v="Direct"/>
    <x v="5"/>
    <s v="Components"/>
    <s v="CMP-1009"/>
    <n v="825.64"/>
    <n v="1108.43"/>
    <s v="Valid"/>
    <n v="1108.43"/>
    <s v="Medium"/>
    <n v="0.114"/>
    <s v="Valid"/>
    <n v="0.114"/>
    <n v="7"/>
    <n v="6874.4828600000001"/>
    <n v="5779.48"/>
    <n v="1095.0028600000005"/>
    <n v="0.15928512475773349"/>
    <n v="0"/>
    <n v="0"/>
  </r>
  <r>
    <s v="ORD-2024-446699"/>
    <d v="2024-08-28T00:00:00"/>
    <x v="21"/>
    <s v="Q3-2024"/>
    <d v="2024-09-25T00:00:00"/>
    <s v="Valid"/>
    <n v="28"/>
    <d v="2024-09-25T00:00:00"/>
    <x v="2"/>
    <s v="Americas → Brazil → Rio de Janeiro"/>
    <s v="Brazil-2024-08"/>
    <s v="Brazil"/>
    <s v="Rio de Janeiro"/>
    <s v="Non-Profit"/>
    <s v="Online"/>
    <x v="15"/>
    <s v="Accessories"/>
    <s v="ACC-4490"/>
    <n v="1394.65"/>
    <n v="3144.1"/>
    <s v="Valid"/>
    <n v="3144.1"/>
    <s v="High"/>
    <n v="0.13400000000000001"/>
    <s v="Valid"/>
    <n v="0.13400000000000001"/>
    <n v="13"/>
    <n v="35396.277799999996"/>
    <n v="18130.45"/>
    <n v="17265.827799999995"/>
    <n v="0.4877865378263021"/>
    <n v="0"/>
    <n v="0"/>
  </r>
  <r>
    <s v="ORD-2024-451005"/>
    <d v="2024-06-30T00:00:00"/>
    <x v="17"/>
    <s v="Q2-2024"/>
    <d v="2024-06-28T00:00:00"/>
    <s v="Invalid RequiredDate"/>
    <n v="-2"/>
    <d v="2024-07-26T00:00:00"/>
    <x v="2"/>
    <s v="Americas → Brazil → Rio de Janeiro"/>
    <s v="Brazil-2024-06"/>
    <s v="Brazil"/>
    <s v="Rio de Janeiro"/>
    <s v="Small Business"/>
    <s v="Direct"/>
    <x v="4"/>
    <s v="Accessories"/>
    <s v="ACC-9162"/>
    <n v="1112.98"/>
    <n v="2095.73"/>
    <s v="Valid"/>
    <n v="2095.73"/>
    <s v="High"/>
    <n v="7.1999999999999995E-2"/>
    <s v="Valid"/>
    <n v="7.1999999999999995E-2"/>
    <n v="17"/>
    <n v="33062.236480000007"/>
    <n v="18920.66"/>
    <n v="14141.576480000007"/>
    <n v="0.42772594916724777"/>
    <n v="1"/>
    <n v="0"/>
  </r>
  <r>
    <s v="ORD-2023-290279"/>
    <d v="2023-06-14T00:00:00"/>
    <x v="23"/>
    <s v="Q2-2023"/>
    <d v="2023-06-16T00:00:00"/>
    <s v="Valid"/>
    <n v="2"/>
    <d v="2023-06-16T00:00:00"/>
    <x v="3"/>
    <s v="Europe → United Kingdom → Manchester"/>
    <s v="United Kingdom-2023-06"/>
    <s v="United Kingdom"/>
    <s v="Manchester"/>
    <s v="Non-Profit"/>
    <s v="Direct"/>
    <x v="11"/>
    <s v="Components"/>
    <s v="CMP-5820"/>
    <n v="357.36"/>
    <n v="703.62"/>
    <s v="Valid"/>
    <n v="703.62"/>
    <s v="Medium"/>
    <n v="0.25700000000000001"/>
    <s v="Valid"/>
    <n v="0.25700000000000001"/>
    <n v="20"/>
    <n v="10455.7932"/>
    <n v="7147.2000000000007"/>
    <n v="3308.5931999999993"/>
    <n v="0.31643636563125593"/>
    <n v="1"/>
    <n v="1"/>
  </r>
  <r>
    <s v="ORD-2024-192263"/>
    <d v="2024-11-21T00:00:00"/>
    <x v="18"/>
    <s v="Q4-2024"/>
    <d v="2024-12-21T00:00:00"/>
    <s v="Valid"/>
    <n v="30"/>
    <d v="2024-12-21T00:00:00"/>
    <x v="3"/>
    <s v="Europe → France → Marseille"/>
    <s v="France-2024-11"/>
    <s v="France"/>
    <s v="Marseille"/>
    <s v="Small Business"/>
    <s v="Direct"/>
    <x v="2"/>
    <s v="Monitors"/>
    <s v="MON-7943"/>
    <n v="1122.68"/>
    <n v="1997.19"/>
    <s v="Valid"/>
    <n v="1997.19"/>
    <s v="High"/>
    <n v="0.186"/>
    <s v="Valid"/>
    <n v="0.186"/>
    <n v="3"/>
    <n v="4877.1379800000004"/>
    <n v="3368.04"/>
    <n v="1509.0979800000005"/>
    <n v="0.30942285951073306"/>
    <n v="0"/>
    <n v="0"/>
  </r>
  <r>
    <s v="ORD-2023-159379"/>
    <d v="2023-02-08T00:00:00"/>
    <x v="2"/>
    <s v="Q1-2023"/>
    <d v="2023-02-11T00:00:00"/>
    <s v="Valid"/>
    <n v="3"/>
    <d v="2023-02-11T00:00:00"/>
    <x v="0"/>
    <s v="Africa → South Africa → Cape Town"/>
    <s v="South Africa-2023-02"/>
    <s v="South Africa"/>
    <s v="Cape Town"/>
    <s v="Corporate"/>
    <s v="Direct"/>
    <x v="12"/>
    <s v="Networking"/>
    <s v="NET-5018"/>
    <n v="1410.05"/>
    <n v="2763.95"/>
    <s v="Valid"/>
    <n v="2763.95"/>
    <s v="High"/>
    <n v="0.161"/>
    <s v="Valid"/>
    <n v="0.161"/>
    <n v="26"/>
    <n v="60292.805299999993"/>
    <n v="36661.299999999996"/>
    <n v="23631.505299999997"/>
    <n v="0.39194569206750779"/>
    <n v="1"/>
    <n v="0"/>
  </r>
  <r>
    <s v="ORD-2023-343322"/>
    <d v="2023-08-19T00:00:00"/>
    <x v="25"/>
    <s v="Q3-2023"/>
    <d v="2023-09-12T00:00:00"/>
    <s v="Valid"/>
    <n v="24"/>
    <d v="2023-09-12T00:00:00"/>
    <x v="2"/>
    <s v="Americas → Canada → Vancouver"/>
    <s v="Canada-2023-08"/>
    <s v="Canada"/>
    <s v="Vancouver"/>
    <s v="Enterprise"/>
    <s v="Retail"/>
    <x v="2"/>
    <s v="Printers"/>
    <s v="PRN-9669"/>
    <n v="1183.95"/>
    <n v="1503.53"/>
    <s v="Valid"/>
    <n v="1503.53"/>
    <s v="Medium"/>
    <n v="0.24099999999999999"/>
    <s v="Valid"/>
    <n v="0.24099999999999999"/>
    <n v="16"/>
    <n v="18258.868320000001"/>
    <n v="18943.2"/>
    <n v="-684.33167999999932"/>
    <n v="-3.7479413729623705E-2"/>
    <n v="0"/>
    <n v="1"/>
  </r>
  <r>
    <s v="ORD-2025-114382"/>
    <d v="2025-05-14T00:00:00"/>
    <x v="8"/>
    <s v="Q2-2025"/>
    <d v="2025-05-24T00:00:00"/>
    <s v="Valid"/>
    <n v="10"/>
    <d v="2025-05-24T00:00:00"/>
    <x v="3"/>
    <s v="Europe → France → Paris"/>
    <s v="France-2025-05"/>
    <s v="France"/>
    <s v="Paris"/>
    <s v="Small Business"/>
    <s v="Marketplace"/>
    <x v="11"/>
    <s v="Components"/>
    <s v="CMP-2865"/>
    <n v="170.39"/>
    <n v="388.04"/>
    <s v="Valid"/>
    <n v="388.04"/>
    <s v="Low"/>
    <n v="8.4000000000000005E-2"/>
    <s v="Valid"/>
    <n v="8.4000000000000005E-2"/>
    <n v="15"/>
    <n v="5331.6696000000002"/>
    <n v="2555.85"/>
    <n v="2775.8196000000003"/>
    <n v="0.52062858508711796"/>
    <n v="0"/>
    <n v="0"/>
  </r>
  <r>
    <s v="ORD-2025-488349"/>
    <d v="2025-04-23T00:00:00"/>
    <x v="19"/>
    <s v="Q2-2025"/>
    <d v="2025-04-22T00:00:00"/>
    <s v="Invalid RequiredDate"/>
    <n v="-1"/>
    <d v="2025-05-19T00:00:00"/>
    <x v="2"/>
    <s v="Americas → USA → San Francisco"/>
    <s v="USA-2025-04"/>
    <s v="USA"/>
    <s v="San Francisco"/>
    <s v="Non-Profit"/>
    <s v="Distributor"/>
    <x v="14"/>
    <s v="Monitors"/>
    <s v="MON-3371"/>
    <n v="23.24"/>
    <n v="44.57"/>
    <s v="Valid"/>
    <n v="44.57"/>
    <s v="Low"/>
    <n v="0.215"/>
    <s v="Valid"/>
    <n v="0.215"/>
    <n v="15"/>
    <n v="524.81174999999996"/>
    <n v="348.59999999999997"/>
    <n v="176.21174999999999"/>
    <n v="0.33576182316802167"/>
    <n v="1"/>
    <n v="1"/>
  </r>
  <r>
    <s v="ORD-2025-330203"/>
    <d v="2025-03-25T00:00:00"/>
    <x v="3"/>
    <s v="Q1-2025"/>
    <d v="2025-04-17T00:00:00"/>
    <s v="Valid"/>
    <n v="23"/>
    <d v="2025-04-17T00:00:00"/>
    <x v="3"/>
    <s v="Europe → United Kingdom → London"/>
    <s v="United Kingdom-2025-03"/>
    <s v="United Kingdom"/>
    <s v="London"/>
    <s v="Consumer"/>
    <s v="Retail"/>
    <x v="10"/>
    <s v="Networking"/>
    <s v="NET-7166"/>
    <n v="1421.19"/>
    <n v="1808.26"/>
    <s v="Valid"/>
    <n v="1808.26"/>
    <s v="Medium"/>
    <n v="0.104"/>
    <s v="Valid"/>
    <n v="0.104"/>
    <n v="13"/>
    <n v="21062.61248"/>
    <n v="18475.47"/>
    <n v="2587.1424799999986"/>
    <n v="0.12283103449093123"/>
    <n v="0"/>
    <n v="0"/>
  </r>
  <r>
    <s v="ORD-2023-841426"/>
    <d v="2023-12-22T00:00:00"/>
    <x v="4"/>
    <s v="Q4-2023"/>
    <d v="2023-12-23T00:00:00"/>
    <s v="Valid"/>
    <n v="1"/>
    <d v="2023-12-23T00:00:00"/>
    <x v="0"/>
    <s v="Africa → South Africa → Cape Town"/>
    <s v="South Africa-2023-12"/>
    <s v="South Africa"/>
    <s v="Cape Town"/>
    <s v="Non-Profit"/>
    <s v="Marketplace"/>
    <x v="14"/>
    <s v="Components"/>
    <s v="CMP-4531"/>
    <n v="1186.18"/>
    <n v="1285.0899999999999"/>
    <s v="Valid"/>
    <n v="1285.0899999999999"/>
    <s v="Medium"/>
    <n v="7.0000000000000007E-2"/>
    <s v="Valid"/>
    <n v="7.0000000000000007E-2"/>
    <n v="11"/>
    <n v="13146.470699999998"/>
    <n v="13047.980000000001"/>
    <n v="98.49069999999665"/>
    <n v="7.4917977796121861E-3"/>
    <n v="1"/>
    <n v="0"/>
  </r>
  <r>
    <s v="ORD-2024-594592"/>
    <d v="2024-04-06T00:00:00"/>
    <x v="20"/>
    <s v="Q2-2024"/>
    <d v="2024-04-25T00:00:00"/>
    <s v="Valid"/>
    <n v="19"/>
    <d v="2024-04-25T00:00:00"/>
    <x v="1"/>
    <s v="Asia → China → Shanghai"/>
    <s v="China-2024-04"/>
    <s v="China"/>
    <s v="Shanghai"/>
    <s v="Corporate"/>
    <s v="Retail"/>
    <x v="11"/>
    <s v="Components"/>
    <s v="CMP-8196"/>
    <n v="1366.48"/>
    <n v="1678.14"/>
    <s v="Valid"/>
    <n v="1678.14"/>
    <s v="Medium"/>
    <n v="0.154"/>
    <s v="Valid"/>
    <n v="0.154"/>
    <n v="10"/>
    <n v="14197.064400000001"/>
    <n v="13664.8"/>
    <n v="532.26440000000184"/>
    <n v="3.7491159087790132E-2"/>
    <n v="0"/>
    <n v="0"/>
  </r>
  <r>
    <s v="ORD-2025-863978"/>
    <d v="2025-08-07T00:00:00"/>
    <x v="28"/>
    <s v="Q3-2025"/>
    <d v="2025-08-19T00:00:00"/>
    <s v="Valid"/>
    <n v="12"/>
    <d v="2025-08-19T00:00:00"/>
    <x v="0"/>
    <s v="Africa → Kenya → Nakuru"/>
    <s v="Kenya-2025-08"/>
    <s v="Kenya"/>
    <s v="Nakuru"/>
    <s v="Corporate"/>
    <s v="Unknown"/>
    <x v="12"/>
    <s v="Components"/>
    <s v="CMP-2854"/>
    <n v="601.51"/>
    <n v="679.35"/>
    <s v="Valid"/>
    <n v="679.35"/>
    <s v="Medium"/>
    <n v="0.188"/>
    <s v="Valid"/>
    <n v="0.188"/>
    <n v="3"/>
    <n v="1654.8966000000003"/>
    <n v="1804.53"/>
    <n v="-149.63339999999971"/>
    <n v="-9.0418579626062243E-2"/>
    <n v="0"/>
    <n v="0"/>
  </r>
  <r>
    <s v="ORD-2024-604471"/>
    <d v="2024-01-21T00:00:00"/>
    <x v="9"/>
    <s v="Q1-2024"/>
    <d v="2024-01-25T00:00:00"/>
    <s v="Valid"/>
    <n v="4"/>
    <d v="2024-01-25T00:00:00"/>
    <x v="1"/>
    <s v="Asia → India → Delhi"/>
    <s v="India-2024-01"/>
    <s v="India"/>
    <s v="Delhi"/>
    <s v="Consumer"/>
    <s v="Direct"/>
    <x v="0"/>
    <s v="Monitors"/>
    <s v="MON-8973"/>
    <n v="523.70000000000005"/>
    <n v="1109.92"/>
    <s v="Valid"/>
    <n v="1109.92"/>
    <s v="Medium"/>
    <n v="0.03"/>
    <s v="Valid"/>
    <n v="0.03"/>
    <n v="11"/>
    <n v="11842.8464"/>
    <n v="5760.7000000000007"/>
    <n v="6082.1463999999996"/>
    <n v="0.51357133197302973"/>
    <n v="1"/>
    <n v="0"/>
  </r>
  <r>
    <s v="ORD-2023-258768"/>
    <d v="2023-06-29T00:00:00"/>
    <x v="23"/>
    <s v="Q2-2023"/>
    <d v="2023-07-02T00:00:00"/>
    <s v="Valid"/>
    <n v="3"/>
    <d v="2023-07-02T00:00:00"/>
    <x v="1"/>
    <s v="Asia → Japan → Nagoya"/>
    <s v="Japan-2023-06"/>
    <s v="Japan"/>
    <s v="Nagoya"/>
    <s v="Education"/>
    <s v="Marketplace"/>
    <x v="9"/>
    <s v="Monitors"/>
    <s v="MON-2990"/>
    <n v="55.65"/>
    <n v="83.57"/>
    <s v="Valid"/>
    <n v="83.57"/>
    <s v="Low"/>
    <n v="6.6000000000000003E-2"/>
    <s v="Valid"/>
    <n v="6.6000000000000003E-2"/>
    <n v="8"/>
    <n v="624.43503999999996"/>
    <n v="445.2"/>
    <n v="179.23503999999997"/>
    <n v="0.2870355257449998"/>
    <n v="1"/>
    <n v="0"/>
  </r>
  <r>
    <s v="ORD-2025-626047"/>
    <d v="2025-04-28T00:00:00"/>
    <x v="19"/>
    <s v="Q2-2025"/>
    <d v="2025-05-15T00:00:00"/>
    <s v="Valid"/>
    <n v="17"/>
    <d v="2025-05-15T00:00:00"/>
    <x v="1"/>
    <s v="Asia → Japan → Nagoya"/>
    <s v="Japan-2025-04"/>
    <s v="Japan"/>
    <s v="Nagoya"/>
    <s v="Education"/>
    <s v="Direct"/>
    <x v="13"/>
    <s v="Networking"/>
    <s v="NET-1966"/>
    <n v="691.19"/>
    <n v="1284.3"/>
    <s v="Valid"/>
    <n v="1284.3"/>
    <s v="Medium"/>
    <n v="7.3999999999999996E-2"/>
    <s v="Valid"/>
    <n v="7.3999999999999996E-2"/>
    <n v="7"/>
    <n v="8324.8326000000015"/>
    <n v="4838.33"/>
    <n v="3486.5026000000016"/>
    <n v="0.41880753253825198"/>
    <n v="0"/>
    <n v="0"/>
  </r>
  <r>
    <s v="ORD-2025-526752"/>
    <d v="2025-06-09T00:00:00"/>
    <x v="16"/>
    <s v="Q2-2025"/>
    <d v="2025-06-25T00:00:00"/>
    <s v="Valid"/>
    <n v="16"/>
    <d v="2025-06-25T00:00:00"/>
    <x v="1"/>
    <s v="Asia → India → Hyderabad"/>
    <s v="India-2025-06"/>
    <s v="India"/>
    <s v="Hyderabad"/>
    <s v="Enterprise"/>
    <s v="Distributor"/>
    <x v="12"/>
    <s v="Phones"/>
    <s v="PHN-3482"/>
    <n v="527.33000000000004"/>
    <n v="911.72"/>
    <s v="Valid"/>
    <n v="911.72"/>
    <s v="Medium"/>
    <n v="0.14399999999999999"/>
    <s v="Valid"/>
    <n v="0.14399999999999999"/>
    <n v="25"/>
    <n v="19510.808000000001"/>
    <n v="13183.250000000002"/>
    <n v="6327.5579999999991"/>
    <n v="0.32431040272652978"/>
    <n v="0"/>
    <n v="0"/>
  </r>
  <r>
    <s v="ORD-2023-374486"/>
    <d v="2023-06-24T00:00:00"/>
    <x v="23"/>
    <s v="Q2-2023"/>
    <d v="2023-06-23T00:00:00"/>
    <s v="Invalid RequiredDate"/>
    <n v="-1"/>
    <d v="2023-07-20T00:00:00"/>
    <x v="2"/>
    <s v="Americas → Brazil → Rio de Janeiro"/>
    <s v="Brazil-2023-06"/>
    <s v="Brazil"/>
    <s v="Rio de Janeiro"/>
    <s v="Non-Profit"/>
    <s v="Retail"/>
    <x v="6"/>
    <s v="Printers"/>
    <s v="PRN-6490"/>
    <n v="804.01"/>
    <n v="1405.07"/>
    <s v="Valid"/>
    <n v="1405.07"/>
    <s v="Medium"/>
    <n v="9.6000000000000002E-2"/>
    <s v="Valid"/>
    <n v="9.6000000000000002E-2"/>
    <n v="8"/>
    <n v="10161.46624"/>
    <n v="6432.08"/>
    <n v="3729.3862399999998"/>
    <n v="0.36701260939287439"/>
    <n v="1"/>
    <n v="0"/>
  </r>
  <r>
    <s v="ORD-2024-997336"/>
    <d v="2024-10-04T00:00:00"/>
    <x v="1"/>
    <s v="Q4-2024"/>
    <d v="2024-11-02T00:00:00"/>
    <s v="Valid"/>
    <n v="29"/>
    <d v="2024-11-02T00:00:00"/>
    <x v="0"/>
    <s v="Africa → Nigeria → Abuja"/>
    <s v="Nigeria-2024-10"/>
    <s v="Nigeria"/>
    <s v="Abuja"/>
    <s v="Corporate"/>
    <s v="Distributor"/>
    <x v="9"/>
    <s v="Accessories"/>
    <s v="ACC-9038"/>
    <n v="412.09"/>
    <n v="968.94"/>
    <s v="Valid"/>
    <n v="968.94"/>
    <s v="Medium"/>
    <n v="9.9000000000000005E-2"/>
    <s v="Valid"/>
    <n v="9.9000000000000005E-2"/>
    <n v="23"/>
    <n v="20079.343620000003"/>
    <n v="9478.07"/>
    <n v="10601.273620000004"/>
    <n v="0.52796913189137418"/>
    <n v="0"/>
    <n v="0"/>
  </r>
  <r>
    <s v="ORD-2025-725646"/>
    <d v="2025-09-10T00:00:00"/>
    <x v="11"/>
    <s v="Q3-2025"/>
    <d v="2025-09-30T00:00:00"/>
    <s v="Valid"/>
    <n v="20"/>
    <d v="2025-09-30T00:00:00"/>
    <x v="0"/>
    <s v="Africa → Kenya → Mombasa"/>
    <s v="Kenya-2025-09"/>
    <s v="Kenya"/>
    <s v="Mombasa"/>
    <s v="Corporate"/>
    <s v="Direct"/>
    <x v="4"/>
    <s v="Phones"/>
    <s v="PHN-6954"/>
    <n v="1009.48"/>
    <n v="1088.81"/>
    <s v="Valid"/>
    <n v="1088.81"/>
    <s v="Medium"/>
    <n v="0.16"/>
    <s v="Valid"/>
    <n v="0.16"/>
    <n v="6"/>
    <n v="5487.6023999999998"/>
    <n v="6056.88"/>
    <n v="-569.27760000000035"/>
    <n v="-0.10373885688219693"/>
    <n v="0"/>
    <n v="0"/>
  </r>
  <r>
    <s v="ORD-2023-868734"/>
    <d v="2023-04-06T00:00:00"/>
    <x v="12"/>
    <s v="Q2-2023"/>
    <d v="2023-04-27T00:00:00"/>
    <s v="Valid"/>
    <n v="21"/>
    <d v="2023-04-27T00:00:00"/>
    <x v="3"/>
    <s v="Europe → United Kingdom → Manchester"/>
    <s v="United Kingdom-2023-04"/>
    <s v="United Kingdom"/>
    <s v="Manchester"/>
    <s v="Enterprise"/>
    <s v="Distributor"/>
    <x v="2"/>
    <s v="Printers"/>
    <s v="PRN-8970"/>
    <n v="1084.79"/>
    <n v="2484.9899999999998"/>
    <s v="Valid"/>
    <n v="2484.9899999999998"/>
    <s v="High"/>
    <n v="3.4000000000000002E-2"/>
    <s v="Valid"/>
    <n v="3.4000000000000002E-2"/>
    <n v="18"/>
    <n v="43209.006119999991"/>
    <n v="19526.22"/>
    <n v="23682.78611999999"/>
    <n v="0.54809837685755114"/>
    <n v="0"/>
    <n v="0"/>
  </r>
  <r>
    <s v="ORD-2025-262491"/>
    <d v="2025-08-01T00:00:00"/>
    <x v="28"/>
    <s v="Q3-2025"/>
    <d v="2025-08-16T00:00:00"/>
    <s v="Valid"/>
    <n v="15"/>
    <d v="2025-08-16T00:00:00"/>
    <x v="1"/>
    <s v="Asia → India → unknown"/>
    <s v="India-2025-08"/>
    <s v="India"/>
    <s v="unknown"/>
    <s v="Enterprise"/>
    <s v="Direct"/>
    <x v="7"/>
    <s v="Monitors"/>
    <s v="MON-1822"/>
    <n v="24.44"/>
    <n v="28.69"/>
    <s v="Valid"/>
    <n v="28.69"/>
    <s v="Low"/>
    <n v="0.14599999999999999"/>
    <s v="Valid"/>
    <n v="0.14599999999999999"/>
    <n v="6"/>
    <n v="147.00756000000001"/>
    <n v="146.64000000000001"/>
    <n v="0.36755999999999744"/>
    <n v="2.5002795774584476E-3"/>
    <n v="0"/>
    <n v="0"/>
  </r>
  <r>
    <s v="ORD-2024-638884"/>
    <d v="2024-05-28T00:00:00"/>
    <x v="7"/>
    <s v="Q2-2024"/>
    <d v="2024-05-26T00:00:00"/>
    <s v="Invalid RequiredDate"/>
    <n v="-2"/>
    <d v="2024-06-23T00:00:00"/>
    <x v="0"/>
    <s v="Africa → Nigeria → Abuja"/>
    <s v="Nigeria-2024-05"/>
    <s v="Nigeria"/>
    <s v="Abuja"/>
    <s v="Enterprise"/>
    <s v="Online"/>
    <x v="9"/>
    <s v="Accessories"/>
    <s v="ACC-5177"/>
    <n v="1227.08"/>
    <n v="1896.62"/>
    <s v="Valid"/>
    <n v="1896.62"/>
    <s v="Medium"/>
    <n v="0"/>
    <s v="Valid"/>
    <n v="0"/>
    <n v="18"/>
    <n v="34139.159999999996"/>
    <n v="22087.439999999999"/>
    <n v="12051.719999999998"/>
    <n v="0.353017473189147"/>
    <n v="1"/>
    <n v="0"/>
  </r>
  <r>
    <s v="ORD-2025-541501"/>
    <d v="2025-07-22T00:00:00"/>
    <x v="13"/>
    <s v="Q3-2025"/>
    <d v="2025-08-18T00:00:00"/>
    <s v="Valid"/>
    <n v="27"/>
    <d v="2025-08-18T00:00:00"/>
    <x v="1"/>
    <s v="Asia → China → Shenzhen"/>
    <s v="China-2025-07"/>
    <s v="China"/>
    <s v="Shenzhen"/>
    <s v="Non-Profit"/>
    <s v="Marketplace"/>
    <x v="12"/>
    <s v="Networking"/>
    <s v="NET-1804"/>
    <n v="547.32000000000005"/>
    <n v="419.17"/>
    <s v="Valid"/>
    <n v="419.17"/>
    <s v="Low"/>
    <n v="9.1999999999999998E-2"/>
    <s v="Valid"/>
    <n v="9.1999999999999998E-2"/>
    <n v="14"/>
    <n v="5328.4890400000004"/>
    <n v="7662.4800000000005"/>
    <n v="-2333.9909600000001"/>
    <n v="-0.43802116181137907"/>
    <n v="0"/>
    <n v="0"/>
  </r>
  <r>
    <s v="ORD-2023-422918"/>
    <d v="2023-02-28T00:00:00"/>
    <x v="2"/>
    <s v="Q1-2023"/>
    <d v="2023-03-20T00:00:00"/>
    <s v="Valid"/>
    <n v="20"/>
    <d v="2023-03-20T00:00:00"/>
    <x v="3"/>
    <s v="Europe → Germany → Berlin"/>
    <s v="Germany-2023-02"/>
    <s v="Germany"/>
    <s v="Berlin"/>
    <s v="Small Business"/>
    <s v="Direct"/>
    <x v="10"/>
    <s v="Laptops"/>
    <s v="LAP-3679"/>
    <n v="1200.78"/>
    <n v="2001.17"/>
    <s v="Valid"/>
    <n v="2001.17"/>
    <s v="High"/>
    <n v="0.29199999999999998"/>
    <s v="Valid"/>
    <n v="0.29199999999999998"/>
    <n v="18"/>
    <n v="25502.910479999999"/>
    <n v="21614.04"/>
    <n v="3888.8704799999978"/>
    <n v="0.15248732034132906"/>
    <n v="0"/>
    <n v="1"/>
  </r>
  <r>
    <s v="ORD-2025-328504"/>
    <d v="2025-01-27T00:00:00"/>
    <x v="10"/>
    <s v="Q1-2025"/>
    <d v="2025-02-15T00:00:00"/>
    <s v="Valid"/>
    <n v="19"/>
    <d v="2025-02-15T00:00:00"/>
    <x v="1"/>
    <s v="Asia → China → Shenzhen"/>
    <s v="China-2025-01"/>
    <s v="China"/>
    <s v="Shenzhen"/>
    <s v="Non-Profit"/>
    <s v="Direct"/>
    <x v="4"/>
    <s v="Phones"/>
    <s v="PHN-8368"/>
    <n v="1253.22"/>
    <n v="3104.71"/>
    <s v="Valid"/>
    <n v="3104.71"/>
    <s v="High"/>
    <n v="0"/>
    <s v="Valid"/>
    <n v="0"/>
    <n v="17"/>
    <n v="52780.07"/>
    <n v="21304.74"/>
    <n v="31475.329999999998"/>
    <n v="0.59634877331538205"/>
    <n v="0"/>
    <n v="0"/>
  </r>
  <r>
    <s v="ORD-2024-851883"/>
    <d v="2024-01-13T00:00:00"/>
    <x v="9"/>
    <s v="Q1-2024"/>
    <d v="2024-01-22T00:00:00"/>
    <s v="Valid"/>
    <n v="9"/>
    <d v="2024-01-22T00:00:00"/>
    <x v="1"/>
    <s v="Asia → India → Mumbai"/>
    <s v="India-2024-01"/>
    <s v="India"/>
    <s v="Mumbai"/>
    <s v="Enterprise"/>
    <s v="Marketplace"/>
    <x v="1"/>
    <s v="Components"/>
    <s v="CMP-8141"/>
    <n v="313.60000000000002"/>
    <n v="334.28"/>
    <s v="Valid"/>
    <n v="334.28"/>
    <s v="Low"/>
    <n v="0.14000000000000001"/>
    <s v="Valid"/>
    <n v="0.14000000000000001"/>
    <n v="22"/>
    <n v="6324.5775999999996"/>
    <n v="6899.2000000000007"/>
    <n v="-574.62240000000111"/>
    <n v="-9.0855458868905517E-2"/>
    <n v="0"/>
    <n v="0"/>
  </r>
  <r>
    <s v="ORD-2025-662997"/>
    <d v="2025-03-31T00:00:00"/>
    <x v="3"/>
    <s v="Q1-2025"/>
    <d v="2025-04-04T00:00:00"/>
    <s v="Valid"/>
    <n v="4"/>
    <d v="2025-04-04T00:00:00"/>
    <x v="0"/>
    <s v="Africa → Kenya → Nakuru"/>
    <s v="Kenya-2025-03"/>
    <s v="Kenya"/>
    <s v="Nakuru"/>
    <s v="Corporate"/>
    <s v="Direct"/>
    <x v="0"/>
    <s v="Laptops"/>
    <s v="LAP-7136"/>
    <n v="862.08"/>
    <n v="1952.83"/>
    <s v="Valid"/>
    <n v="1952.83"/>
    <s v="High"/>
    <n v="0"/>
    <s v="Valid"/>
    <n v="0"/>
    <n v="7"/>
    <n v="13669.81"/>
    <n v="6034.56"/>
    <n v="7635.2499999999991"/>
    <n v="0.5585483631447693"/>
    <n v="1"/>
    <n v="0"/>
  </r>
  <r>
    <s v="ORD-2024-478165"/>
    <d v="2024-12-05T00:00:00"/>
    <x v="6"/>
    <s v="Q4-2024"/>
    <d v="2024-12-28T00:00:00"/>
    <s v="Valid"/>
    <n v="23"/>
    <d v="2024-12-28T00:00:00"/>
    <x v="2"/>
    <s v="Americas → Canada → Vancouver"/>
    <s v="Canada-2024-12"/>
    <s v="Canada"/>
    <s v="Vancouver"/>
    <s v="Corporate"/>
    <s v="Direct"/>
    <x v="9"/>
    <s v="Accessories"/>
    <s v="ACC-2386"/>
    <n v="107.03"/>
    <n v="242.29"/>
    <s v="Valid"/>
    <n v="242.29"/>
    <s v="Low"/>
    <n v="0.18"/>
    <s v="Valid"/>
    <n v="0.18"/>
    <n v="30"/>
    <n v="5960.3340000000007"/>
    <n v="3210.9"/>
    <n v="2749.4340000000007"/>
    <n v="0.46128857879440988"/>
    <n v="0"/>
    <n v="0"/>
  </r>
  <r>
    <s v="ORD-2024-771210"/>
    <d v="2024-09-14T00:00:00"/>
    <x v="29"/>
    <s v="Q3-2024"/>
    <d v="2024-10-05T00:00:00"/>
    <s v="Valid"/>
    <n v="21"/>
    <d v="2024-10-05T00:00:00"/>
    <x v="1"/>
    <s v="Asia → China → Shanghai"/>
    <s v="China-2024-09"/>
    <s v="China"/>
    <s v="Shanghai"/>
    <s v="Small Business"/>
    <s v="Online"/>
    <x v="10"/>
    <s v="Laptops"/>
    <s v="LAP-5150"/>
    <n v="1405.56"/>
    <n v="2968.87"/>
    <s v="Valid"/>
    <n v="2968.87"/>
    <s v="High"/>
    <n v="0.16900000000000001"/>
    <s v="Valid"/>
    <n v="0.16900000000000001"/>
    <n v="5"/>
    <n v="12335.654849999999"/>
    <n v="7027.7999999999993"/>
    <n v="5307.8548499999997"/>
    <n v="0.4302856163327235"/>
    <n v="0"/>
    <n v="0"/>
  </r>
  <r>
    <s v="ORD-2024-155337"/>
    <d v="2024-05-21T00:00:00"/>
    <x v="7"/>
    <s v="Q2-2024"/>
    <d v="2024-05-27T00:00:00"/>
    <s v="Valid"/>
    <n v="6"/>
    <d v="2024-05-27T00:00:00"/>
    <x v="0"/>
    <s v="Africa → South Africa → Johannesburg"/>
    <s v="South Africa-2024-05"/>
    <s v="South Africa"/>
    <s v="Johannesburg"/>
    <s v="Non-Profit"/>
    <s v="Online"/>
    <x v="12"/>
    <s v="Components"/>
    <s v="CMP-8101"/>
    <n v="1157.51"/>
    <n v="1394.3"/>
    <s v="Valid"/>
    <n v="1394.3"/>
    <s v="Medium"/>
    <n v="0.27800000000000002"/>
    <s v="Valid"/>
    <n v="0.27800000000000002"/>
    <n v="12"/>
    <n v="12080.215199999999"/>
    <n v="13890.119999999999"/>
    <n v="-1809.9048000000003"/>
    <n v="-0.14982388724333326"/>
    <n v="1"/>
    <n v="1"/>
  </r>
  <r>
    <s v="ORD-2023-251563"/>
    <d v="2023-05-11T00:00:00"/>
    <x v="15"/>
    <s v="Q2-2023"/>
    <d v="2023-06-07T00:00:00"/>
    <s v="Valid"/>
    <n v="27"/>
    <d v="2023-06-07T00:00:00"/>
    <x v="0"/>
    <s v="Africa → Kenya → Mombasa"/>
    <s v="Kenya-2023-05"/>
    <s v="Kenya"/>
    <s v="Mombasa"/>
    <s v="Corporate"/>
    <s v="Online"/>
    <x v="1"/>
    <s v="Phones"/>
    <s v="PHN-8970"/>
    <n v="12.85"/>
    <n v="15.41"/>
    <s v="Valid"/>
    <n v="15.41"/>
    <s v="Low"/>
    <n v="0.13700000000000001"/>
    <s v="Valid"/>
    <n v="0.13700000000000001"/>
    <n v="39"/>
    <n v="518.65436999999997"/>
    <n v="501.15"/>
    <n v="17.504369999999994"/>
    <n v="3.3749585489851353E-2"/>
    <n v="0"/>
    <n v="0"/>
  </r>
  <r>
    <s v="ORD-2024-286833"/>
    <d v="2024-08-14T00:00:00"/>
    <x v="21"/>
    <s v="Q3-2024"/>
    <d v="2024-09-04T00:00:00"/>
    <s v="Valid"/>
    <n v="21"/>
    <d v="2024-09-04T00:00:00"/>
    <x v="3"/>
    <s v="Europe → United Kingdom → Manchester"/>
    <s v="United Kingdom-2024-08"/>
    <s v="United Kingdom"/>
    <s v="Manchester"/>
    <s v="Non-Profit"/>
    <s v="Online"/>
    <x v="1"/>
    <s v="Phones"/>
    <s v="PHN-2341"/>
    <n v="1138.8"/>
    <n v="2250.81"/>
    <s v="Valid"/>
    <n v="2250.81"/>
    <s v="High"/>
    <n v="0.123"/>
    <s v="Valid"/>
    <n v="0.123"/>
    <n v="12"/>
    <n v="23687.524440000001"/>
    <n v="13665.599999999999"/>
    <n v="10021.924440000003"/>
    <n v="0.42308872188756258"/>
    <n v="0"/>
    <n v="0"/>
  </r>
  <r>
    <s v="ORD-2024-792558"/>
    <d v="2024-10-16T00:00:00"/>
    <x v="1"/>
    <s v="Q4-2024"/>
    <d v="2024-11-08T00:00:00"/>
    <s v="Valid"/>
    <n v="23"/>
    <d v="2024-11-08T00:00:00"/>
    <x v="1"/>
    <s v="Asia → Japan → Osaka"/>
    <s v="Japan-2024-10"/>
    <s v="Japan"/>
    <s v="Osaka"/>
    <s v="Small Business"/>
    <s v="Retail"/>
    <x v="1"/>
    <s v="Networking"/>
    <s v="NET-6387"/>
    <n v="82.14"/>
    <n v="166.04"/>
    <s v="Valid"/>
    <n v="166.04"/>
    <s v="Low"/>
    <n v="0"/>
    <s v="Valid"/>
    <n v="0"/>
    <n v="10"/>
    <n v="1660.3999999999999"/>
    <n v="821.4"/>
    <n v="838.99999999999989"/>
    <n v="0.50529992772825827"/>
    <n v="0"/>
    <n v="0"/>
  </r>
  <r>
    <s v="ORD-2024-166150"/>
    <d v="2024-06-02T00:00:00"/>
    <x v="17"/>
    <s v="Q2-2024"/>
    <d v="2024-06-08T00:00:00"/>
    <s v="Valid"/>
    <n v="6"/>
    <d v="2024-06-08T00:00:00"/>
    <x v="0"/>
    <s v="Africa → Kenya → Kisumu"/>
    <s v="Kenya-2024-06"/>
    <s v="Kenya"/>
    <s v="Kisumu"/>
    <s v="Consumer"/>
    <s v="Marketplace"/>
    <x v="8"/>
    <s v="Accessories"/>
    <s v="ACC-9820"/>
    <n v="292.94"/>
    <n v="356.55"/>
    <s v="Valid"/>
    <n v="356.55"/>
    <s v="Low"/>
    <n v="0.22900000000000001"/>
    <s v="Valid"/>
    <n v="0.22900000000000001"/>
    <n v="2"/>
    <n v="549.80010000000004"/>
    <n v="585.88"/>
    <n v="-36.079899999999952"/>
    <n v="-6.5623669402751925E-2"/>
    <n v="1"/>
    <n v="1"/>
  </r>
  <r>
    <s v="ORD-2024-909942"/>
    <d v="2024-06-09T00:00:00"/>
    <x v="17"/>
    <s v="Q2-2024"/>
    <d v="2024-07-07T00:00:00"/>
    <s v="Valid"/>
    <n v="28"/>
    <d v="2024-07-07T00:00:00"/>
    <x v="1"/>
    <s v="Asia → China → Shenzhen"/>
    <s v="China-2024-06"/>
    <s v="China"/>
    <s v="Shenzhen"/>
    <s v="Corporate"/>
    <s v="Online"/>
    <x v="1"/>
    <s v="Components"/>
    <s v="CMP-6392"/>
    <n v="550.22"/>
    <n v="1025.05"/>
    <s v="Valid"/>
    <n v="1025.05"/>
    <s v="Medium"/>
    <n v="0"/>
    <s v="Valid"/>
    <n v="0"/>
    <n v="27"/>
    <n v="27676.35"/>
    <n v="14855.94"/>
    <n v="12820.409999999998"/>
    <n v="0.46322618408858102"/>
    <n v="0"/>
    <n v="0"/>
  </r>
  <r>
    <s v="ORD-2024-223618"/>
    <d v="2024-06-10T00:00:00"/>
    <x v="17"/>
    <s v="Q2-2024"/>
    <d v="2024-06-11T00:00:00"/>
    <s v="Valid"/>
    <n v="1"/>
    <d v="2024-06-11T00:00:00"/>
    <x v="3"/>
    <s v="Europe → United Kingdom → Birmingham"/>
    <s v="United Kingdom-2024-06"/>
    <s v="United Kingdom"/>
    <s v="Birmingham"/>
    <s v="Small Business"/>
    <s v="Marketplace"/>
    <x v="12"/>
    <s v="Laptops"/>
    <s v="LAP-9230"/>
    <n v="1187.1300000000001"/>
    <n v="1795.17"/>
    <s v="Valid"/>
    <n v="1795.17"/>
    <s v="Medium"/>
    <n v="1.2E-2"/>
    <s v="Valid"/>
    <n v="1.2E-2"/>
    <n v="17"/>
    <n v="30151.675319999998"/>
    <n v="20181.210000000003"/>
    <n v="9970.4653199999957"/>
    <n v="0.33067699271046663"/>
    <n v="1"/>
    <n v="0"/>
  </r>
  <r>
    <s v="ORD-2024-919471"/>
    <d v="2024-06-29T00:00:00"/>
    <x v="17"/>
    <s v="Q2-2024"/>
    <d v="2024-07-26T00:00:00"/>
    <s v="Valid"/>
    <n v="27"/>
    <d v="2024-07-26T00:00:00"/>
    <x v="0"/>
    <s v="Africa → South Africa → Durban"/>
    <s v="South Africa-2024-06"/>
    <s v="South Africa"/>
    <s v="Durban"/>
    <s v="Enterprise"/>
    <s v="Distributor"/>
    <x v="5"/>
    <s v="Networking"/>
    <s v="NET-4241"/>
    <n v="5.36"/>
    <n v="4.37"/>
    <s v="Valid"/>
    <n v="4.37"/>
    <s v="Low"/>
    <n v="0.11799999999999999"/>
    <s v="Valid"/>
    <n v="0.11799999999999999"/>
    <n v="9"/>
    <n v="34.689059999999998"/>
    <n v="48.24"/>
    <n v="-13.550940000000004"/>
    <n v="-0.39064016148030545"/>
    <n v="0"/>
    <n v="0"/>
  </r>
  <r>
    <s v="ORD-2025-649239"/>
    <d v="2025-01-17T00:00:00"/>
    <x v="10"/>
    <s v="Q1-2025"/>
    <d v="2025-01-24T00:00:00"/>
    <s v="Valid"/>
    <n v="7"/>
    <d v="2025-01-24T00:00:00"/>
    <x v="2"/>
    <s v="Americas → USA → Austin"/>
    <s v="USA-2025-01"/>
    <s v="USA"/>
    <s v="Austin"/>
    <s v="Enterprise"/>
    <s v="Online"/>
    <x v="3"/>
    <s v="Accessories"/>
    <s v="ACC-4511"/>
    <n v="142.09"/>
    <n v="218.5"/>
    <s v="Valid"/>
    <n v="218.5"/>
    <s v="Low"/>
    <n v="0.11899999999999999"/>
    <s v="Valid"/>
    <n v="0.11899999999999999"/>
    <n v="11"/>
    <n v="2117.4834999999998"/>
    <n v="1562.99"/>
    <n v="554.49349999999981"/>
    <n v="0.26186437816398561"/>
    <n v="1"/>
    <n v="0"/>
  </r>
  <r>
    <s v="ORD-2023-975863"/>
    <d v="2023-11-20T00:00:00"/>
    <x v="30"/>
    <s v="Q4-2023"/>
    <d v="2023-12-05T00:00:00"/>
    <s v="Valid"/>
    <n v="15"/>
    <d v="2023-12-05T00:00:00"/>
    <x v="1"/>
    <s v="Asia → Japan → Tokyo"/>
    <s v="Japan-2023-11"/>
    <s v="Japan"/>
    <s v="Tokyo"/>
    <s v="Enterprise"/>
    <s v="Retail"/>
    <x v="4"/>
    <s v="Networking"/>
    <s v="NET-3033"/>
    <n v="354.24"/>
    <n v="249.87"/>
    <s v="Valid"/>
    <n v="249.87"/>
    <s v="Low"/>
    <n v="0"/>
    <s v="Valid"/>
    <n v="0"/>
    <n v="6"/>
    <n v="1499.22"/>
    <n v="2125.44"/>
    <n v="-626.22"/>
    <n v="-0.41769720254532355"/>
    <n v="0"/>
    <n v="0"/>
  </r>
  <r>
    <s v="ORD-2023-869884"/>
    <d v="2023-03-02T00:00:00"/>
    <x v="22"/>
    <s v="Q1-2023"/>
    <d v="2023-03-05T00:00:00"/>
    <s v="Valid"/>
    <n v="3"/>
    <d v="2023-03-05T00:00:00"/>
    <x v="2"/>
    <s v="Americas → Brazil → Brasília"/>
    <s v="Brazil-2023-03"/>
    <s v="Brazil"/>
    <s v="Brasília"/>
    <s v="Enterprise"/>
    <s v="Direct"/>
    <x v="3"/>
    <s v="Monitors"/>
    <s v="MON-2828"/>
    <n v="1473.58"/>
    <n v="3436.52"/>
    <s v="Valid"/>
    <n v="3436.52"/>
    <s v="High"/>
    <n v="0.108"/>
    <s v="Valid"/>
    <n v="0.108"/>
    <n v="8"/>
    <n v="24523.006720000001"/>
    <n v="11788.64"/>
    <n v="12734.366720000002"/>
    <n v="0.51928243813652564"/>
    <n v="1"/>
    <n v="0"/>
  </r>
  <r>
    <s v="ORD-2025-698069"/>
    <d v="2025-06-03T00:00:00"/>
    <x v="16"/>
    <s v="Q2-2025"/>
    <d v="2025-06-10T00:00:00"/>
    <s v="Valid"/>
    <n v="7"/>
    <d v="2025-06-10T00:00:00"/>
    <x v="2"/>
    <s v="Americas → Canada → Toronto"/>
    <s v="Canada-2025-06"/>
    <s v="Canada"/>
    <s v="Toronto"/>
    <s v="Consumer"/>
    <s v="Distributor"/>
    <x v="7"/>
    <s v="Printers"/>
    <s v="PRN-6429"/>
    <n v="75.180000000000007"/>
    <n v="53.45"/>
    <s v="Valid"/>
    <n v="53.45"/>
    <s v="Low"/>
    <n v="0.157"/>
    <s v="Valid"/>
    <n v="0.157"/>
    <n v="17"/>
    <n v="765.99195000000009"/>
    <n v="1278.0600000000002"/>
    <n v="-512.06805000000008"/>
    <n v="-0.66850317421743144"/>
    <n v="1"/>
    <n v="0"/>
  </r>
  <r>
    <s v="ORD-2024-474999"/>
    <d v="2024-12-27T00:00:00"/>
    <x v="6"/>
    <s v="Q4-2024"/>
    <d v="2025-01-02T00:00:00"/>
    <s v="Valid"/>
    <n v="6"/>
    <d v="2025-01-02T00:00:00"/>
    <x v="3"/>
    <s v="Europe → Germany → Frankfurt"/>
    <s v="Germany-2024-12"/>
    <s v="Germany"/>
    <s v="Frankfurt"/>
    <s v="Education"/>
    <s v="Direct"/>
    <x v="9"/>
    <s v="Laptops"/>
    <s v="LAP-8214"/>
    <n v="1391.99"/>
    <n v="3469.7"/>
    <s v="Valid"/>
    <n v="3469.7"/>
    <s v="High"/>
    <n v="0.184"/>
    <s v="Valid"/>
    <n v="0.184"/>
    <n v="23"/>
    <n v="65119.329599999997"/>
    <n v="32015.77"/>
    <n v="33103.559599999993"/>
    <n v="0.50835227886006973"/>
    <n v="1"/>
    <n v="0"/>
  </r>
  <r>
    <s v="ORD-2023-427304"/>
    <d v="2023-06-09T00:00:00"/>
    <x v="23"/>
    <s v="Q2-2023"/>
    <d v="2023-06-19T00:00:00"/>
    <s v="Valid"/>
    <n v="10"/>
    <d v="2023-06-19T00:00:00"/>
    <x v="1"/>
    <s v="Asia → China → Beijing"/>
    <s v="China-2023-06"/>
    <s v="China"/>
    <s v="Beijing"/>
    <s v="Enterprise"/>
    <s v="Retail"/>
    <x v="9"/>
    <s v="Monitors"/>
    <s v="MON-9194"/>
    <n v="339.61"/>
    <n v="621.02"/>
    <s v="Valid"/>
    <n v="621.02"/>
    <s v="Medium"/>
    <n v="7.0999999999999994E-2"/>
    <s v="Valid"/>
    <n v="7.0999999999999994E-2"/>
    <n v="10"/>
    <n v="5769.2758000000003"/>
    <n v="3396.1000000000004"/>
    <n v="2373.1758"/>
    <n v="0.41134726129750981"/>
    <n v="0"/>
    <n v="0"/>
  </r>
  <r>
    <s v="ORD-2025-956101"/>
    <d v="2025-07-09T00:00:00"/>
    <x v="13"/>
    <s v="Q3-2025"/>
    <d v="2025-07-18T00:00:00"/>
    <s v="Valid"/>
    <n v="9"/>
    <d v="2025-07-18T00:00:00"/>
    <x v="2"/>
    <s v="Americas → Canada → Vancouver"/>
    <s v="Canada-2025-07"/>
    <s v="Canada"/>
    <s v="Vancouver"/>
    <s v="Education"/>
    <s v="Distributor"/>
    <x v="2"/>
    <s v="Laptops"/>
    <s v="LAP-2218"/>
    <n v="57.96"/>
    <n v="88.51"/>
    <s v="Valid"/>
    <n v="88.51"/>
    <s v="Low"/>
    <n v="4.2999999999999997E-2"/>
    <s v="Valid"/>
    <n v="4.2999999999999997E-2"/>
    <n v="7"/>
    <n v="592.92849000000001"/>
    <n v="405.72"/>
    <n v="187.20848999999998"/>
    <n v="0.3157353595877978"/>
    <n v="0"/>
    <n v="0"/>
  </r>
  <r>
    <s v="ORD-2025-184082"/>
    <d v="2025-06-19T00:00:00"/>
    <x v="16"/>
    <s v="Q2-2025"/>
    <d v="2025-07-12T00:00:00"/>
    <s v="Valid"/>
    <n v="23"/>
    <d v="2025-07-12T00:00:00"/>
    <x v="3"/>
    <s v="Europe → United Kingdom → unknown"/>
    <s v="United Kingdom-2025-06"/>
    <s v="United Kingdom"/>
    <s v="unknown"/>
    <s v="Non-Profit"/>
    <s v="Direct"/>
    <x v="15"/>
    <s v="Networking"/>
    <s v="NET-6370"/>
    <n v="801.24"/>
    <n v="1959.09"/>
    <s v="Valid"/>
    <n v="1959.09"/>
    <s v="High"/>
    <n v="0.123"/>
    <s v="Valid"/>
    <n v="0.123"/>
    <n v="23"/>
    <n v="39516.804389999998"/>
    <n v="18428.52"/>
    <n v="21088.284389999997"/>
    <n v="0.53365358650651762"/>
    <n v="0"/>
    <n v="0"/>
  </r>
  <r>
    <s v="ORD-2023-576840"/>
    <d v="2023-11-19T00:00:00"/>
    <x v="30"/>
    <s v="Q4-2023"/>
    <d v="2023-12-13T00:00:00"/>
    <s v="Valid"/>
    <n v="24"/>
    <d v="2023-12-13T00:00:00"/>
    <x v="3"/>
    <s v="Europe → France → Lyon"/>
    <s v="France-2023-11"/>
    <s v="France"/>
    <s v="Lyon"/>
    <s v="Non-Profit"/>
    <s v="Direct"/>
    <x v="10"/>
    <s v="Monitors"/>
    <s v="MON-3745"/>
    <n v="1297.42"/>
    <n v="2742.97"/>
    <s v="Valid"/>
    <n v="2742.97"/>
    <s v="High"/>
    <n v="6.9000000000000006E-2"/>
    <s v="Valid"/>
    <n v="6.9000000000000006E-2"/>
    <n v="9"/>
    <n v="22983.34563"/>
    <n v="11676.78"/>
    <n v="11306.565629999999"/>
    <n v="0.49194602961727291"/>
    <n v="0"/>
    <n v="0"/>
  </r>
  <r>
    <s v="ORD-2023-178249"/>
    <d v="2023-12-29T00:00:00"/>
    <x v="4"/>
    <s v="Q4-2023"/>
    <d v="2024-01-20T00:00:00"/>
    <s v="Valid"/>
    <n v="22"/>
    <d v="2024-01-20T00:00:00"/>
    <x v="0"/>
    <s v="Africa → Kenya → Kisumu"/>
    <s v="Kenya-2023-12"/>
    <s v="Kenya"/>
    <s v="Kisumu"/>
    <s v="Corporate"/>
    <s v="Direct"/>
    <x v="4"/>
    <s v="Phones"/>
    <s v="PHN-7924"/>
    <n v="1395.49"/>
    <n v="1679.42"/>
    <s v="Valid"/>
    <n v="1679.42"/>
    <s v="Medium"/>
    <n v="0.20300000000000001"/>
    <s v="Valid"/>
    <n v="0.20300000000000001"/>
    <n v="12"/>
    <n v="16061.972879999999"/>
    <n v="16745.88"/>
    <n v="-683.90712000000167"/>
    <n v="-4.2579272490964493E-2"/>
    <n v="0"/>
    <n v="1"/>
  </r>
  <r>
    <s v="ORD-2024-588972"/>
    <d v="2024-11-02T00:00:00"/>
    <x v="18"/>
    <s v="Q4-2024"/>
    <d v="2024-11-29T00:00:00"/>
    <s v="Valid"/>
    <n v="27"/>
    <d v="2024-11-29T00:00:00"/>
    <x v="2"/>
    <s v="Americas → Brazil → Brasília"/>
    <s v="Brazil-2024-11"/>
    <s v="Brazil"/>
    <s v="Brasília"/>
    <s v="Small Business"/>
    <s v="Direct"/>
    <x v="2"/>
    <s v="Networking"/>
    <s v="NET-8561"/>
    <n v="1363.51"/>
    <n v="1433.9"/>
    <s v="Valid"/>
    <n v="1433.9"/>
    <s v="Medium"/>
    <n v="5.7000000000000002E-2"/>
    <s v="Valid"/>
    <n v="5.7000000000000002E-2"/>
    <n v="8"/>
    <n v="10817.3416"/>
    <n v="10908.08"/>
    <n v="-90.738400000000183"/>
    <n v="-8.3882346842037592E-3"/>
    <n v="0"/>
    <n v="0"/>
  </r>
  <r>
    <s v="ORD-2023-603238"/>
    <d v="2023-08-21T00:00:00"/>
    <x v="25"/>
    <s v="Q3-2023"/>
    <d v="2023-09-04T00:00:00"/>
    <s v="Valid"/>
    <n v="14"/>
    <d v="2023-09-04T00:00:00"/>
    <x v="2"/>
    <s v="Americas → Canada → Montreal"/>
    <s v="Canada-2023-08"/>
    <s v="Canada"/>
    <s v="Montreal"/>
    <s v="Education"/>
    <s v="Distributor"/>
    <x v="9"/>
    <s v="Components"/>
    <s v="CMP-2136"/>
    <n v="178.19"/>
    <n v="284.43"/>
    <s v="Valid"/>
    <n v="284.43"/>
    <s v="Low"/>
    <n v="8.8999999999999996E-2"/>
    <s v="Valid"/>
    <n v="8.8999999999999996E-2"/>
    <n v="8"/>
    <n v="2072.9258400000003"/>
    <n v="1425.52"/>
    <n v="647.40584000000035"/>
    <n v="0.31231500302972742"/>
    <n v="0"/>
    <n v="0"/>
  </r>
  <r>
    <s v="ORD-2023-883066"/>
    <d v="2023-08-12T00:00:00"/>
    <x v="25"/>
    <s v="Q3-2023"/>
    <d v="2023-09-06T00:00:00"/>
    <s v="Valid"/>
    <n v="25"/>
    <d v="2023-09-06T00:00:00"/>
    <x v="1"/>
    <s v="Asia → China → Shanghai"/>
    <s v="China-2023-08"/>
    <s v="China"/>
    <s v="Shanghai"/>
    <s v="Small Business"/>
    <s v="Retail"/>
    <x v="5"/>
    <s v="Components"/>
    <s v="CMP-6352"/>
    <n v="950.77"/>
    <n v="694.78"/>
    <s v="Valid"/>
    <n v="694.78"/>
    <s v="Medium"/>
    <n v="8.4000000000000005E-2"/>
    <s v="Valid"/>
    <n v="8.4000000000000005E-2"/>
    <n v="14"/>
    <n v="8909.8587200000002"/>
    <n v="13310.779999999999"/>
    <n v="-4400.9212799999987"/>
    <n v="-0.49393839097821279"/>
    <n v="0"/>
    <n v="0"/>
  </r>
  <r>
    <s v="ORD-2024-584090"/>
    <d v="2024-06-07T00:00:00"/>
    <x v="17"/>
    <s v="Q2-2024"/>
    <d v="2024-06-26T00:00:00"/>
    <s v="Valid"/>
    <n v="19"/>
    <d v="2024-06-26T00:00:00"/>
    <x v="3"/>
    <s v="Europe → Germany → Berlin"/>
    <s v="Germany-2024-06"/>
    <s v="Germany"/>
    <s v="Berlin"/>
    <s v="Non-Profit"/>
    <s v="Marketplace"/>
    <x v="12"/>
    <s v="Components"/>
    <s v="CMP-2040"/>
    <n v="1064.32"/>
    <n v="1848.39"/>
    <s v="Valid"/>
    <n v="1848.39"/>
    <s v="Medium"/>
    <n v="7.2999999999999995E-2"/>
    <s v="Valid"/>
    <n v="7.2999999999999995E-2"/>
    <n v="38"/>
    <n v="65111.38614000001"/>
    <n v="40444.159999999996"/>
    <n v="24667.226140000013"/>
    <n v="0.3788465827921631"/>
    <n v="0"/>
    <n v="0"/>
  </r>
  <r>
    <s v="ORD-2025-537785"/>
    <d v="2025-08-05T00:00:00"/>
    <x v="28"/>
    <s v="Q3-2025"/>
    <d v="2025-08-14T00:00:00"/>
    <s v="Valid"/>
    <n v="9"/>
    <d v="2025-08-14T00:00:00"/>
    <x v="3"/>
    <s v="Europe → United Kingdom → London"/>
    <s v="United Kingdom-2025-08"/>
    <s v="United Kingdom"/>
    <s v="London"/>
    <s v="Non-Profit"/>
    <s v="Direct"/>
    <x v="6"/>
    <s v="Components"/>
    <s v="CMP-6346"/>
    <n v="41.76"/>
    <n v="45.19"/>
    <s v="Valid"/>
    <n v="45.19"/>
    <s v="Low"/>
    <n v="0.17899999999999999"/>
    <s v="Valid"/>
    <n v="0.17899999999999999"/>
    <n v="23"/>
    <n v="853.32276999999988"/>
    <n v="960.4799999999999"/>
    <n v="-107.15723000000003"/>
    <n v="-0.12557643340514638"/>
    <n v="0"/>
    <n v="0"/>
  </r>
  <r>
    <s v="ORD-2024-605518"/>
    <d v="2024-05-30T00:00:00"/>
    <x v="7"/>
    <s v="Q2-2024"/>
    <d v="2024-06-13T00:00:00"/>
    <s v="Valid"/>
    <n v="14"/>
    <d v="2024-06-13T00:00:00"/>
    <x v="2"/>
    <s v="Americas → USA → San Francisco"/>
    <s v="USA-2024-05"/>
    <s v="USA"/>
    <s v="San Francisco"/>
    <s v="Small Business"/>
    <s v="Retail"/>
    <x v="9"/>
    <s v="Phones"/>
    <s v="PHN-4356"/>
    <n v="157.78"/>
    <n v="361.1"/>
    <s v="Valid"/>
    <n v="361.1"/>
    <s v="Low"/>
    <n v="0.187"/>
    <s v="Valid"/>
    <n v="0.187"/>
    <n v="9"/>
    <n v="2642.1686999999997"/>
    <n v="1420.02"/>
    <n v="1222.1486999999997"/>
    <n v="0.46255513510549112"/>
    <n v="0"/>
    <n v="0"/>
  </r>
  <r>
    <s v="ORD-2023-521818"/>
    <d v="2023-01-22T00:00:00"/>
    <x v="5"/>
    <s v="Q1-2023"/>
    <d v="2023-01-30T00:00:00"/>
    <s v="Valid"/>
    <n v="8"/>
    <d v="2023-01-30T00:00:00"/>
    <x v="2"/>
    <s v="Americas → USA → San Francisco"/>
    <s v="USA-2023-01"/>
    <s v="USA"/>
    <s v="San Francisco"/>
    <s v="Small Business"/>
    <s v="Online"/>
    <x v="8"/>
    <s v="Networking"/>
    <s v="NET-4155"/>
    <n v="413.52"/>
    <n v="1004.34"/>
    <s v="Valid"/>
    <n v="1004.34"/>
    <s v="Medium"/>
    <n v="0.111"/>
    <s v="Valid"/>
    <n v="0.111"/>
    <n v="18"/>
    <n v="16071.44868"/>
    <n v="7443.36"/>
    <n v="8628.0886800000007"/>
    <n v="0.53685817948304593"/>
    <n v="0"/>
    <n v="0"/>
  </r>
  <r>
    <s v="ORD-2025-650719"/>
    <d v="2025-02-12T00:00:00"/>
    <x v="26"/>
    <s v="Q1-2025"/>
    <d v="2025-02-28T00:00:00"/>
    <s v="Valid"/>
    <n v="16"/>
    <d v="2025-02-28T00:00:00"/>
    <x v="2"/>
    <s v="Americas → Brazil → São Paulo"/>
    <s v="Brazil-2025-02"/>
    <s v="Brazil"/>
    <s v="São Paulo"/>
    <s v="Non-Profit"/>
    <s v="Direct"/>
    <x v="5"/>
    <s v="Monitors"/>
    <s v="MON-5179"/>
    <n v="414.95"/>
    <n v="1027.73"/>
    <s v="Valid"/>
    <n v="1027.73"/>
    <s v="Medium"/>
    <n v="6.3E-2"/>
    <s v="Valid"/>
    <n v="6.3E-2"/>
    <n v="8"/>
    <n v="7703.8640800000003"/>
    <n v="3319.6"/>
    <n v="4384.2640800000008"/>
    <n v="0.56909935513815568"/>
    <n v="0"/>
    <n v="0"/>
  </r>
  <r>
    <s v="ORD-2025-501927"/>
    <d v="2025-03-03T00:00:00"/>
    <x v="3"/>
    <s v="Q1-2025"/>
    <d v="2025-03-24T00:00:00"/>
    <s v="Valid"/>
    <n v="21"/>
    <d v="2025-03-24T00:00:00"/>
    <x v="0"/>
    <s v="Africa → Nigeria → Abuja"/>
    <s v="Nigeria-2025-03"/>
    <s v="Nigeria"/>
    <s v="Abuja"/>
    <s v="Enterprise"/>
    <s v="Direct"/>
    <x v="10"/>
    <s v="Accessories"/>
    <s v="ACC-4056"/>
    <n v="555.95000000000005"/>
    <n v="468.09"/>
    <s v="Valid"/>
    <n v="468.09"/>
    <s v="Low"/>
    <n v="0.14199999999999999"/>
    <s v="Valid"/>
    <n v="0.14199999999999999"/>
    <n v="11"/>
    <n v="4417.8334199999999"/>
    <n v="6115.4500000000007"/>
    <n v="-1697.6165800000008"/>
    <n v="-0.38426450674095375"/>
    <n v="0"/>
    <n v="0"/>
  </r>
  <r>
    <s v="ORD-2023-430904"/>
    <d v="2023-01-27T00:00:00"/>
    <x v="5"/>
    <s v="Q1-2023"/>
    <d v="2023-01-31T00:00:00"/>
    <s v="Valid"/>
    <n v="4"/>
    <d v="2023-01-31T00:00:00"/>
    <x v="3"/>
    <s v="Europe → United Kingdom → Manchester"/>
    <s v="United Kingdom-2023-01"/>
    <s v="United Kingdom"/>
    <s v="Manchester"/>
    <s v="Enterprise"/>
    <s v="Online"/>
    <x v="13"/>
    <s v="Laptops"/>
    <s v="LAP-9782"/>
    <n v="941.2"/>
    <n v="668.02"/>
    <s v="Valid"/>
    <n v="668.02"/>
    <s v="Medium"/>
    <n v="0.22"/>
    <s v="Valid"/>
    <n v="0.22"/>
    <n v="16"/>
    <n v="8336.8896000000004"/>
    <n v="15059.2"/>
    <n v="-6722.3104000000003"/>
    <n v="-0.80633314371825193"/>
    <n v="1"/>
    <n v="1"/>
  </r>
  <r>
    <s v="ORD-2025-354346"/>
    <d v="2025-01-09T00:00:00"/>
    <x v="10"/>
    <s v="Q1-2025"/>
    <d v="2025-01-15T00:00:00"/>
    <s v="Valid"/>
    <n v="6"/>
    <d v="2025-01-15T00:00:00"/>
    <x v="1"/>
    <s v="Asia → China → Beijing"/>
    <s v="China-2025-01"/>
    <s v="China"/>
    <s v="Beijing"/>
    <s v="Education"/>
    <s v="Online"/>
    <x v="0"/>
    <s v="Phones"/>
    <s v="PHN-2875"/>
    <n v="304.77999999999997"/>
    <n v="537.27"/>
    <s v="Valid"/>
    <n v="537.27"/>
    <s v="Low"/>
    <n v="0.187"/>
    <s v="Valid"/>
    <n v="0.187"/>
    <n v="8"/>
    <n v="3494.4040799999998"/>
    <n v="2438.2399999999998"/>
    <n v="1056.16408"/>
    <n v="0.3022444044307549"/>
    <n v="1"/>
    <n v="0"/>
  </r>
  <r>
    <s v="ORD-2024-164288"/>
    <d v="2024-12-21T00:00:00"/>
    <x v="6"/>
    <s v="Q4-2024"/>
    <d v="2024-12-26T00:00:00"/>
    <s v="Valid"/>
    <n v="5"/>
    <d v="2024-12-26T00:00:00"/>
    <x v="2"/>
    <s v="Americas → USA → San Francisco"/>
    <s v="USA-2024-12"/>
    <s v="USA"/>
    <s v="San Francisco"/>
    <s v="Consumer"/>
    <s v="Marketplace"/>
    <x v="12"/>
    <s v="Printers"/>
    <s v="PRN-4788"/>
    <n v="699.57"/>
    <n v="572.71"/>
    <s v="Valid"/>
    <n v="572.71"/>
    <s v="Low"/>
    <n v="0.192"/>
    <s v="Valid"/>
    <n v="0.192"/>
    <n v="26"/>
    <n v="12031.491680000001"/>
    <n v="18188.82"/>
    <n v="-6157.3283199999987"/>
    <n v="-0.51176765805651114"/>
    <n v="1"/>
    <n v="0"/>
  </r>
  <r>
    <s v="ORD-2023-867285"/>
    <d v="2023-04-12T00:00:00"/>
    <x v="12"/>
    <s v="Q2-2023"/>
    <d v="2023-04-17T00:00:00"/>
    <s v="Valid"/>
    <n v="5"/>
    <d v="2023-04-17T00:00:00"/>
    <x v="3"/>
    <s v="Europe → France → Lyon"/>
    <s v="France-2023-04"/>
    <s v="France"/>
    <s v="Lyon"/>
    <s v="Enterprise"/>
    <s v="Direct"/>
    <x v="6"/>
    <s v="Monitors"/>
    <s v="MON-3043"/>
    <n v="1087.81"/>
    <n v="2323.87"/>
    <s v="Valid"/>
    <n v="2323.87"/>
    <s v="High"/>
    <n v="9.4E-2"/>
    <s v="Valid"/>
    <n v="9.4E-2"/>
    <n v="13"/>
    <n v="27370.540859999997"/>
    <n v="14141.529999999999"/>
    <n v="13229.010859999999"/>
    <n v="0.48333026839572651"/>
    <n v="1"/>
    <n v="0"/>
  </r>
  <r>
    <s v="ORD-2024-836421"/>
    <d v="2024-12-14T00:00:00"/>
    <x v="6"/>
    <s v="Q4-2024"/>
    <d v="2025-01-12T00:00:00"/>
    <s v="Valid"/>
    <n v="29"/>
    <d v="2025-01-12T00:00:00"/>
    <x v="1"/>
    <s v="Asia → China → Shenzhen"/>
    <s v="China-2024-12"/>
    <s v="China"/>
    <s v="Shenzhen"/>
    <s v="Education"/>
    <s v="Online"/>
    <x v="1"/>
    <s v="Components"/>
    <s v="CMP-3720"/>
    <n v="1412.15"/>
    <n v="1631.04"/>
    <s v="Valid"/>
    <n v="1631.04"/>
    <s v="Medium"/>
    <n v="8.9999999999999993E-3"/>
    <s v="Valid"/>
    <n v="8.9999999999999993E-3"/>
    <n v="6"/>
    <n v="9698.1638399999993"/>
    <n v="8472.9000000000015"/>
    <n v="1225.2638399999978"/>
    <n v="0.12633977526203535"/>
    <n v="0"/>
    <n v="0"/>
  </r>
  <r>
    <s v="ORD-2023-613287"/>
    <d v="2023-03-31T00:00:00"/>
    <x v="22"/>
    <s v="Q1-2023"/>
    <d v="2023-04-12T00:00:00"/>
    <s v="Valid"/>
    <n v="12"/>
    <d v="2023-04-12T00:00:00"/>
    <x v="0"/>
    <s v="Africa → Kenya → Mombasa"/>
    <s v="Kenya-2023-03"/>
    <s v="Kenya"/>
    <s v="Mombasa"/>
    <s v="Small Business"/>
    <s v="Online"/>
    <x v="0"/>
    <s v="Phones"/>
    <s v="PHN-8014"/>
    <n v="304.22000000000003"/>
    <n v="393.31"/>
    <s v="Valid"/>
    <n v="393.31"/>
    <s v="Low"/>
    <n v="0.26500000000000001"/>
    <s v="Valid"/>
    <n v="0.26500000000000001"/>
    <n v="15"/>
    <n v="4336.2427499999994"/>
    <n v="4563.3"/>
    <n v="-227.05725000000075"/>
    <n v="-5.2362670424759034E-2"/>
    <n v="0"/>
    <n v="1"/>
  </r>
  <r>
    <s v="ORD-2024-783321"/>
    <d v="2024-11-20T00:00:00"/>
    <x v="18"/>
    <s v="Q4-2024"/>
    <d v="2024-12-15T00:00:00"/>
    <s v="Valid"/>
    <n v="25"/>
    <d v="2024-12-15T00:00:00"/>
    <x v="3"/>
    <s v="Europe → France → Paris"/>
    <s v="France-2024-11"/>
    <s v="France"/>
    <s v="Paris"/>
    <s v="Corporate"/>
    <s v="Online"/>
    <x v="3"/>
    <s v="Printers"/>
    <s v="PRN-4911"/>
    <n v="1203.58"/>
    <n v="1856.16"/>
    <s v="Valid"/>
    <n v="1856.16"/>
    <s v="Medium"/>
    <n v="0.129"/>
    <s v="Valid"/>
    <n v="0.129"/>
    <n v="22"/>
    <n v="35567.737920000007"/>
    <n v="26478.76"/>
    <n v="9088.9779200000085"/>
    <n v="0.25553994860295032"/>
    <n v="0"/>
    <n v="0"/>
  </r>
  <r>
    <s v="ORD-2024-232632"/>
    <d v="2024-02-14T00:00:00"/>
    <x v="31"/>
    <s v="Q1-2024"/>
    <d v="2024-02-14T00:00:00"/>
    <s v="Valid"/>
    <n v="0"/>
    <d v="2024-02-14T00:00:00"/>
    <x v="1"/>
    <s v="Asia → China → Beijing"/>
    <s v="China-2024-02"/>
    <s v="China"/>
    <s v="Beijing"/>
    <s v="Corporate"/>
    <s v="Distributor"/>
    <x v="4"/>
    <s v="Accessories"/>
    <s v="ACC-1021"/>
    <n v="65.930000000000007"/>
    <n v="84.9"/>
    <s v="Valid"/>
    <n v="84.9"/>
    <s v="Low"/>
    <n v="0.25900000000000001"/>
    <s v="Valid"/>
    <n v="0.25900000000000001"/>
    <n v="23"/>
    <n v="1446.9507000000001"/>
    <n v="1516.39"/>
    <n v="-69.439300000000003"/>
    <n v="-4.7990093926489688E-2"/>
    <n v="1"/>
    <n v="1"/>
  </r>
  <r>
    <s v="ORD-2023-906481"/>
    <d v="2023-05-02T00:00:00"/>
    <x v="15"/>
    <s v="Q2-2023"/>
    <d v="2023-05-18T00:00:00"/>
    <s v="Valid"/>
    <n v="16"/>
    <d v="2023-05-18T00:00:00"/>
    <x v="1"/>
    <s v="Asia → India → Delhi"/>
    <s v="India-2023-05"/>
    <s v="India"/>
    <s v="Delhi"/>
    <s v="Small Business"/>
    <s v="Marketplace"/>
    <x v="11"/>
    <s v="Monitors"/>
    <s v="MON-2266"/>
    <n v="1463.92"/>
    <n v="2252.2399999999998"/>
    <s v="Valid"/>
    <n v="2252.2399999999998"/>
    <s v="High"/>
    <n v="0.11799999999999999"/>
    <s v="Valid"/>
    <n v="0.11799999999999999"/>
    <n v="44"/>
    <n v="87404.929919999995"/>
    <n v="64412.480000000003"/>
    <n v="22992.449919999992"/>
    <n v="0.26305667130040061"/>
    <n v="0"/>
    <n v="0"/>
  </r>
  <r>
    <s v="ORD-2024-902741"/>
    <d v="2024-12-23T00:00:00"/>
    <x v="6"/>
    <s v="Q4-2024"/>
    <d v="2025-01-11T00:00:00"/>
    <s v="Valid"/>
    <n v="19"/>
    <d v="2025-01-11T00:00:00"/>
    <x v="3"/>
    <s v="Europe → Germany → Berlin"/>
    <s v="Germany-2024-12"/>
    <s v="Germany"/>
    <s v="Berlin"/>
    <s v="Education"/>
    <s v="Retail"/>
    <x v="11"/>
    <s v="Phones"/>
    <s v="PHN-8057"/>
    <n v="501.81"/>
    <n v="921.62"/>
    <s v="Valid"/>
    <n v="921.62"/>
    <s v="Medium"/>
    <n v="0.01"/>
    <s v="Valid"/>
    <n v="0.01"/>
    <n v="9"/>
    <n v="8211.6342000000004"/>
    <n v="4516.29"/>
    <n v="3695.3442000000005"/>
    <n v="0.45001325071202031"/>
    <n v="0"/>
    <n v="0"/>
  </r>
  <r>
    <s v="ORD-2023-912395"/>
    <d v="2023-07-26T00:00:00"/>
    <x v="24"/>
    <s v="Q3-2023"/>
    <d v="2023-08-25T00:00:00"/>
    <s v="Valid"/>
    <n v="30"/>
    <d v="2023-08-25T00:00:00"/>
    <x v="2"/>
    <s v="Americas → USA → New York"/>
    <s v="USA-2023-07"/>
    <s v="USA"/>
    <s v="New York"/>
    <s v="Consumer"/>
    <s v="Retail"/>
    <x v="12"/>
    <s v="Accessories"/>
    <s v="ACC-7078"/>
    <n v="1261.48"/>
    <n v="1643.18"/>
    <s v="Valid"/>
    <n v="1643.18"/>
    <s v="Medium"/>
    <n v="0.151"/>
    <s v="Valid"/>
    <n v="0.151"/>
    <n v="23"/>
    <n v="32086.37586"/>
    <n v="29014.04"/>
    <n v="3072.3358599999992"/>
    <n v="9.5752037357079045E-2"/>
    <n v="0"/>
    <n v="0"/>
  </r>
  <r>
    <s v="ORD-2024-389102"/>
    <d v="2024-06-15T00:00:00"/>
    <x v="17"/>
    <s v="Q2-2024"/>
    <d v="2024-07-06T00:00:00"/>
    <s v="Valid"/>
    <n v="21"/>
    <d v="2024-07-06T00:00:00"/>
    <x v="2"/>
    <s v="Americas → Canada → Toronto"/>
    <s v="Canada-2024-06"/>
    <s v="Canada"/>
    <s v="Toronto"/>
    <s v="Enterprise"/>
    <s v="Distributor"/>
    <x v="4"/>
    <s v="Printers"/>
    <s v="PRN-4453"/>
    <n v="817.23"/>
    <n v="1467.17"/>
    <s v="Valid"/>
    <n v="1467.17"/>
    <s v="Medium"/>
    <n v="0.245"/>
    <s v="Valid"/>
    <n v="0.245"/>
    <n v="9"/>
    <n v="9969.4201499999999"/>
    <n v="7355.07"/>
    <n v="2614.3501500000002"/>
    <n v="0.26223693160328893"/>
    <n v="0"/>
    <n v="1"/>
  </r>
  <r>
    <s v="ORD-2023-309373"/>
    <d v="2023-07-05T00:00:00"/>
    <x v="24"/>
    <s v="Q3-2023"/>
    <d v="2023-07-14T00:00:00"/>
    <s v="Valid"/>
    <n v="9"/>
    <d v="2023-07-14T00:00:00"/>
    <x v="2"/>
    <s v="Americas → Brazil → Brasília"/>
    <s v="Brazil-2023-07"/>
    <s v="Brazil"/>
    <s v="Brasília"/>
    <s v="Enterprise"/>
    <s v="Direct"/>
    <x v="5"/>
    <s v="Networking"/>
    <s v="NET-2394"/>
    <n v="578.85"/>
    <n v="998.76"/>
    <s v="Valid"/>
    <n v="998.76"/>
    <s v="Medium"/>
    <n v="8.2000000000000003E-2"/>
    <s v="Valid"/>
    <n v="8.2000000000000003E-2"/>
    <n v="28"/>
    <n v="25672.127039999999"/>
    <n v="16207.800000000001"/>
    <n v="9464.3270399999983"/>
    <n v="0.36866158480960831"/>
    <n v="0"/>
    <n v="0"/>
  </r>
  <r>
    <s v="ORD-2023-825495"/>
    <d v="2023-11-30T00:00:00"/>
    <x v="30"/>
    <s v="Q4-2023"/>
    <d v="2023-11-29T00:00:00"/>
    <s v="Invalid RequiredDate"/>
    <n v="-1"/>
    <d v="2023-12-26T00:00:00"/>
    <x v="0"/>
    <s v="Africa → South Africa → Durban"/>
    <s v="South Africa-2023-11"/>
    <s v="South Africa"/>
    <s v="Durban"/>
    <s v="Small Business"/>
    <s v="Marketplace"/>
    <x v="6"/>
    <s v="Laptops"/>
    <s v="LAP-1525"/>
    <n v="275.56"/>
    <n v="630.72"/>
    <s v="Valid"/>
    <n v="630.72"/>
    <s v="Medium"/>
    <n v="0.107"/>
    <s v="Valid"/>
    <n v="0.107"/>
    <n v="23"/>
    <n v="12954.358080000002"/>
    <n v="6337.88"/>
    <n v="6616.4780800000017"/>
    <n v="0.5107530638831933"/>
    <n v="1"/>
    <n v="0"/>
  </r>
  <r>
    <s v="ORD-2025-244832"/>
    <d v="2025-09-11T00:00:00"/>
    <x v="11"/>
    <s v="Q3-2025"/>
    <d v="2025-09-28T00:00:00"/>
    <s v="Valid"/>
    <n v="17"/>
    <d v="2025-09-28T00:00:00"/>
    <x v="0"/>
    <s v="Africa → Kenya → Nairobi"/>
    <s v="Kenya-2025-09"/>
    <s v="Kenya"/>
    <s v="Nairobi"/>
    <s v="Non-Profit"/>
    <s v="Distributor"/>
    <x v="1"/>
    <s v="Laptops"/>
    <s v="LAP-3278"/>
    <n v="891.46"/>
    <n v="728.61"/>
    <s v="Valid"/>
    <n v="728.61"/>
    <s v="Medium"/>
    <n v="0.185"/>
    <s v="Valid"/>
    <n v="0.185"/>
    <n v="6"/>
    <n v="3562.9028999999996"/>
    <n v="5348.76"/>
    <n v="-1785.8571000000006"/>
    <n v="-0.50123653383874167"/>
    <n v="0"/>
    <n v="0"/>
  </r>
  <r>
    <s v="ORD-2024-211453"/>
    <d v="2024-04-04T00:00:00"/>
    <x v="20"/>
    <s v="Q2-2024"/>
    <d v="2024-04-24T00:00:00"/>
    <s v="Valid"/>
    <n v="20"/>
    <d v="2024-04-24T00:00:00"/>
    <x v="3"/>
    <s v="Europe → Germany → Frankfurt"/>
    <s v="Germany-2024-04"/>
    <s v="Germany"/>
    <s v="Frankfurt"/>
    <s v="Non-Profit"/>
    <s v="Direct"/>
    <x v="7"/>
    <s v="Accessories"/>
    <s v="ACC-6543"/>
    <n v="683.42"/>
    <n v="951.51"/>
    <s v="Valid"/>
    <n v="951.51"/>
    <s v="Medium"/>
    <n v="0"/>
    <s v="Valid"/>
    <n v="0"/>
    <n v="14"/>
    <n v="13321.14"/>
    <n v="9567.8799999999992"/>
    <n v="3753.26"/>
    <n v="0.28175216235247136"/>
    <n v="0"/>
    <n v="0"/>
  </r>
  <r>
    <s v="ORD-2023-192324"/>
    <d v="2023-09-14T00:00:00"/>
    <x v="27"/>
    <s v="Q3-2023"/>
    <d v="2023-09-16T00:00:00"/>
    <s v="Valid"/>
    <n v="2"/>
    <d v="2023-09-16T00:00:00"/>
    <x v="3"/>
    <s v="Europe → France → Lyon"/>
    <s v="France-2023-09"/>
    <s v="France"/>
    <s v="Lyon"/>
    <s v="Non-Profit"/>
    <s v="Direct"/>
    <x v="5"/>
    <s v="Printers"/>
    <s v="PRN-4432"/>
    <n v="376.83"/>
    <n v="732.88"/>
    <s v="Valid"/>
    <n v="732.88"/>
    <s v="Medium"/>
    <n v="0.188"/>
    <s v="Valid"/>
    <n v="0.188"/>
    <n v="25"/>
    <n v="14877.464000000002"/>
    <n v="9420.75"/>
    <n v="5456.7140000000018"/>
    <n v="0.36677716040852132"/>
    <n v="1"/>
    <n v="0"/>
  </r>
  <r>
    <s v="ORD-2024-438404"/>
    <d v="2024-09-23T00:00:00"/>
    <x v="29"/>
    <s v="Q3-2024"/>
    <d v="2024-10-18T00:00:00"/>
    <s v="Valid"/>
    <n v="25"/>
    <d v="2024-10-18T00:00:00"/>
    <x v="2"/>
    <s v="Americas → Canada → Vancouver"/>
    <s v="Canada-2024-09"/>
    <s v="Canada"/>
    <s v="Vancouver"/>
    <s v="Small Business"/>
    <s v="Online"/>
    <x v="13"/>
    <s v="Phones"/>
    <s v="PHN-4568"/>
    <n v="1297"/>
    <n v="2411.52"/>
    <s v="Valid"/>
    <n v="2411.52"/>
    <s v="High"/>
    <n v="2.1000000000000001E-2"/>
    <s v="Valid"/>
    <n v="2.1000000000000001E-2"/>
    <n v="18"/>
    <n v="42495.805439999996"/>
    <n v="23346"/>
    <n v="19149.805439999996"/>
    <n v="0.45062813239385913"/>
    <n v="0"/>
    <n v="0"/>
  </r>
  <r>
    <s v="ORD-2025-246470"/>
    <d v="2025-04-16T00:00:00"/>
    <x v="19"/>
    <s v="Q2-2025"/>
    <d v="2025-05-16T00:00:00"/>
    <s v="Valid"/>
    <n v="30"/>
    <d v="2025-05-16T00:00:00"/>
    <x v="2"/>
    <s v="Americas → Canada → Montreal"/>
    <s v="Canada-2025-04"/>
    <s v="Canada"/>
    <s v="Montreal"/>
    <s v="Enterprise"/>
    <s v="Distributor"/>
    <x v="11"/>
    <s v="Printers"/>
    <s v="PRN-6178"/>
    <n v="763.32"/>
    <n v="568.29"/>
    <s v="Valid"/>
    <n v="568.29"/>
    <s v="Low"/>
    <n v="0.13100000000000001"/>
    <s v="Valid"/>
    <n v="0.13100000000000001"/>
    <n v="16"/>
    <n v="7901.5041599999995"/>
    <n v="12213.12"/>
    <n v="-4311.6158400000013"/>
    <n v="-0.54567026134426555"/>
    <n v="0"/>
    <n v="0"/>
  </r>
  <r>
    <s v="ORD-2023-497686"/>
    <d v="2023-07-03T00:00:00"/>
    <x v="24"/>
    <s v="Q3-2023"/>
    <d v="2023-07-23T00:00:00"/>
    <s v="Valid"/>
    <n v="20"/>
    <d v="2023-07-23T00:00:00"/>
    <x v="0"/>
    <s v="Africa → South Africa → Johannesburg"/>
    <s v="South Africa-2023-07"/>
    <s v="South Africa"/>
    <s v="Johannesburg"/>
    <s v="Small Business"/>
    <s v="Distributor"/>
    <x v="9"/>
    <s v="Laptops"/>
    <s v="LAP-6342"/>
    <n v="1001.96"/>
    <n v="1254.95"/>
    <s v="Valid"/>
    <n v="1254.95"/>
    <s v="Medium"/>
    <n v="4.4999999999999998E-2"/>
    <s v="Valid"/>
    <n v="4.4999999999999998E-2"/>
    <n v="18"/>
    <n v="21572.590500000002"/>
    <n v="18035.28"/>
    <n v="3537.3105000000032"/>
    <n v="0.16397244920585699"/>
    <n v="0"/>
    <n v="0"/>
  </r>
  <r>
    <s v="ORD-2023-596758"/>
    <d v="2023-12-07T00:00:00"/>
    <x v="4"/>
    <s v="Q4-2023"/>
    <d v="2023-12-05T00:00:00"/>
    <s v="Invalid RequiredDate"/>
    <n v="-2"/>
    <d v="2024-01-02T00:00:00"/>
    <x v="1"/>
    <s v="Asia → Japan → Tokyo"/>
    <s v="Japan-2023-12"/>
    <s v="Japan"/>
    <s v="Tokyo"/>
    <s v="Non-Profit"/>
    <s v="Marketplace"/>
    <x v="10"/>
    <s v="Printers"/>
    <s v="PRN-8175"/>
    <n v="1097.5899999999999"/>
    <n v="845.55"/>
    <s v="Valid"/>
    <n v="845.55"/>
    <s v="Medium"/>
    <n v="0.184"/>
    <s v="Valid"/>
    <n v="0.184"/>
    <n v="6"/>
    <n v="4139.8127999999997"/>
    <n v="6585.5399999999991"/>
    <n v="-2445.7271999999994"/>
    <n v="-0.59078207594314402"/>
    <n v="1"/>
    <n v="0"/>
  </r>
  <r>
    <s v="ORD-2024-201376"/>
    <d v="2024-02-18T00:00:00"/>
    <x v="31"/>
    <s v="Q1-2024"/>
    <d v="2024-03-04T00:00:00"/>
    <s v="Valid"/>
    <n v="15"/>
    <d v="2024-03-04T00:00:00"/>
    <x v="0"/>
    <s v="Africa → Kenya → Kisumu"/>
    <s v="Kenya-2024-02"/>
    <s v="Kenya"/>
    <s v="Kisumu"/>
    <s v="Education"/>
    <s v="Direct"/>
    <x v="11"/>
    <s v="Printers"/>
    <s v="PRN-7089"/>
    <n v="928.68"/>
    <n v="2145.17"/>
    <s v="Valid"/>
    <n v="2145.17"/>
    <s v="High"/>
    <n v="0.13600000000000001"/>
    <s v="Valid"/>
    <n v="0.13600000000000001"/>
    <n v="16"/>
    <n v="29654.83008"/>
    <n v="14858.88"/>
    <n v="14795.950080000001"/>
    <n v="0.49893896003062177"/>
    <n v="0"/>
    <n v="0"/>
  </r>
  <r>
    <s v="ORD-2023-842488"/>
    <d v="2023-10-31T00:00:00"/>
    <x v="32"/>
    <s v="Q4-2023"/>
    <d v="2023-11-02T00:00:00"/>
    <s v="Valid"/>
    <n v="2"/>
    <d v="2023-11-02T00:00:00"/>
    <x v="0"/>
    <s v="Africa → Kenya → Kisumu"/>
    <s v="Kenya-2023-10"/>
    <s v="Kenya"/>
    <s v="Kisumu"/>
    <s v="Education"/>
    <s v="Retail"/>
    <x v="7"/>
    <s v="Accessories"/>
    <s v="ACC-4124"/>
    <n v="867.89"/>
    <n v="1349.94"/>
    <s v="Valid"/>
    <n v="1349.94"/>
    <s v="Medium"/>
    <n v="0.184"/>
    <s v="Valid"/>
    <n v="0.184"/>
    <n v="10"/>
    <n v="11015.510400000003"/>
    <n v="8678.9"/>
    <n v="2336.6104000000032"/>
    <n v="0.21212003031652557"/>
    <n v="1"/>
    <n v="0"/>
  </r>
  <r>
    <s v="ORD-2024-136321"/>
    <d v="2024-08-07T00:00:00"/>
    <x v="21"/>
    <s v="Q3-2024"/>
    <d v="2024-08-17T00:00:00"/>
    <s v="Valid"/>
    <n v="10"/>
    <d v="2024-08-17T00:00:00"/>
    <x v="1"/>
    <s v="Asia → Japan → Osaka"/>
    <s v="Japan-2024-08"/>
    <s v="Japan"/>
    <s v="Osaka"/>
    <s v="Consumer"/>
    <s v="Online"/>
    <x v="11"/>
    <s v="Networking"/>
    <s v="NET-7924"/>
    <n v="436.58"/>
    <n v="527.48"/>
    <s v="Valid"/>
    <n v="527.48"/>
    <s v="Low"/>
    <n v="0.111"/>
    <s v="Valid"/>
    <n v="0.111"/>
    <n v="19"/>
    <n v="8909.6646800000017"/>
    <n v="8295.02"/>
    <n v="614.64468000000124"/>
    <n v="6.8986286473802644E-2"/>
    <n v="0"/>
    <n v="0"/>
  </r>
  <r>
    <s v="ORD-2024-764468"/>
    <d v="2024-02-01T00:00:00"/>
    <x v="31"/>
    <s v="Q1-2024"/>
    <d v="2024-02-21T00:00:00"/>
    <s v="Valid"/>
    <n v="20"/>
    <d v="2024-02-21T00:00:00"/>
    <x v="3"/>
    <s v="Europe → France → Paris"/>
    <s v="France-2024-02"/>
    <s v="France"/>
    <s v="Paris"/>
    <s v="Small Business"/>
    <s v="Marketplace"/>
    <x v="8"/>
    <s v="Networking"/>
    <s v="NET-8761"/>
    <n v="656.2"/>
    <n v="1467.17"/>
    <s v="Valid"/>
    <n v="1467.17"/>
    <s v="Medium"/>
    <n v="1.7999999999999999E-2"/>
    <s v="Valid"/>
    <n v="1.7999999999999999E-2"/>
    <n v="5"/>
    <n v="7203.8047000000006"/>
    <n v="3281"/>
    <n v="3922.8047000000006"/>
    <n v="0.54454623124360946"/>
    <n v="0"/>
    <n v="0"/>
  </r>
  <r>
    <s v="ORD-2024-553449"/>
    <d v="2024-08-27T00:00:00"/>
    <x v="21"/>
    <s v="Q3-2024"/>
    <d v="2024-09-18T00:00:00"/>
    <s v="Valid"/>
    <n v="22"/>
    <d v="2024-09-18T00:00:00"/>
    <x v="1"/>
    <s v="Asia → India → Delhi"/>
    <s v="India-2024-08"/>
    <s v="India"/>
    <s v="Delhi"/>
    <s v="Consumer"/>
    <s v="Direct"/>
    <x v="5"/>
    <s v="Components"/>
    <s v="CMP-3875"/>
    <n v="896.75"/>
    <n v="1651.14"/>
    <s v="Valid"/>
    <n v="1651.14"/>
    <s v="Medium"/>
    <n v="2.5000000000000001E-2"/>
    <s v="Valid"/>
    <n v="2.5000000000000001E-2"/>
    <n v="15"/>
    <n v="24147.922500000001"/>
    <n v="13451.25"/>
    <n v="10696.672500000001"/>
    <n v="0.44296450346815552"/>
    <n v="0"/>
    <n v="0"/>
  </r>
  <r>
    <s v="ORD-2025-766923"/>
    <d v="2025-02-15T00:00:00"/>
    <x v="26"/>
    <s v="Q1-2025"/>
    <d v="2025-02-15T00:00:00"/>
    <s v="Valid"/>
    <n v="0"/>
    <d v="2025-02-15T00:00:00"/>
    <x v="3"/>
    <s v="Europe → Germany → Frankfurt"/>
    <s v="Germany-2025-02"/>
    <s v="Germany"/>
    <s v="Frankfurt"/>
    <s v="Small Business"/>
    <s v="Marketplace"/>
    <x v="4"/>
    <s v="Accessories"/>
    <s v="ACC-3989"/>
    <n v="815.83"/>
    <n v="1982.18"/>
    <s v="Valid"/>
    <n v="1982.18"/>
    <s v="High"/>
    <n v="0.127"/>
    <s v="Valid"/>
    <n v="0.127"/>
    <n v="6"/>
    <n v="10382.65884"/>
    <n v="4894.9800000000005"/>
    <n v="5487.6788399999996"/>
    <n v="0.52854272923408507"/>
    <n v="1"/>
    <n v="0"/>
  </r>
  <r>
    <s v="ORD-2025-418232"/>
    <d v="2025-08-01T00:00:00"/>
    <x v="28"/>
    <s v="Q3-2025"/>
    <d v="2025-08-21T00:00:00"/>
    <s v="Valid"/>
    <n v="20"/>
    <d v="2025-08-21T00:00:00"/>
    <x v="1"/>
    <s v="Asia → China → Shanghai"/>
    <s v="China-2025-08"/>
    <s v="China"/>
    <s v="Shanghai"/>
    <s v="Corporate"/>
    <s v="Direct"/>
    <x v="2"/>
    <s v="Phones"/>
    <s v="PHN-9234"/>
    <n v="1220.4100000000001"/>
    <n v="2552.2199999999998"/>
    <s v="Valid"/>
    <n v="2552.2199999999998"/>
    <s v="High"/>
    <n v="0.18099999999999999"/>
    <s v="Valid"/>
    <n v="0.18099999999999999"/>
    <n v="14"/>
    <n v="29263.754519999995"/>
    <n v="17085.740000000002"/>
    <n v="12178.014519999993"/>
    <n v="0.41614668793360271"/>
    <n v="0"/>
    <n v="0"/>
  </r>
  <r>
    <s v="ORD-2023-848013"/>
    <d v="2023-02-20T00:00:00"/>
    <x v="2"/>
    <s v="Q1-2023"/>
    <d v="2023-03-04T00:00:00"/>
    <s v="Valid"/>
    <n v="12"/>
    <d v="2023-03-04T00:00:00"/>
    <x v="1"/>
    <s v="Asia → India → Delhi"/>
    <s v="India-2023-02"/>
    <s v="India"/>
    <s v="Delhi"/>
    <s v="Consumer"/>
    <s v="Distributor"/>
    <x v="12"/>
    <s v="Monitors"/>
    <s v="MON-9906"/>
    <n v="299.75"/>
    <n v="523.01"/>
    <s v="Valid"/>
    <n v="523.01"/>
    <s v="Low"/>
    <n v="0.157"/>
    <s v="Valid"/>
    <n v="0.157"/>
    <n v="50"/>
    <n v="22044.871499999997"/>
    <n v="14987.5"/>
    <n v="7057.3714999999975"/>
    <n v="0.32013665854210122"/>
    <n v="0"/>
    <n v="0"/>
  </r>
  <r>
    <s v="ORD-2024-357368"/>
    <d v="2024-10-30T00:00:00"/>
    <x v="1"/>
    <s v="Q4-2024"/>
    <d v="2024-11-24T00:00:00"/>
    <s v="Valid"/>
    <n v="25"/>
    <d v="2024-11-24T00:00:00"/>
    <x v="1"/>
    <s v="Asia → China → Shenzhen"/>
    <s v="China-2024-10"/>
    <s v="China"/>
    <s v="Shenzhen"/>
    <s v="Small Business"/>
    <s v="Online"/>
    <x v="6"/>
    <s v="Components"/>
    <s v="CMP-4610"/>
    <n v="811.05"/>
    <n v="1217.71"/>
    <s v="Valid"/>
    <n v="1217.71"/>
    <s v="Medium"/>
    <n v="7.1999999999999995E-2"/>
    <s v="Valid"/>
    <n v="7.1999999999999995E-2"/>
    <n v="5"/>
    <n v="5650.1744000000008"/>
    <n v="4055.25"/>
    <n v="1594.9244000000008"/>
    <n v="0.28227879125288602"/>
    <n v="0"/>
    <n v="0"/>
  </r>
  <r>
    <s v="ORD-2024-219735"/>
    <d v="2024-04-03T00:00:00"/>
    <x v="20"/>
    <s v="Q2-2024"/>
    <d v="2024-04-07T00:00:00"/>
    <s v="Valid"/>
    <n v="4"/>
    <d v="2024-04-07T00:00:00"/>
    <x v="2"/>
    <s v="Americas → Brazil → Brasília"/>
    <s v="Brazil-2024-04"/>
    <s v="Brazil"/>
    <s v="Brasília"/>
    <s v="Non-Profit"/>
    <s v="Direct"/>
    <x v="13"/>
    <s v="Phones"/>
    <s v="PHN-5445"/>
    <n v="1023.27"/>
    <n v="1343.64"/>
    <s v="Valid"/>
    <n v="1343.64"/>
    <s v="Medium"/>
    <n v="0.13300000000000001"/>
    <s v="Valid"/>
    <n v="0.13300000000000001"/>
    <n v="7"/>
    <n v="8154.5511600000009"/>
    <n v="7162.8899999999994"/>
    <n v="991.66116000000147"/>
    <n v="0.12160830688810116"/>
    <n v="1"/>
    <n v="0"/>
  </r>
  <r>
    <s v="ORD-2023-240507"/>
    <d v="2023-03-25T00:00:00"/>
    <x v="22"/>
    <s v="Q1-2023"/>
    <d v="2023-03-26T00:00:00"/>
    <s v="Valid"/>
    <n v="1"/>
    <d v="2023-03-26T00:00:00"/>
    <x v="1"/>
    <s v="Asia → Japan → Osaka"/>
    <s v="Japan-2023-03"/>
    <s v="Japan"/>
    <s v="Osaka"/>
    <s v="Small Business"/>
    <s v="Distributor"/>
    <x v="2"/>
    <s v="Monitors"/>
    <s v="MON-9227"/>
    <n v="135.12"/>
    <n v="301.7"/>
    <s v="Valid"/>
    <n v="301.7"/>
    <s v="Low"/>
    <n v="0.14000000000000001"/>
    <s v="Valid"/>
    <n v="0.14000000000000001"/>
    <n v="47"/>
    <n v="12194.714"/>
    <n v="6350.64"/>
    <n v="5844.0739999999996"/>
    <n v="0.47923009920527859"/>
    <n v="1"/>
    <n v="0"/>
  </r>
  <r>
    <s v="ORD-2024-134084"/>
    <d v="2024-06-04T00:00:00"/>
    <x v="17"/>
    <s v="Q2-2024"/>
    <d v="2024-06-16T00:00:00"/>
    <s v="Valid"/>
    <n v="12"/>
    <d v="2024-06-16T00:00:00"/>
    <x v="1"/>
    <s v="Asia → China → Shanghai"/>
    <s v="China-2024-06"/>
    <s v="China"/>
    <s v="Shanghai"/>
    <s v="Corporate"/>
    <s v="Retail"/>
    <x v="1"/>
    <s v="Printers"/>
    <s v="PRN-4097"/>
    <n v="918.42"/>
    <n v="1511.71"/>
    <s v="Valid"/>
    <n v="1511.71"/>
    <s v="Medium"/>
    <n v="0.02"/>
    <s v="Valid"/>
    <n v="0.02"/>
    <n v="8"/>
    <n v="11851.806399999999"/>
    <n v="7347.36"/>
    <n v="4504.4463999999998"/>
    <n v="0.38006412254590999"/>
    <n v="0"/>
    <n v="0"/>
  </r>
  <r>
    <s v="ORD-2023-884625"/>
    <d v="2023-02-19T00:00:00"/>
    <x v="2"/>
    <s v="Q1-2023"/>
    <d v="2023-03-12T00:00:00"/>
    <s v="Valid"/>
    <n v="21"/>
    <d v="2023-03-12T00:00:00"/>
    <x v="3"/>
    <s v="Europe → Germany → Berlin"/>
    <s v="Germany-2023-02"/>
    <s v="Germany"/>
    <s v="Berlin"/>
    <s v="Small Business"/>
    <s v="Direct"/>
    <x v="4"/>
    <s v="Monitors"/>
    <s v="MON-6699"/>
    <n v="1234.81"/>
    <n v="2055.2399999999998"/>
    <s v="Valid"/>
    <n v="2055.2399999999998"/>
    <s v="High"/>
    <n v="5.2999999999999999E-2"/>
    <s v="Valid"/>
    <n v="5.2999999999999999E-2"/>
    <n v="44"/>
    <n v="85637.740319999997"/>
    <n v="54331.64"/>
    <n v="31306.100319999998"/>
    <n v="0.36556429680441616"/>
    <n v="0"/>
    <n v="0"/>
  </r>
  <r>
    <s v="ORD-2023-157993"/>
    <d v="2023-04-18T00:00:00"/>
    <x v="12"/>
    <s v="Q2-2023"/>
    <d v="2023-05-18T00:00:00"/>
    <s v="Valid"/>
    <n v="30"/>
    <d v="2023-05-18T00:00:00"/>
    <x v="1"/>
    <s v="Asia → China → Shenzhen"/>
    <s v="China-2023-04"/>
    <s v="China"/>
    <s v="Shenzhen"/>
    <s v="Non-Profit"/>
    <s v="Retail"/>
    <x v="10"/>
    <s v="Laptops"/>
    <s v="LAP-1482"/>
    <n v="329.03"/>
    <n v="391.15"/>
    <s v="Valid"/>
    <n v="391.15"/>
    <s v="Low"/>
    <n v="0.19700000000000001"/>
    <s v="Valid"/>
    <n v="0.19700000000000001"/>
    <n v="46"/>
    <n v="14448.298699999998"/>
    <n v="15135.38"/>
    <n v="-687.08130000000165"/>
    <n v="-4.7554477815440081E-2"/>
    <n v="0"/>
    <n v="0"/>
  </r>
  <r>
    <s v="ORD-2024-329104"/>
    <d v="2024-05-23T00:00:00"/>
    <x v="7"/>
    <s v="Q2-2024"/>
    <d v="2024-06-14T00:00:00"/>
    <s v="Valid"/>
    <n v="22"/>
    <d v="2024-06-14T00:00:00"/>
    <x v="3"/>
    <s v="Europe → France → Marseille"/>
    <s v="France-2024-05"/>
    <s v="France"/>
    <s v="Marseille"/>
    <s v="Small Business"/>
    <s v="Online"/>
    <x v="13"/>
    <s v="Monitors"/>
    <s v="MON-2100"/>
    <n v="1481.74"/>
    <n v="1848.97"/>
    <s v="Valid"/>
    <n v="1848.97"/>
    <s v="Medium"/>
    <n v="0.254"/>
    <s v="Valid"/>
    <n v="0.254"/>
    <n v="9"/>
    <n v="12413.98458"/>
    <n v="13335.66"/>
    <n v="-921.67541999999958"/>
    <n v="-7.4244930309072407E-2"/>
    <n v="0"/>
    <n v="1"/>
  </r>
  <r>
    <s v="ORD-2023-304451"/>
    <d v="2023-10-07T00:00:00"/>
    <x v="32"/>
    <s v="Q4-2023"/>
    <d v="2023-10-23T00:00:00"/>
    <s v="Valid"/>
    <n v="16"/>
    <d v="2023-10-23T00:00:00"/>
    <x v="1"/>
    <s v="Asia → India → Hyderabad"/>
    <s v="India-2023-10"/>
    <s v="India"/>
    <s v="Hyderabad"/>
    <s v="Consumer"/>
    <s v="Retail"/>
    <x v="3"/>
    <s v="Monitors"/>
    <s v="MON-7602"/>
    <n v="906.81"/>
    <n v="1395.56"/>
    <s v="Valid"/>
    <n v="1395.56"/>
    <s v="Medium"/>
    <n v="0.185"/>
    <s v="Valid"/>
    <n v="0.185"/>
    <n v="6"/>
    <n v="6824.2884000000004"/>
    <n v="5440.86"/>
    <n v="1383.4284000000007"/>
    <n v="0.20272126834498974"/>
    <n v="0"/>
    <n v="0"/>
  </r>
  <r>
    <s v="ORD-2024-942981"/>
    <d v="2024-10-09T00:00:00"/>
    <x v="1"/>
    <s v="Q4-2024"/>
    <d v="2024-11-08T00:00:00"/>
    <s v="Valid"/>
    <n v="30"/>
    <d v="2024-11-08T00:00:00"/>
    <x v="3"/>
    <s v="Europe → United Kingdom → Manchester"/>
    <s v="United Kingdom-2024-10"/>
    <s v="United Kingdom"/>
    <s v="Manchester"/>
    <s v="Small Business"/>
    <s v="Distributor"/>
    <x v="1"/>
    <s v="Components"/>
    <s v="CMP-1072"/>
    <n v="343.85"/>
    <n v="538.04"/>
    <s v="Valid"/>
    <n v="538.04"/>
    <s v="Low"/>
    <n v="0.13900000000000001"/>
    <s v="Valid"/>
    <n v="0.13900000000000001"/>
    <n v="5"/>
    <n v="2316.2621999999997"/>
    <n v="1719.25"/>
    <n v="597.01219999999967"/>
    <n v="0.25774810813732563"/>
    <n v="0"/>
    <n v="0"/>
  </r>
  <r>
    <s v="ORD-2024-605629"/>
    <d v="2024-07-15T00:00:00"/>
    <x v="14"/>
    <s v="Q3-2024"/>
    <d v="2024-07-15T00:00:00"/>
    <s v="Valid"/>
    <n v="0"/>
    <d v="2024-07-15T00:00:00"/>
    <x v="1"/>
    <s v="Asia → Japan → Tokyo"/>
    <s v="Japan-2024-07"/>
    <s v="Japan"/>
    <s v="Tokyo"/>
    <s v="Small Business"/>
    <s v="Marketplace"/>
    <x v="3"/>
    <s v="Accessories"/>
    <s v="ACC-2735"/>
    <n v="801.77"/>
    <n v="1218.92"/>
    <s v="Valid"/>
    <n v="1218.92"/>
    <s v="Medium"/>
    <n v="0.254"/>
    <s v="Valid"/>
    <n v="0.254"/>
    <n v="16"/>
    <n v="14549.029120000001"/>
    <n v="12828.32"/>
    <n v="1720.7091200000013"/>
    <n v="0.11826968698788344"/>
    <n v="1"/>
    <n v="1"/>
  </r>
  <r>
    <s v="ORD-2023-450877"/>
    <d v="2023-09-21T00:00:00"/>
    <x v="27"/>
    <s v="Q3-2023"/>
    <d v="2023-10-10T00:00:00"/>
    <s v="Valid"/>
    <n v="19"/>
    <d v="2023-10-10T00:00:00"/>
    <x v="1"/>
    <s v="Asia → Japan → Tokyo"/>
    <s v="Japan-2023-09"/>
    <s v="Japan"/>
    <s v="Tokyo"/>
    <s v="Education"/>
    <s v="Online"/>
    <x v="14"/>
    <s v="Components"/>
    <s v="CMP-5211"/>
    <n v="845.63"/>
    <n v="2062.12"/>
    <s v="Valid"/>
    <n v="2062.12"/>
    <s v="High"/>
    <n v="0.13400000000000001"/>
    <s v="Valid"/>
    <n v="0.13400000000000001"/>
    <n v="5"/>
    <n v="8928.9795999999988"/>
    <n v="4228.1499999999996"/>
    <n v="4700.8295999999991"/>
    <n v="0.52646884757133949"/>
    <n v="0"/>
    <n v="0"/>
  </r>
  <r>
    <s v="ORD-2023-286994"/>
    <d v="2023-02-24T00:00:00"/>
    <x v="2"/>
    <s v="Q1-2023"/>
    <d v="2023-03-09T00:00:00"/>
    <s v="Valid"/>
    <n v="13"/>
    <d v="2023-03-09T00:00:00"/>
    <x v="2"/>
    <s v="Americas → USA → New York"/>
    <s v="USA-2023-02"/>
    <s v="USA"/>
    <s v="New York"/>
    <s v="Enterprise"/>
    <s v="Online"/>
    <x v="12"/>
    <s v="Components"/>
    <s v="CMP-1632"/>
    <n v="6.85"/>
    <n v="10.18"/>
    <s v="Valid"/>
    <n v="10.18"/>
    <s v="Low"/>
    <n v="4.7E-2"/>
    <s v="Valid"/>
    <n v="4.7E-2"/>
    <n v="10"/>
    <n v="97.0154"/>
    <n v="68.5"/>
    <n v="28.5154"/>
    <n v="0.2939265312517394"/>
    <n v="0"/>
    <n v="0"/>
  </r>
  <r>
    <s v="ORD-2025-700847"/>
    <d v="2025-05-21T00:00:00"/>
    <x v="8"/>
    <s v="Q2-2025"/>
    <d v="2025-05-19T00:00:00"/>
    <s v="Invalid RequiredDate"/>
    <n v="-2"/>
    <d v="2025-06-16T00:00:00"/>
    <x v="0"/>
    <s v="Africa → South Africa → Johannesburg"/>
    <s v="South Africa-2025-05"/>
    <s v="South Africa"/>
    <s v="Johannesburg"/>
    <s v="Non-Profit"/>
    <s v="Distributor"/>
    <x v="7"/>
    <s v="Laptops"/>
    <s v="LAP-7099"/>
    <n v="1263.8399999999999"/>
    <n v="2281.7199999999998"/>
    <s v="Valid"/>
    <n v="2281.7199999999998"/>
    <s v="High"/>
    <n v="7.8E-2"/>
    <s v="Valid"/>
    <n v="7.8E-2"/>
    <n v="15"/>
    <n v="31556.187599999997"/>
    <n v="18957.599999999999"/>
    <n v="12598.587599999999"/>
    <n v="0.39924301882398494"/>
    <n v="1"/>
    <n v="0"/>
  </r>
  <r>
    <s v="ORD-2024-970848"/>
    <d v="2024-05-23T00:00:00"/>
    <x v="7"/>
    <s v="Q2-2024"/>
    <d v="2024-06-03T00:00:00"/>
    <s v="Valid"/>
    <n v="11"/>
    <d v="2024-06-03T00:00:00"/>
    <x v="0"/>
    <s v="Africa → South Africa → Johannesburg"/>
    <s v="South Africa-2024-05"/>
    <s v="South Africa"/>
    <s v="Johannesburg"/>
    <s v="Small Business"/>
    <s v="Distributor"/>
    <x v="9"/>
    <s v="Printers"/>
    <s v="PRN-3785"/>
    <n v="180.89"/>
    <n v="249.57"/>
    <s v="Valid"/>
    <n v="249.57"/>
    <s v="Low"/>
    <n v="2.1999999999999999E-2"/>
    <s v="Valid"/>
    <n v="2.1999999999999999E-2"/>
    <n v="8"/>
    <n v="1952.6356799999999"/>
    <n v="1447.12"/>
    <n v="505.51567999999997"/>
    <n v="0.25888888806948362"/>
    <n v="0"/>
    <n v="0"/>
  </r>
  <r>
    <s v="ORD-2025-845715"/>
    <d v="2025-04-14T00:00:00"/>
    <x v="19"/>
    <s v="Q2-2025"/>
    <d v="2025-05-04T00:00:00"/>
    <s v="Valid"/>
    <n v="20"/>
    <d v="2025-05-04T00:00:00"/>
    <x v="3"/>
    <s v="Europe → United Kingdom → Birmingham"/>
    <s v="United Kingdom-2025-04"/>
    <s v="United Kingdom"/>
    <s v="Birmingham"/>
    <s v="Enterprise"/>
    <s v="Marketplace"/>
    <x v="11"/>
    <s v="Monitors"/>
    <s v="MON-6962"/>
    <n v="1413.87"/>
    <n v="3275"/>
    <s v="Valid"/>
    <n v="3275"/>
    <s v="High"/>
    <n v="0.255"/>
    <s v="Valid"/>
    <n v="0.255"/>
    <n v="38"/>
    <n v="92715.25"/>
    <n v="53727.06"/>
    <n v="38988.19"/>
    <n v="0.42051539525590453"/>
    <n v="0"/>
    <n v="1"/>
  </r>
  <r>
    <s v="ORD-2023-664749"/>
    <d v="2023-08-27T00:00:00"/>
    <x v="25"/>
    <s v="Q3-2023"/>
    <d v="2023-09-11T00:00:00"/>
    <s v="Valid"/>
    <n v="15"/>
    <d v="2023-09-11T00:00:00"/>
    <x v="3"/>
    <s v="Europe → United Kingdom → London"/>
    <s v="United Kingdom-2023-08"/>
    <s v="United Kingdom"/>
    <s v="London"/>
    <s v="Consumer"/>
    <s v="Marketplace"/>
    <x v="13"/>
    <s v="Printers"/>
    <s v="PRN-5107"/>
    <n v="943.79"/>
    <n v="1913.76"/>
    <s v="Valid"/>
    <n v="1913.76"/>
    <s v="High"/>
    <n v="9.0999999999999998E-2"/>
    <s v="Valid"/>
    <n v="9.0999999999999998E-2"/>
    <n v="9"/>
    <n v="15656.47056"/>
    <n v="8494.11"/>
    <n v="7162.3605599999992"/>
    <n v="0.45746967891338081"/>
    <n v="0"/>
    <n v="0"/>
  </r>
  <r>
    <s v="ORD-2024-960952"/>
    <d v="2024-02-03T00:00:00"/>
    <x v="31"/>
    <s v="Q1-2024"/>
    <d v="2024-02-21T00:00:00"/>
    <s v="Valid"/>
    <n v="18"/>
    <d v="2024-02-21T00:00:00"/>
    <x v="3"/>
    <s v="Europe → Germany → Frankfurt"/>
    <s v="Germany-2024-02"/>
    <s v="Germany"/>
    <s v="Frankfurt"/>
    <s v="Corporate"/>
    <s v="Retail"/>
    <x v="10"/>
    <s v="Components"/>
    <s v="CMP-9264"/>
    <n v="39.229999999999997"/>
    <n v="30.09"/>
    <s v="Valid"/>
    <n v="30.09"/>
    <s v="Low"/>
    <n v="0.17699999999999999"/>
    <s v="Valid"/>
    <n v="0.17699999999999999"/>
    <n v="13"/>
    <n v="321.93290999999999"/>
    <n v="509.98999999999995"/>
    <n v="-188.05708999999996"/>
    <n v="-0.58414993981199359"/>
    <n v="0"/>
    <n v="0"/>
  </r>
  <r>
    <s v="ORD-2023-987700"/>
    <d v="2023-04-05T00:00:00"/>
    <x v="12"/>
    <s v="Q2-2023"/>
    <d v="2023-04-16T00:00:00"/>
    <s v="Valid"/>
    <n v="11"/>
    <d v="2023-04-16T00:00:00"/>
    <x v="2"/>
    <s v="Americas → Canada → Vancouver"/>
    <s v="Canada-2023-04"/>
    <s v="Canada"/>
    <s v="Vancouver"/>
    <s v="Non-Profit"/>
    <s v="Online"/>
    <x v="7"/>
    <s v="Monitors"/>
    <s v="MON-5259"/>
    <n v="213.1"/>
    <n v="501.31"/>
    <s v="Valid"/>
    <n v="501.31"/>
    <s v="Low"/>
    <n v="5.6000000000000001E-2"/>
    <s v="Valid"/>
    <n v="5.6000000000000001E-2"/>
    <n v="15"/>
    <n v="7098.5495999999994"/>
    <n v="3196.5"/>
    <n v="3902.0495999999994"/>
    <n v="0.54969674368409005"/>
    <n v="0"/>
    <n v="0"/>
  </r>
  <r>
    <s v="ORD-2025-652467"/>
    <d v="2025-08-21T00:00:00"/>
    <x v="28"/>
    <s v="Q3-2025"/>
    <d v="2025-09-12T00:00:00"/>
    <s v="Valid"/>
    <n v="22"/>
    <d v="2025-09-12T00:00:00"/>
    <x v="1"/>
    <s v="Asia → China → Shenzhen"/>
    <s v="China-2025-08"/>
    <s v="China"/>
    <s v="Shenzhen"/>
    <s v="Education"/>
    <s v="Retail"/>
    <x v="5"/>
    <s v="Printers"/>
    <s v="PRN-8137"/>
    <n v="352.66"/>
    <n v="411.18"/>
    <s v="Valid"/>
    <n v="411.18"/>
    <s v="Low"/>
    <n v="0.17299999999999999"/>
    <s v="Valid"/>
    <n v="0.17299999999999999"/>
    <n v="13"/>
    <n v="4420.5961799999995"/>
    <n v="4584.58"/>
    <n v="-163.98382000000038"/>
    <n v="-3.7095408248758066E-2"/>
    <n v="0"/>
    <n v="0"/>
  </r>
  <r>
    <s v="ORD-2025-667201"/>
    <d v="2025-09-15T00:00:00"/>
    <x v="11"/>
    <s v="Q3-2025"/>
    <d v="2025-09-18T00:00:00"/>
    <s v="Valid"/>
    <n v="3"/>
    <d v="2025-09-18T00:00:00"/>
    <x v="2"/>
    <s v="Americas → Brazil → Rio de Janeiro"/>
    <s v="Brazil-2025-09"/>
    <s v="Brazil"/>
    <s v="Rio de Janeiro"/>
    <s v="Non-Profit"/>
    <s v="Direct"/>
    <x v="4"/>
    <s v="Accessories"/>
    <s v="ACC-6777"/>
    <n v="5.5"/>
    <n v="5.92"/>
    <s v="Valid"/>
    <n v="5.92"/>
    <s v="Low"/>
    <n v="0.21199999999999999"/>
    <s v="Valid"/>
    <n v="0.21199999999999999"/>
    <n v="4"/>
    <n v="18.659839999999999"/>
    <n v="22"/>
    <n v="-3.3401600000000009"/>
    <n v="-0.17900260666758133"/>
    <n v="1"/>
    <n v="1"/>
  </r>
  <r>
    <s v="ORD-2024-237478"/>
    <d v="2024-10-03T00:00:00"/>
    <x v="1"/>
    <s v="Q4-2024"/>
    <d v="2024-10-11T00:00:00"/>
    <s v="Valid"/>
    <n v="8"/>
    <d v="2024-10-11T00:00:00"/>
    <x v="1"/>
    <s v="Asia → China → Beijing"/>
    <s v="China-2024-10"/>
    <s v="China"/>
    <s v="Beijing"/>
    <s v="Enterprise"/>
    <s v="Direct"/>
    <x v="5"/>
    <s v="Phones"/>
    <s v="PHN-7488"/>
    <n v="1132.6099999999999"/>
    <n v="2206.63"/>
    <s v="Valid"/>
    <n v="2206.63"/>
    <s v="High"/>
    <n v="6.3E-2"/>
    <s v="Valid"/>
    <n v="6.3E-2"/>
    <n v="20"/>
    <n v="41352.246200000009"/>
    <n v="22652.199999999997"/>
    <n v="18700.046200000012"/>
    <n v="0.45221355351671338"/>
    <n v="0"/>
    <n v="0"/>
  </r>
  <r>
    <s v="ORD-2025-898843"/>
    <d v="2025-02-02T00:00:00"/>
    <x v="26"/>
    <s v="Q1-2025"/>
    <d v="2025-03-04T00:00:00"/>
    <s v="Valid"/>
    <n v="30"/>
    <d v="2025-03-04T00:00:00"/>
    <x v="1"/>
    <s v="Asia → Japan → Osaka"/>
    <s v="Japan-2025-02"/>
    <s v="Japan"/>
    <s v="Osaka"/>
    <s v="Education"/>
    <s v="Distributor"/>
    <x v="4"/>
    <s v="Accessories"/>
    <s v="ACC-9591"/>
    <n v="766.59"/>
    <n v="1912.8"/>
    <s v="Valid"/>
    <n v="1912.8"/>
    <s v="High"/>
    <n v="0.19600000000000001"/>
    <s v="Valid"/>
    <n v="0.19600000000000001"/>
    <n v="5"/>
    <n v="7689.4560000000001"/>
    <n v="3832.9500000000003"/>
    <n v="3856.5059999999999"/>
    <n v="0.50153170783472845"/>
    <n v="0"/>
    <n v="0"/>
  </r>
  <r>
    <s v="ORD-2023-334213"/>
    <d v="2023-08-19T00:00:00"/>
    <x v="25"/>
    <s v="Q3-2023"/>
    <d v="2023-08-23T00:00:00"/>
    <s v="Valid"/>
    <n v="4"/>
    <d v="2023-08-23T00:00:00"/>
    <x v="0"/>
    <s v="Africa → Nigeria → Abuja"/>
    <s v="Nigeria-2023-08"/>
    <s v="Nigeria"/>
    <s v="Abuja"/>
    <s v="Small Business"/>
    <s v="Online"/>
    <x v="1"/>
    <s v="Monitors"/>
    <s v="MON-5517"/>
    <n v="790.63"/>
    <n v="1382.31"/>
    <s v="Valid"/>
    <n v="1382.31"/>
    <s v="Medium"/>
    <n v="0.10100000000000001"/>
    <s v="Valid"/>
    <n v="0.10100000000000001"/>
    <n v="7"/>
    <n v="8698.8768300000011"/>
    <n v="5534.41"/>
    <n v="3164.4668300000012"/>
    <n v="0.36377878338116448"/>
    <n v="1"/>
    <n v="0"/>
  </r>
  <r>
    <s v="ORD-2024-640340"/>
    <d v="2024-10-22T00:00:00"/>
    <x v="1"/>
    <s v="Q4-2024"/>
    <d v="2024-10-29T00:00:00"/>
    <s v="Valid"/>
    <n v="7"/>
    <d v="2024-10-29T00:00:00"/>
    <x v="0"/>
    <s v="Africa → Nigeria → Port Harcourt"/>
    <s v="Nigeria-2024-10"/>
    <s v="Nigeria"/>
    <s v="Port Harcourt"/>
    <s v="Enterprise"/>
    <s v="Distributor"/>
    <x v="12"/>
    <s v="Monitors"/>
    <s v="MON-8758"/>
    <n v="1023.06"/>
    <n v="1355.61"/>
    <s v="Valid"/>
    <n v="1355.61"/>
    <s v="Medium"/>
    <n v="0.153"/>
    <s v="Valid"/>
    <n v="0.153"/>
    <n v="23"/>
    <n v="26408.63841"/>
    <n v="23530.379999999997"/>
    <n v="2878.2584100000022"/>
    <n v="0.10898927711888809"/>
    <n v="1"/>
    <n v="0"/>
  </r>
  <r>
    <s v="ORD-2023-399631"/>
    <d v="2023-06-22T00:00:00"/>
    <x v="23"/>
    <s v="Q2-2023"/>
    <d v="2023-07-21T00:00:00"/>
    <s v="Valid"/>
    <n v="29"/>
    <d v="2023-07-21T00:00:00"/>
    <x v="3"/>
    <s v="Europe → France → Lyon"/>
    <s v="France-2023-06"/>
    <s v="France"/>
    <s v="Lyon"/>
    <s v="Corporate"/>
    <s v="Retail"/>
    <x v="1"/>
    <s v="Accessories"/>
    <s v="ACC-3385"/>
    <n v="734.34"/>
    <n v="887.9"/>
    <s v="Valid"/>
    <n v="887.9"/>
    <s v="Medium"/>
    <n v="2.5000000000000001E-2"/>
    <s v="Valid"/>
    <n v="2.5000000000000001E-2"/>
    <n v="12"/>
    <n v="10388.429999999998"/>
    <n v="8812.08"/>
    <n v="1576.3499999999985"/>
    <n v="0.15174092716608753"/>
    <n v="0"/>
    <n v="0"/>
  </r>
  <r>
    <s v="ORD-2025-542939"/>
    <d v="2025-01-13T00:00:00"/>
    <x v="10"/>
    <s v="Q1-2025"/>
    <d v="2025-02-08T00:00:00"/>
    <s v="Valid"/>
    <n v="26"/>
    <d v="2025-02-08T00:00:00"/>
    <x v="3"/>
    <s v="Europe → France → Paris"/>
    <s v="France-2025-01"/>
    <s v="France"/>
    <s v="Paris"/>
    <s v="Non-Profit"/>
    <s v="Unknown"/>
    <x v="6"/>
    <s v="Monitors"/>
    <s v="MON-1593"/>
    <n v="594.74"/>
    <n v="1020.69"/>
    <s v="Valid"/>
    <n v="1020.69"/>
    <s v="Medium"/>
    <n v="0.21099999999999999"/>
    <s v="Valid"/>
    <n v="0.21099999999999999"/>
    <n v="6"/>
    <n v="4831.9464600000001"/>
    <n v="3568.44"/>
    <n v="1263.5064600000001"/>
    <n v="0.26149016146176424"/>
    <n v="0"/>
    <n v="1"/>
  </r>
  <r>
    <s v="ORD-2023-521818"/>
    <d v="2023-01-29T00:00:00"/>
    <x v="5"/>
    <s v="Q1-2023"/>
    <d v="2023-02-28T00:00:00"/>
    <s v="Valid"/>
    <n v="30"/>
    <d v="2023-02-28T00:00:00"/>
    <x v="1"/>
    <s v="Asia → India → Bengaluru"/>
    <s v="India-2023-01"/>
    <s v="India"/>
    <s v="Bengaluru"/>
    <s v="Non-Profit"/>
    <s v="Retail"/>
    <x v="5"/>
    <s v="Accessories"/>
    <s v="ACC-4631"/>
    <n v="1262.0999999999999"/>
    <n v="1395.53"/>
    <s v="Valid"/>
    <n v="1395.53"/>
    <s v="Medium"/>
    <n v="0.23300000000000001"/>
    <s v="Valid"/>
    <n v="0.23300000000000001"/>
    <n v="25"/>
    <n v="26759.28775"/>
    <n v="31552.499999999996"/>
    <n v="-4793.2122499999969"/>
    <n v="-0.17912331205452198"/>
    <n v="0"/>
    <n v="1"/>
  </r>
  <r>
    <s v="ORD-2023-825836"/>
    <d v="2023-07-19T00:00:00"/>
    <x v="24"/>
    <s v="Q3-2023"/>
    <d v="2023-07-31T00:00:00"/>
    <s v="Valid"/>
    <n v="12"/>
    <d v="2023-07-31T00:00:00"/>
    <x v="2"/>
    <s v="Americas → Brazil → Rio de Janeiro"/>
    <s v="Brazil-2023-07"/>
    <s v="Brazil"/>
    <s v="Rio de Janeiro"/>
    <s v="Corporate"/>
    <s v="Retail"/>
    <x v="0"/>
    <s v="Monitors"/>
    <s v="MON-7869"/>
    <n v="1334.64"/>
    <n v="2273.42"/>
    <s v="Valid"/>
    <n v="2273.42"/>
    <s v="High"/>
    <n v="0.11799999999999999"/>
    <s v="Valid"/>
    <n v="0.11799999999999999"/>
    <n v="14"/>
    <n v="28072.190160000002"/>
    <n v="18684.960000000003"/>
    <n v="9387.2301599999992"/>
    <n v="0.33439607335575267"/>
    <n v="0"/>
    <n v="0"/>
  </r>
  <r>
    <s v="ORD-2024-503082"/>
    <d v="2024-05-19T00:00:00"/>
    <x v="7"/>
    <s v="Q2-2024"/>
    <d v="2024-06-08T00:00:00"/>
    <s v="Valid"/>
    <n v="20"/>
    <d v="2024-06-08T00:00:00"/>
    <x v="2"/>
    <s v="Americas → Brazil → Brasília"/>
    <s v="Brazil-2024-05"/>
    <s v="Brazil"/>
    <s v="Brasília"/>
    <s v="Small Business"/>
    <s v="Retail"/>
    <x v="6"/>
    <s v="Monitors"/>
    <s v="MON-4271"/>
    <n v="1075.9000000000001"/>
    <n v="1242.1500000000001"/>
    <s v="Valid"/>
    <n v="1242.1500000000001"/>
    <s v="Medium"/>
    <n v="1.2E-2"/>
    <s v="Valid"/>
    <n v="1.2E-2"/>
    <n v="7"/>
    <n v="8590.7094000000016"/>
    <n v="7531.3000000000011"/>
    <n v="1059.4094000000005"/>
    <n v="0.12332036280961853"/>
    <n v="0"/>
    <n v="0"/>
  </r>
  <r>
    <s v="ORD-2024-760799"/>
    <d v="2024-02-03T00:00:00"/>
    <x v="31"/>
    <s v="Q1-2024"/>
    <d v="2024-02-19T00:00:00"/>
    <s v="Valid"/>
    <n v="16"/>
    <d v="2024-02-19T00:00:00"/>
    <x v="1"/>
    <s v="Asia → China → Shenzhen"/>
    <s v="China-2024-02"/>
    <s v="China"/>
    <s v="Shenzhen"/>
    <s v="Small Business"/>
    <s v="Online"/>
    <x v="10"/>
    <s v="Laptops"/>
    <s v="LAP-5531"/>
    <n v="993.75"/>
    <n v="1310.29"/>
    <s v="Valid"/>
    <n v="1310.29"/>
    <s v="Medium"/>
    <n v="0.215"/>
    <s v="Valid"/>
    <n v="0.215"/>
    <n v="19"/>
    <n v="19542.975350000001"/>
    <n v="18881.25"/>
    <n v="661.72535000000062"/>
    <n v="3.3860010471742245E-2"/>
    <n v="0"/>
    <n v="1"/>
  </r>
  <r>
    <s v="ORD-2023-197661"/>
    <d v="2023-08-08T00:00:00"/>
    <x v="25"/>
    <s v="Q3-2023"/>
    <d v="2023-08-22T00:00:00"/>
    <s v="Valid"/>
    <n v="14"/>
    <d v="2023-08-22T00:00:00"/>
    <x v="3"/>
    <s v="Europe → United Kingdom → Birmingham"/>
    <s v="United Kingdom-2023-08"/>
    <s v="United Kingdom"/>
    <s v="Birmingham"/>
    <s v="Non-Profit"/>
    <s v="Direct"/>
    <x v="13"/>
    <s v="Monitors"/>
    <s v="MON-7511"/>
    <n v="446.69"/>
    <n v="967.25"/>
    <s v="Valid"/>
    <n v="967.25"/>
    <s v="Medium"/>
    <n v="9.4E-2"/>
    <s v="Valid"/>
    <n v="9.4E-2"/>
    <n v="10"/>
    <n v="8763.2849999999999"/>
    <n v="4466.8999999999996"/>
    <n v="4296.3850000000002"/>
    <n v="0.49027105702941309"/>
    <n v="0"/>
    <n v="0"/>
  </r>
  <r>
    <s v="ORD-2024-212990"/>
    <d v="2024-08-12T00:00:00"/>
    <x v="21"/>
    <s v="Q3-2024"/>
    <d v="2024-09-03T00:00:00"/>
    <s v="Valid"/>
    <n v="22"/>
    <d v="2024-09-03T00:00:00"/>
    <x v="2"/>
    <s v="Americas → USA → Austin"/>
    <s v="USA-2024-08"/>
    <s v="USA"/>
    <s v="Austin"/>
    <s v="Consumer"/>
    <s v="Distributor"/>
    <x v="2"/>
    <s v="Laptops"/>
    <s v="LAP-7979"/>
    <n v="797.8"/>
    <n v="886.22"/>
    <s v="Valid"/>
    <n v="886.22"/>
    <s v="Medium"/>
    <n v="0.23599999999999999"/>
    <s v="Valid"/>
    <n v="0.23599999999999999"/>
    <n v="36"/>
    <n v="24374.594880000001"/>
    <n v="28720.799999999999"/>
    <n v="-4346.2051199999987"/>
    <n v="-0.17830881462428633"/>
    <n v="0"/>
    <n v="1"/>
  </r>
  <r>
    <s v="ORD-2023-925146"/>
    <d v="2023-10-15T00:00:00"/>
    <x v="32"/>
    <s v="Q4-2023"/>
    <d v="2023-11-13T00:00:00"/>
    <s v="Valid"/>
    <n v="29"/>
    <d v="2023-11-13T00:00:00"/>
    <x v="1"/>
    <s v="Asia → China → Shenzhen"/>
    <s v="China-2023-10"/>
    <s v="China"/>
    <s v="Shenzhen"/>
    <s v="Non-Profit"/>
    <s v="Distributor"/>
    <x v="1"/>
    <s v="Printers"/>
    <s v="PRN-4983"/>
    <n v="986.44"/>
    <n v="790.61"/>
    <s v="Valid"/>
    <n v="790.61"/>
    <s v="Medium"/>
    <n v="7.1999999999999995E-2"/>
    <s v="Valid"/>
    <n v="7.1999999999999995E-2"/>
    <n v="6"/>
    <n v="4402.1164799999997"/>
    <n v="5918.64"/>
    <n v="-1516.5235200000006"/>
    <n v="-0.34449872621271499"/>
    <n v="0"/>
    <n v="0"/>
  </r>
  <r>
    <s v="ORD-2023-177794"/>
    <d v="2023-05-04T00:00:00"/>
    <x v="15"/>
    <s v="Q2-2023"/>
    <d v="2023-05-26T00:00:00"/>
    <s v="Valid"/>
    <n v="22"/>
    <d v="2023-05-26T00:00:00"/>
    <x v="2"/>
    <s v="Americas → USA → San Francisco"/>
    <s v="USA-2023-05"/>
    <s v="USA"/>
    <s v="San Francisco"/>
    <s v="Enterprise"/>
    <s v="Online"/>
    <x v="1"/>
    <s v="Networking"/>
    <s v="NET-5941"/>
    <n v="249.71"/>
    <n v="361.33"/>
    <s v="Valid"/>
    <n v="361.33"/>
    <s v="Low"/>
    <n v="9.4E-2"/>
    <s v="Valid"/>
    <n v="9.4E-2"/>
    <n v="12"/>
    <n v="3928.3797600000003"/>
    <n v="2996.52"/>
    <n v="931.85976000000028"/>
    <n v="0.23721223937881206"/>
    <n v="0"/>
    <n v="0"/>
  </r>
  <r>
    <s v="ORD-2024-444710"/>
    <d v="2024-09-22T00:00:00"/>
    <x v="29"/>
    <s v="Q3-2024"/>
    <d v="2024-10-01T00:00:00"/>
    <s v="Valid"/>
    <n v="9"/>
    <d v="2024-10-01T00:00:00"/>
    <x v="2"/>
    <s v="Americas → Brazil → São Paulo"/>
    <s v="Brazil-2024-09"/>
    <s v="Brazil"/>
    <s v="São Paulo"/>
    <s v="Non-Profit"/>
    <s v="Online"/>
    <x v="11"/>
    <s v="Monitors"/>
    <s v="MON-6341"/>
    <n v="1378.8"/>
    <n v="1952.04"/>
    <s v="Valid"/>
    <n v="1952.04"/>
    <s v="High"/>
    <n v="0.159"/>
    <s v="Valid"/>
    <n v="0.159"/>
    <n v="19"/>
    <n v="31191.64716"/>
    <n v="26197.200000000001"/>
    <n v="4994.4471599999997"/>
    <n v="0.16012130216723058"/>
    <n v="0"/>
    <n v="0"/>
  </r>
  <r>
    <s v="ORD-2024-668926"/>
    <d v="2024-10-23T00:00:00"/>
    <x v="1"/>
    <s v="Q4-2024"/>
    <d v="2024-11-14T00:00:00"/>
    <s v="Valid"/>
    <n v="22"/>
    <d v="2024-11-14T00:00:00"/>
    <x v="1"/>
    <s v="Asia → Japan → Osaka"/>
    <s v="Japan-2024-10"/>
    <s v="Japan"/>
    <s v="Osaka"/>
    <s v="Non-Profit"/>
    <s v="Direct"/>
    <x v="5"/>
    <s v="Phones"/>
    <s v="PHN-9789"/>
    <n v="1406.4"/>
    <n v="1564.76"/>
    <s v="Valid"/>
    <n v="1564.76"/>
    <s v="Medium"/>
    <n v="0.185"/>
    <s v="Valid"/>
    <n v="0.185"/>
    <n v="17"/>
    <n v="21679.749799999998"/>
    <n v="23908.800000000003"/>
    <n v="-2229.0502000000051"/>
    <n v="-0.10281715520536151"/>
    <n v="0"/>
    <n v="0"/>
  </r>
  <r>
    <s v="ORD-2024-968374"/>
    <d v="2024-02-11T00:00:00"/>
    <x v="31"/>
    <s v="Q1-2024"/>
    <d v="2024-03-03T00:00:00"/>
    <s v="Valid"/>
    <n v="21"/>
    <d v="2024-03-03T00:00:00"/>
    <x v="0"/>
    <s v="Africa → Kenya → Kisumu"/>
    <s v="Kenya-2024-02"/>
    <s v="Kenya"/>
    <s v="Kisumu"/>
    <s v="Enterprise"/>
    <s v="Online"/>
    <x v="5"/>
    <s v="Phones"/>
    <s v="PHN-5082"/>
    <n v="516.86"/>
    <n v="852.54"/>
    <s v="Valid"/>
    <n v="852.54"/>
    <s v="Medium"/>
    <n v="5.0999999999999997E-2"/>
    <s v="Valid"/>
    <n v="5.0999999999999997E-2"/>
    <n v="14"/>
    <n v="11326.846439999999"/>
    <n v="7236.04"/>
    <n v="4090.8064399999994"/>
    <n v="0.36116022775355994"/>
    <n v="0"/>
    <n v="0"/>
  </r>
  <r>
    <s v="ORD-2023-575584"/>
    <d v="2023-01-30T00:00:00"/>
    <x v="5"/>
    <s v="Q1-2023"/>
    <d v="2023-02-21T00:00:00"/>
    <s v="Valid"/>
    <n v="22"/>
    <d v="2023-02-21T00:00:00"/>
    <x v="3"/>
    <s v="Europe → Germany → Munich"/>
    <s v="Germany-2023-01"/>
    <s v="Germany"/>
    <s v="Munich"/>
    <s v="Small Business"/>
    <s v="Marketplace"/>
    <x v="3"/>
    <s v="Networking"/>
    <s v="NET-3460"/>
    <n v="1142.8800000000001"/>
    <n v="1465.29"/>
    <s v="Valid"/>
    <n v="1465.29"/>
    <s v="Medium"/>
    <n v="0.186"/>
    <s v="Valid"/>
    <n v="0.186"/>
    <n v="7"/>
    <n v="8349.2224200000001"/>
    <n v="8000.1600000000008"/>
    <n v="349.06241999999929"/>
    <n v="4.1807775915017401E-2"/>
    <n v="0"/>
    <n v="0"/>
  </r>
  <r>
    <s v="ORD-2023-701153"/>
    <d v="2023-04-14T00:00:00"/>
    <x v="12"/>
    <s v="Q2-2023"/>
    <d v="2023-05-13T00:00:00"/>
    <s v="Valid"/>
    <n v="29"/>
    <d v="2023-05-13T00:00:00"/>
    <x v="3"/>
    <s v="Europe → Germany → Frankfurt"/>
    <s v="Germany-2023-04"/>
    <s v="Germany"/>
    <s v="Frankfurt"/>
    <s v="Consumer"/>
    <s v="Direct"/>
    <x v="1"/>
    <s v="Printers"/>
    <s v="PRN-7019"/>
    <n v="1320.33"/>
    <n v="2645.23"/>
    <s v="Valid"/>
    <n v="2645.23"/>
    <s v="High"/>
    <n v="0.155"/>
    <s v="Valid"/>
    <n v="0.155"/>
    <n v="25"/>
    <n v="55880.483749999999"/>
    <n v="33008.25"/>
    <n v="22872.233749999999"/>
    <n v="0.40930629470436536"/>
    <n v="0"/>
    <n v="0"/>
  </r>
  <r>
    <s v="ORD-2023-382017"/>
    <d v="2023-01-13T00:00:00"/>
    <x v="5"/>
    <s v="Q1-2023"/>
    <d v="2023-01-19T00:00:00"/>
    <s v="Valid"/>
    <n v="6"/>
    <d v="2023-01-19T00:00:00"/>
    <x v="2"/>
    <s v="Americas → USA → Chicago"/>
    <s v="USA-2023-01"/>
    <s v="USA"/>
    <s v="Chicago"/>
    <s v="Corporate"/>
    <s v="Direct"/>
    <x v="10"/>
    <s v="Phones"/>
    <s v="PHN-3159"/>
    <n v="833.57"/>
    <n v="881.57"/>
    <s v="Valid"/>
    <n v="881.57"/>
    <s v="Medium"/>
    <n v="5.7000000000000002E-2"/>
    <s v="Valid"/>
    <n v="5.7000000000000002E-2"/>
    <n v="18"/>
    <n v="14963.769179999999"/>
    <n v="15004.26"/>
    <n v="-40.490820000000895"/>
    <n v="-2.7059238560107821E-3"/>
    <n v="1"/>
    <n v="0"/>
  </r>
  <r>
    <s v="ORD-2024-999607"/>
    <d v="2024-01-12T00:00:00"/>
    <x v="9"/>
    <s v="Q1-2024"/>
    <d v="2024-01-29T00:00:00"/>
    <s v="Valid"/>
    <n v="17"/>
    <d v="2024-01-29T00:00:00"/>
    <x v="2"/>
    <s v="Americas → USA → Chicago"/>
    <s v="USA-2024-01"/>
    <s v="USA"/>
    <s v="Chicago"/>
    <s v="Education"/>
    <s v="Distributor"/>
    <x v="8"/>
    <s v="Printers"/>
    <s v="PRN-8604"/>
    <n v="493.76"/>
    <n v="625.04"/>
    <s v="Valid"/>
    <n v="625.04"/>
    <s v="Medium"/>
    <n v="0.25800000000000001"/>
    <s v="Valid"/>
    <n v="0.25800000000000001"/>
    <n v="10"/>
    <n v="4637.7968000000001"/>
    <n v="4937.6000000000004"/>
    <n v="-299.80320000000029"/>
    <n v="-6.464345311549663E-2"/>
    <n v="0"/>
    <n v="1"/>
  </r>
  <r>
    <s v="ORD-2023-133848"/>
    <d v="2023-08-15T00:00:00"/>
    <x v="25"/>
    <s v="Q3-2023"/>
    <d v="2023-09-07T00:00:00"/>
    <s v="Valid"/>
    <n v="23"/>
    <d v="2023-09-07T00:00:00"/>
    <x v="2"/>
    <s v="Americas → USA → New York"/>
    <s v="USA-2023-08"/>
    <s v="USA"/>
    <s v="New York"/>
    <s v="Enterprise"/>
    <s v="Online"/>
    <x v="11"/>
    <s v="Phones"/>
    <s v="PHN-2013"/>
    <n v="590.33000000000004"/>
    <n v="973.04"/>
    <s v="Valid"/>
    <n v="973.04"/>
    <s v="Medium"/>
    <n v="0"/>
    <s v="Valid"/>
    <n v="0"/>
    <n v="26"/>
    <n v="25299.040000000001"/>
    <n v="15348.580000000002"/>
    <n v="9950.4599999999991"/>
    <n v="0.39331373838691108"/>
    <n v="0"/>
    <n v="0"/>
  </r>
  <r>
    <s v="ORD-2023-586275"/>
    <d v="2023-01-20T00:00:00"/>
    <x v="5"/>
    <s v="Q1-2023"/>
    <d v="2023-02-03T00:00:00"/>
    <s v="Valid"/>
    <n v="14"/>
    <d v="2023-02-03T00:00:00"/>
    <x v="0"/>
    <s v="Africa → Kenya → Kisumu"/>
    <s v="Kenya-2023-01"/>
    <s v="Kenya"/>
    <s v="Kisumu"/>
    <s v="Corporate"/>
    <s v="Retail"/>
    <x v="12"/>
    <s v="Networking"/>
    <s v="NET-6036"/>
    <n v="884.36"/>
    <n v="1545.34"/>
    <s v="Valid"/>
    <n v="1545.34"/>
    <s v="Medium"/>
    <n v="0.24299999999999999"/>
    <s v="Valid"/>
    <n v="0.24299999999999999"/>
    <n v="41"/>
    <n v="47962.717579999997"/>
    <n v="36258.76"/>
    <n v="11703.957579999995"/>
    <n v="0.24402198562827965"/>
    <n v="0"/>
    <n v="1"/>
  </r>
  <r>
    <s v="ORD-2025-964661"/>
    <d v="2025-02-04T00:00:00"/>
    <x v="26"/>
    <s v="Q1-2025"/>
    <d v="2025-02-25T00:00:00"/>
    <s v="Valid"/>
    <n v="21"/>
    <d v="2025-02-25T00:00:00"/>
    <x v="3"/>
    <s v="Europe → United Kingdom → Birmingham"/>
    <s v="United Kingdom-2025-02"/>
    <s v="United Kingdom"/>
    <s v="Birmingham"/>
    <s v="Corporate"/>
    <s v="Marketplace"/>
    <x v="14"/>
    <s v="Monitors"/>
    <s v="MON-4959"/>
    <n v="1016.32"/>
    <n v="2253.42"/>
    <s v="Valid"/>
    <n v="2253.42"/>
    <s v="High"/>
    <n v="5.5E-2"/>
    <s v="Valid"/>
    <n v="5.5E-2"/>
    <n v="12"/>
    <n v="25553.782800000001"/>
    <n v="12195.84"/>
    <n v="13357.942800000001"/>
    <n v="0.52273837124419797"/>
    <n v="0"/>
    <n v="0"/>
  </r>
  <r>
    <s v="ORD-2023-390998"/>
    <d v="2023-04-19T00:00:00"/>
    <x v="12"/>
    <s v="Q2-2023"/>
    <d v="2023-04-28T00:00:00"/>
    <s v="Valid"/>
    <n v="9"/>
    <d v="2023-04-28T00:00:00"/>
    <x v="3"/>
    <s v="Europe → Germany → Berlin"/>
    <s v="Germany-2023-04"/>
    <s v="Germany"/>
    <s v="Berlin"/>
    <s v="Education"/>
    <s v="Online"/>
    <x v="6"/>
    <s v="Monitors"/>
    <s v="MON-1663"/>
    <n v="1178.42"/>
    <n v="2446.56"/>
    <s v="Valid"/>
    <n v="2446.56"/>
    <s v="High"/>
    <n v="2.9000000000000001E-2"/>
    <s v="Valid"/>
    <n v="2.9000000000000001E-2"/>
    <n v="11"/>
    <n v="26131.70736"/>
    <n v="12962.62"/>
    <n v="13169.08736"/>
    <n v="0.5039505141618883"/>
    <n v="0"/>
    <n v="0"/>
  </r>
  <r>
    <s v="ORD-2023-920483"/>
    <d v="2023-07-02T00:00:00"/>
    <x v="24"/>
    <s v="Q3-2023"/>
    <d v="2023-08-01T00:00:00"/>
    <s v="Valid"/>
    <n v="30"/>
    <d v="2023-08-01T00:00:00"/>
    <x v="3"/>
    <s v="Europe → United Kingdom → Birmingham"/>
    <s v="United Kingdom-2023-07"/>
    <s v="United Kingdom"/>
    <s v="Birmingham"/>
    <s v="Small Business"/>
    <s v="Retail"/>
    <x v="5"/>
    <s v="Components"/>
    <s v="CMP-7256"/>
    <n v="137.46"/>
    <n v="188.3"/>
    <s v="Valid"/>
    <n v="188.3"/>
    <s v="Low"/>
    <n v="3.7999999999999999E-2"/>
    <s v="Valid"/>
    <n v="3.7999999999999999E-2"/>
    <n v="37"/>
    <n v="6702.3501999999999"/>
    <n v="5086.0200000000004"/>
    <n v="1616.3301999999994"/>
    <n v="0.24115872071262398"/>
    <n v="0"/>
    <n v="0"/>
  </r>
  <r>
    <s v="ORD-2025-146850"/>
    <d v="2025-01-21T00:00:00"/>
    <x v="10"/>
    <s v="Q1-2025"/>
    <d v="2025-02-14T00:00:00"/>
    <s v="Valid"/>
    <n v="24"/>
    <d v="2025-02-14T00:00:00"/>
    <x v="0"/>
    <s v="Africa → Kenya → Nairobi"/>
    <s v="Kenya-2025-01"/>
    <s v="Kenya"/>
    <s v="Nairobi"/>
    <s v="Small Business"/>
    <s v="Retail"/>
    <x v="1"/>
    <s v="Accessories"/>
    <s v="ACC-1659"/>
    <n v="1030.44"/>
    <n v="2562.84"/>
    <s v="Valid"/>
    <n v="2562.84"/>
    <s v="High"/>
    <n v="0.14799999999999999"/>
    <s v="Valid"/>
    <n v="0.14799999999999999"/>
    <n v="13"/>
    <n v="28386.015839999996"/>
    <n v="13395.720000000001"/>
    <n v="14990.295839999995"/>
    <n v="0.52808734852027039"/>
    <n v="0"/>
    <n v="0"/>
  </r>
  <r>
    <s v="ORD-2024-687100"/>
    <d v="2024-09-10T00:00:00"/>
    <x v="29"/>
    <s v="Q3-2024"/>
    <d v="2024-10-07T00:00:00"/>
    <s v="Valid"/>
    <n v="27"/>
    <d v="2024-10-07T00:00:00"/>
    <x v="0"/>
    <s v="Africa → Kenya → Kisumu"/>
    <s v="Kenya-2024-09"/>
    <s v="Kenya"/>
    <s v="Kisumu"/>
    <s v="Consumer"/>
    <s v="Retail"/>
    <x v="4"/>
    <s v="Printers"/>
    <s v="PRN-6068"/>
    <n v="1248.3900000000001"/>
    <n v="1805.11"/>
    <s v="Valid"/>
    <n v="1805.11"/>
    <s v="Medium"/>
    <n v="0.20300000000000001"/>
    <s v="Valid"/>
    <n v="0.20300000000000001"/>
    <n v="11"/>
    <n v="15825.399369999997"/>
    <n v="13732.29"/>
    <n v="2093.1093699999965"/>
    <n v="0.13226265707820786"/>
    <n v="0"/>
    <n v="1"/>
  </r>
  <r>
    <s v="ORD-2025-629393"/>
    <d v="2025-07-21T00:00:00"/>
    <x v="13"/>
    <s v="Q3-2025"/>
    <d v="2025-08-07T00:00:00"/>
    <s v="Valid"/>
    <n v="17"/>
    <d v="2025-08-07T00:00:00"/>
    <x v="0"/>
    <s v="Africa → Nigeria → Lagos"/>
    <s v="Nigeria-2025-07"/>
    <s v="Nigeria"/>
    <s v="Lagos"/>
    <s v="Enterprise"/>
    <s v="Direct"/>
    <x v="12"/>
    <s v="Accessories"/>
    <s v="ACC-8999"/>
    <n v="1204.95"/>
    <n v="2065.73"/>
    <s v="Valid"/>
    <n v="2065.73"/>
    <s v="High"/>
    <n v="0.13600000000000001"/>
    <s v="Valid"/>
    <n v="0.13600000000000001"/>
    <n v="10"/>
    <n v="17847.907199999998"/>
    <n v="12049.5"/>
    <n v="5798.4071999999978"/>
    <n v="0.32487882949100039"/>
    <n v="0"/>
    <n v="0"/>
  </r>
  <r>
    <s v="ORD-2024-686712"/>
    <d v="2024-10-02T00:00:00"/>
    <x v="1"/>
    <s v="Q4-2024"/>
    <d v="2024-10-23T00:00:00"/>
    <s v="Valid"/>
    <n v="21"/>
    <d v="2024-10-23T00:00:00"/>
    <x v="0"/>
    <s v="Africa → South Africa → Durban"/>
    <s v="South Africa-2024-10"/>
    <s v="South Africa"/>
    <s v="Durban"/>
    <s v="Corporate"/>
    <s v="Marketplace"/>
    <x v="8"/>
    <s v="Components"/>
    <s v="CMP-3978"/>
    <n v="1095.6099999999999"/>
    <n v="2366.5100000000002"/>
    <s v="Valid"/>
    <n v="2366.5100000000002"/>
    <s v="High"/>
    <n v="0.152"/>
    <s v="Valid"/>
    <n v="0.152"/>
    <n v="9"/>
    <n v="18061.204320000004"/>
    <n v="9860.49"/>
    <n v="8200.7143200000046"/>
    <n v="0.4540513564158607"/>
    <n v="0"/>
    <n v="0"/>
  </r>
  <r>
    <s v="ORD-2025-586799"/>
    <d v="2025-07-14T00:00:00"/>
    <x v="13"/>
    <s v="Q3-2025"/>
    <d v="2025-08-04T00:00:00"/>
    <s v="Valid"/>
    <n v="21"/>
    <d v="2025-08-04T00:00:00"/>
    <x v="2"/>
    <s v="Americas → Canada → Montreal"/>
    <s v="Canada-2025-07"/>
    <s v="Canada"/>
    <s v="Montreal"/>
    <s v="Consumer"/>
    <s v="Online"/>
    <x v="10"/>
    <s v="Monitors"/>
    <s v="MON-7868"/>
    <n v="90.3"/>
    <n v="131.76"/>
    <s v="Valid"/>
    <n v="131.76"/>
    <s v="Low"/>
    <n v="0.10199999999999999"/>
    <s v="Valid"/>
    <n v="0.10199999999999999"/>
    <n v="15"/>
    <n v="1774.8072"/>
    <n v="1354.5"/>
    <n v="420.30719999999997"/>
    <n v="0.23681851189244668"/>
    <n v="0"/>
    <n v="0"/>
  </r>
  <r>
    <s v="ORD-2024-988736"/>
    <d v="2024-09-09T00:00:00"/>
    <x v="29"/>
    <s v="Q3-2024"/>
    <d v="2024-10-01T00:00:00"/>
    <s v="Valid"/>
    <n v="22"/>
    <d v="2024-10-01T00:00:00"/>
    <x v="1"/>
    <s v="Asia → China → Shenzhen"/>
    <s v="China-2024-09"/>
    <s v="China"/>
    <s v="Shenzhen"/>
    <s v="Consumer"/>
    <s v="Direct"/>
    <x v="4"/>
    <s v="Printers"/>
    <s v="PRN-3014"/>
    <n v="1166.18"/>
    <n v="1335.02"/>
    <s v="Valid"/>
    <n v="1335.02"/>
    <s v="Medium"/>
    <n v="0.128"/>
    <s v="Valid"/>
    <n v="0.128"/>
    <n v="6"/>
    <n v="6984.8246399999998"/>
    <n v="6997.08"/>
    <n v="-12.25536000000011"/>
    <n v="-1.7545694604582242E-3"/>
    <n v="0"/>
    <n v="0"/>
  </r>
  <r>
    <s v="ORD-2025-564184"/>
    <d v="2025-01-29T00:00:00"/>
    <x v="10"/>
    <s v="Q1-2025"/>
    <d v="2025-02-06T00:00:00"/>
    <s v="Valid"/>
    <n v="8"/>
    <d v="2025-02-06T00:00:00"/>
    <x v="0"/>
    <s v="Africa → Kenya → Kisumu"/>
    <s v="Kenya-2025-01"/>
    <s v="Kenya"/>
    <s v="Kisumu"/>
    <s v="Education"/>
    <s v="Retail"/>
    <x v="5"/>
    <s v="Phones"/>
    <s v="PHN-1671"/>
    <n v="1445.27"/>
    <n v="2691.45"/>
    <s v="Valid"/>
    <n v="2691.45"/>
    <s v="High"/>
    <n v="0"/>
    <s v="Valid"/>
    <n v="0"/>
    <n v="9"/>
    <n v="24223.05"/>
    <n v="13007.43"/>
    <n v="11215.619999999999"/>
    <n v="0.46301436028906351"/>
    <n v="0"/>
    <n v="0"/>
  </r>
  <r>
    <s v="ORD-2023-653343"/>
    <d v="2023-11-10T00:00:00"/>
    <x v="30"/>
    <s v="Q4-2023"/>
    <d v="2023-11-28T00:00:00"/>
    <s v="Valid"/>
    <n v="18"/>
    <d v="2023-11-28T00:00:00"/>
    <x v="2"/>
    <s v="Americas → Brazil → Brasília"/>
    <s v="Brazil-2023-11"/>
    <s v="Brazil"/>
    <s v="Brasília"/>
    <s v="Education"/>
    <s v="Marketplace"/>
    <x v="4"/>
    <s v="Accessories"/>
    <s v="ACC-5260"/>
    <n v="388.51"/>
    <n v="776.46"/>
    <s v="Valid"/>
    <n v="776.46"/>
    <s v="Medium"/>
    <n v="0.157"/>
    <s v="Valid"/>
    <n v="0.157"/>
    <n v="12"/>
    <n v="7854.6693599999999"/>
    <n v="4662.12"/>
    <n v="3192.54936"/>
    <n v="0.40645241876864946"/>
    <n v="0"/>
    <n v="0"/>
  </r>
  <r>
    <s v="ORD-2024-197852"/>
    <d v="2024-02-29T00:00:00"/>
    <x v="31"/>
    <s v="Q1-2024"/>
    <d v="2024-03-30T00:00:00"/>
    <s v="Valid"/>
    <n v="30"/>
    <d v="2024-03-30T00:00:00"/>
    <x v="1"/>
    <s v="Asia → Japan → Nagoya"/>
    <s v="Japan-2024-02"/>
    <s v="Japan"/>
    <s v="Nagoya"/>
    <s v="Small Business"/>
    <s v="Direct"/>
    <x v="2"/>
    <s v="Networking"/>
    <s v="NET-7588"/>
    <n v="231.11"/>
    <n v="318.17"/>
    <s v="Valid"/>
    <n v="318.17"/>
    <s v="Low"/>
    <n v="0.20100000000000001"/>
    <s v="Valid"/>
    <n v="0.20100000000000001"/>
    <n v="60"/>
    <n v="15253.069799999999"/>
    <n v="13866.6"/>
    <n v="1386.4697999999989"/>
    <n v="9.0897754889969692E-2"/>
    <n v="0"/>
    <n v="1"/>
  </r>
  <r>
    <s v="ORD-2023-431328"/>
    <d v="2023-12-20T00:00:00"/>
    <x v="4"/>
    <s v="Q4-2023"/>
    <d v="2024-01-14T00:00:00"/>
    <s v="Valid"/>
    <n v="25"/>
    <d v="2024-01-14T00:00:00"/>
    <x v="1"/>
    <s v="Asia → India → Mumbai"/>
    <s v="India-2023-12"/>
    <s v="India"/>
    <s v="Mumbai"/>
    <s v="Non-Profit"/>
    <s v="Marketplace"/>
    <x v="4"/>
    <s v="Monitors"/>
    <s v="MON-1572"/>
    <n v="1085.6099999999999"/>
    <n v="1246.4100000000001"/>
    <s v="Valid"/>
    <n v="1246.4100000000001"/>
    <s v="Medium"/>
    <n v="0.113"/>
    <s v="Valid"/>
    <n v="0.113"/>
    <n v="7"/>
    <n v="7738.9596900000006"/>
    <n v="7599.2699999999995"/>
    <n v="139.68969000000106"/>
    <n v="1.8050189637310417E-2"/>
    <n v="0"/>
    <n v="0"/>
  </r>
  <r>
    <s v="ORD-2023-613317"/>
    <d v="2023-01-22T00:00:00"/>
    <x v="5"/>
    <s v="Q1-2023"/>
    <d v="2023-01-21T00:00:00"/>
    <s v="Invalid RequiredDate"/>
    <n v="-1"/>
    <d v="2023-02-17T00:00:00"/>
    <x v="3"/>
    <s v="Europe → Germany → Munich"/>
    <s v="Germany-2023-01"/>
    <s v="Germany"/>
    <s v="Munich"/>
    <s v="Corporate"/>
    <s v="Direct"/>
    <x v="9"/>
    <s v="Monitors"/>
    <s v="MON-2537"/>
    <n v="150.86000000000001"/>
    <n v="346.96"/>
    <s v="Valid"/>
    <n v="346.96"/>
    <s v="Low"/>
    <n v="0.19600000000000001"/>
    <s v="Valid"/>
    <n v="0.19600000000000001"/>
    <n v="8"/>
    <n v="2231.6467200000002"/>
    <n v="1206.8800000000001"/>
    <n v="1024.7667200000001"/>
    <n v="0.45919755614365343"/>
    <n v="1"/>
    <n v="0"/>
  </r>
  <r>
    <s v="ORD-2024-720756"/>
    <d v="2024-10-11T00:00:00"/>
    <x v="1"/>
    <s v="Q4-2024"/>
    <d v="2024-11-09T00:00:00"/>
    <s v="Valid"/>
    <n v="29"/>
    <d v="2024-11-09T00:00:00"/>
    <x v="1"/>
    <s v="Asia → China → Shanghai"/>
    <s v="China-2024-10"/>
    <s v="China"/>
    <s v="Shanghai"/>
    <s v="Non-Profit"/>
    <s v="Online"/>
    <x v="9"/>
    <s v="Printers"/>
    <s v="PRN-5666"/>
    <n v="391.64"/>
    <n v="504.76"/>
    <s v="Valid"/>
    <n v="504.76"/>
    <s v="Low"/>
    <n v="4.0000000000000001E-3"/>
    <s v="Valid"/>
    <n v="4.0000000000000001E-3"/>
    <n v="13"/>
    <n v="6535.6324800000002"/>
    <n v="5091.32"/>
    <n v="1444.3124800000005"/>
    <n v="0.22099046793402319"/>
    <n v="0"/>
    <n v="0"/>
  </r>
  <r>
    <s v="ORD-2024-777623"/>
    <d v="2024-09-19T00:00:00"/>
    <x v="29"/>
    <s v="Q3-2024"/>
    <d v="2024-10-14T00:00:00"/>
    <s v="Valid"/>
    <n v="25"/>
    <d v="2024-10-14T00:00:00"/>
    <x v="2"/>
    <s v="Americas → Brazil → Rio de Janeiro"/>
    <s v="Brazil-2024-09"/>
    <s v="Brazil"/>
    <s v="Rio de Janeiro"/>
    <s v="Small Business"/>
    <s v="Retail"/>
    <x v="11"/>
    <s v="Printers"/>
    <s v="PRN-2749"/>
    <n v="386.96"/>
    <n v="937.46"/>
    <s v="Valid"/>
    <n v="937.46"/>
    <s v="Medium"/>
    <n v="0.26600000000000001"/>
    <s v="Valid"/>
    <n v="0.26600000000000001"/>
    <n v="41"/>
    <n v="28211.92124"/>
    <n v="15865.359999999999"/>
    <n v="12346.561240000001"/>
    <n v="0.43763631462626335"/>
    <n v="0"/>
    <n v="1"/>
  </r>
  <r>
    <s v="ORD-2025-762212"/>
    <d v="2025-08-25T00:00:00"/>
    <x v="28"/>
    <s v="Q3-2025"/>
    <d v="2025-09-24T00:00:00"/>
    <s v="Valid"/>
    <n v="30"/>
    <d v="2025-09-24T00:00:00"/>
    <x v="0"/>
    <s v="Africa → Kenya → Nairobi"/>
    <s v="Kenya-2025-08"/>
    <s v="Kenya"/>
    <s v="Nairobi"/>
    <s v="Consumer"/>
    <s v="Direct"/>
    <x v="5"/>
    <s v="Components"/>
    <s v="CMP-4970"/>
    <n v="589.14"/>
    <n v="1300.58"/>
    <s v="Valid"/>
    <n v="1300.58"/>
    <s v="Medium"/>
    <n v="5.5E-2"/>
    <s v="Valid"/>
    <n v="5.5E-2"/>
    <n v="11"/>
    <n v="13519.529099999998"/>
    <n v="6480.54"/>
    <n v="7038.989099999998"/>
    <n v="0.52065342275863724"/>
    <n v="0"/>
    <n v="0"/>
  </r>
  <r>
    <s v="ORD-2023-271918"/>
    <d v="2023-09-25T00:00:00"/>
    <x v="27"/>
    <s v="Q3-2023"/>
    <d v="2023-10-02T00:00:00"/>
    <s v="Valid"/>
    <n v="7"/>
    <d v="2023-10-02T00:00:00"/>
    <x v="2"/>
    <s v="Americas → USA → New York"/>
    <s v="USA-2023-09"/>
    <s v="USA"/>
    <s v="New York"/>
    <s v="Education"/>
    <s v="Marketplace"/>
    <x v="2"/>
    <s v="Accessories"/>
    <s v="ACC-3551"/>
    <n v="145.58000000000001"/>
    <n v="228.15"/>
    <s v="Valid"/>
    <n v="228.15"/>
    <s v="Low"/>
    <n v="0.20399999999999999"/>
    <s v="Valid"/>
    <n v="0.20399999999999999"/>
    <n v="5"/>
    <n v="908.03700000000003"/>
    <n v="727.90000000000009"/>
    <n v="180.13699999999994"/>
    <n v="0.19838068272548359"/>
    <n v="1"/>
    <n v="1"/>
  </r>
  <r>
    <s v="ORD-2023-713375"/>
    <d v="2023-08-26T00:00:00"/>
    <x v="25"/>
    <s v="Q3-2023"/>
    <d v="2023-09-10T00:00:00"/>
    <s v="Valid"/>
    <n v="15"/>
    <d v="2023-09-10T00:00:00"/>
    <x v="0"/>
    <s v="Africa → South Africa → Cape Town"/>
    <s v="South Africa-2023-08"/>
    <s v="South Africa"/>
    <s v="Cape Town"/>
    <s v="Non-Profit"/>
    <s v="Direct"/>
    <x v="13"/>
    <s v="Components"/>
    <s v="CMP-7063"/>
    <n v="241.14"/>
    <n v="496.52"/>
    <s v="Valid"/>
    <n v="496.52"/>
    <s v="Low"/>
    <n v="9.2999999999999999E-2"/>
    <s v="Valid"/>
    <n v="9.2999999999999999E-2"/>
    <n v="10"/>
    <n v="4503.4363999999996"/>
    <n v="2411.3999999999996"/>
    <n v="2092.0364"/>
    <n v="0.46454223268257994"/>
    <n v="0"/>
    <n v="0"/>
  </r>
  <r>
    <s v="ORD-2025-678688"/>
    <d v="2025-07-16T00:00:00"/>
    <x v="13"/>
    <s v="Q3-2025"/>
    <d v="2025-07-17T00:00:00"/>
    <s v="Valid"/>
    <n v="1"/>
    <d v="2025-07-17T00:00:00"/>
    <x v="0"/>
    <s v="Africa → South Africa → Durban"/>
    <s v="South Africa-2025-07"/>
    <s v="South Africa"/>
    <s v="Durban"/>
    <s v="Small Business"/>
    <s v="Distributor"/>
    <x v="5"/>
    <s v="Networking"/>
    <s v="NET-1612"/>
    <n v="1198.9000000000001"/>
    <n v="2941.2"/>
    <s v="Valid"/>
    <n v="2941.2"/>
    <s v="High"/>
    <n v="5.0999999999999997E-2"/>
    <s v="Valid"/>
    <n v="5.0999999999999997E-2"/>
    <n v="24"/>
    <n v="66988.771199999988"/>
    <n v="28773.600000000002"/>
    <n v="38215.171199999982"/>
    <n v="0.57047129713583977"/>
    <n v="1"/>
    <n v="0"/>
  </r>
  <r>
    <s v="ORD-2023-501220"/>
    <d v="2023-04-19T00:00:00"/>
    <x v="12"/>
    <s v="Q2-2023"/>
    <d v="2023-05-07T00:00:00"/>
    <s v="Valid"/>
    <n v="18"/>
    <d v="2023-05-07T00:00:00"/>
    <x v="3"/>
    <s v="Europe → United Kingdom → Birmingham"/>
    <s v="United Kingdom-2023-04"/>
    <s v="United Kingdom"/>
    <s v="Birmingham"/>
    <s v="Enterprise"/>
    <s v="Retail"/>
    <x v="13"/>
    <s v="Laptops"/>
    <s v="LAP-9766"/>
    <n v="1089.1500000000001"/>
    <n v="1088.2"/>
    <s v="Valid"/>
    <n v="1088.2"/>
    <s v="Medium"/>
    <n v="5.0999999999999997E-2"/>
    <s v="Valid"/>
    <n v="5.0999999999999997E-2"/>
    <n v="15"/>
    <n v="15490.527"/>
    <n v="16337.250000000002"/>
    <n v="-846.72300000000178"/>
    <n v="-5.4660696824582002E-2"/>
    <n v="0"/>
    <n v="0"/>
  </r>
  <r>
    <s v="ORD-2023-195665"/>
    <d v="2023-12-19T00:00:00"/>
    <x v="4"/>
    <s v="Q4-2023"/>
    <d v="2023-12-20T00:00:00"/>
    <s v="Valid"/>
    <n v="1"/>
    <d v="2023-12-20T00:00:00"/>
    <x v="2"/>
    <s v="Americas → Brazil → Rio de Janeiro"/>
    <s v="Brazil-2023-12"/>
    <s v="Brazil"/>
    <s v="Rio de Janeiro"/>
    <s v="Consumer"/>
    <s v="Distributor"/>
    <x v="1"/>
    <s v="Phones"/>
    <s v="PHN-7274"/>
    <n v="1080.43"/>
    <n v="2529.15"/>
    <s v="Valid"/>
    <n v="2529.15"/>
    <s v="High"/>
    <n v="0.14699999999999999"/>
    <s v="Valid"/>
    <n v="0.14699999999999999"/>
    <n v="10"/>
    <n v="21573.6495"/>
    <n v="10804.300000000001"/>
    <n v="10769.349499999998"/>
    <n v="0.49918997247081437"/>
    <n v="1"/>
    <n v="0"/>
  </r>
  <r>
    <s v="ORD-2023-290237"/>
    <d v="2023-07-30T00:00:00"/>
    <x v="24"/>
    <s v="Q3-2023"/>
    <d v="2023-08-07T00:00:00"/>
    <s v="Valid"/>
    <n v="8"/>
    <d v="2023-08-07T00:00:00"/>
    <x v="1"/>
    <s v="Asia → Japan → Nagoya"/>
    <s v="Japan-2023-07"/>
    <s v="Japan"/>
    <s v="Nagoya"/>
    <s v="Education"/>
    <s v="Marketplace"/>
    <x v="8"/>
    <s v="Networking"/>
    <s v="NET-1645"/>
    <n v="1352.44"/>
    <n v="2698.01"/>
    <s v="Valid"/>
    <n v="2698.01"/>
    <s v="High"/>
    <n v="0.13100000000000001"/>
    <s v="Valid"/>
    <n v="0.13100000000000001"/>
    <n v="13"/>
    <n v="30479.418970000002"/>
    <n v="17581.72"/>
    <n v="12897.698970000001"/>
    <n v="0.42316091992090887"/>
    <n v="0"/>
    <n v="0"/>
  </r>
  <r>
    <s v="ORD-2023-302041"/>
    <d v="2023-10-04T00:00:00"/>
    <x v="32"/>
    <s v="Q4-2023"/>
    <d v="2023-10-29T00:00:00"/>
    <s v="Valid"/>
    <n v="25"/>
    <d v="2023-10-29T00:00:00"/>
    <x v="2"/>
    <s v="Americas → USA → San Francisco"/>
    <s v="USA-2023-10"/>
    <s v="USA"/>
    <s v="San Francisco"/>
    <s v="Small Business"/>
    <s v="Distributor"/>
    <x v="7"/>
    <s v="Accessories"/>
    <s v="ACC-5079"/>
    <n v="1239.8399999999999"/>
    <n v="1482.75"/>
    <s v="Valid"/>
    <n v="1482.75"/>
    <s v="Medium"/>
    <n v="6.7000000000000004E-2"/>
    <s v="Valid"/>
    <n v="6.7000000000000004E-2"/>
    <n v="4"/>
    <n v="5533.6230000000005"/>
    <n v="4959.3599999999997"/>
    <n v="574.26300000000083"/>
    <n v="0.10377703721413634"/>
    <n v="0"/>
    <n v="0"/>
  </r>
  <r>
    <s v="ORD-2025-289139"/>
    <d v="2025-08-10T00:00:00"/>
    <x v="28"/>
    <s v="Q3-2025"/>
    <d v="2025-08-30T00:00:00"/>
    <s v="Valid"/>
    <n v="20"/>
    <d v="2025-08-30T00:00:00"/>
    <x v="2"/>
    <s v="Americas → USA → San Francisco"/>
    <s v="USA-2025-08"/>
    <s v="USA"/>
    <s v="San Francisco"/>
    <s v="Corporate"/>
    <s v="Marketplace"/>
    <x v="11"/>
    <s v="Printers"/>
    <s v="PRN-2098"/>
    <n v="933.29"/>
    <n v="1456.81"/>
    <s v="Valid"/>
    <n v="1456.81"/>
    <s v="Medium"/>
    <n v="0.123"/>
    <s v="Valid"/>
    <n v="0.123"/>
    <n v="13"/>
    <n v="16609.090809999998"/>
    <n v="12132.77"/>
    <n v="4476.3208099999974"/>
    <n v="0.26951028573489977"/>
    <n v="0"/>
    <n v="0"/>
  </r>
  <r>
    <s v="ORD-2023-949710"/>
    <d v="2023-03-07T00:00:00"/>
    <x v="22"/>
    <s v="Q1-2023"/>
    <d v="2023-04-01T00:00:00"/>
    <s v="Valid"/>
    <n v="25"/>
    <d v="2023-04-01T00:00:00"/>
    <x v="0"/>
    <s v="Africa → Kenya → Nairobi"/>
    <s v="Kenya-2023-03"/>
    <s v="Kenya"/>
    <s v="Nairobi"/>
    <s v="Consumer"/>
    <s v="Marketplace"/>
    <x v="14"/>
    <s v="Printers"/>
    <s v="PRN-7049"/>
    <n v="1024.0999999999999"/>
    <n v="918.19"/>
    <s v="Valid"/>
    <n v="918.19"/>
    <s v="Medium"/>
    <n v="0.189"/>
    <s v="Valid"/>
    <n v="0.189"/>
    <n v="10"/>
    <n v="7446.5209000000004"/>
    <n v="10241"/>
    <n v="-2794.4790999999996"/>
    <n v="-0.37527311579827827"/>
    <n v="0"/>
    <n v="0"/>
  </r>
  <r>
    <s v="ORD-2023-603650"/>
    <d v="2023-05-23T00:00:00"/>
    <x v="15"/>
    <s v="Q2-2023"/>
    <d v="2023-06-10T00:00:00"/>
    <s v="Valid"/>
    <n v="18"/>
    <d v="2023-06-10T00:00:00"/>
    <x v="1"/>
    <s v="Asia → China → Shanghai"/>
    <s v="China-2023-05"/>
    <s v="China"/>
    <s v="Shanghai"/>
    <s v="Corporate"/>
    <s v="Distributor"/>
    <x v="6"/>
    <s v="Components"/>
    <s v="CMP-6925"/>
    <n v="54.62"/>
    <n v="48.94"/>
    <s v="Valid"/>
    <n v="48.94"/>
    <s v="Low"/>
    <n v="0.14799999999999999"/>
    <s v="Valid"/>
    <n v="0.14799999999999999"/>
    <n v="16"/>
    <n v="667.15008"/>
    <n v="873.92"/>
    <n v="-206.76991999999996"/>
    <n v="-0.3099301434543783"/>
    <n v="0"/>
    <n v="0"/>
  </r>
  <r>
    <s v="ORD-2025-757957"/>
    <d v="2025-04-24T00:00:00"/>
    <x v="19"/>
    <s v="Q2-2025"/>
    <d v="2025-05-06T00:00:00"/>
    <s v="Valid"/>
    <n v="12"/>
    <d v="2025-05-06T00:00:00"/>
    <x v="2"/>
    <s v="Americas → Brazil → Brasília"/>
    <s v="Brazil-2025-04"/>
    <s v="Brazil"/>
    <s v="Brasília"/>
    <s v="Consumer"/>
    <s v="Online"/>
    <x v="0"/>
    <s v="Phones"/>
    <s v="PHN-2787"/>
    <n v="394.13"/>
    <n v="932.29"/>
    <s v="Valid"/>
    <n v="932.29"/>
    <s v="Medium"/>
    <n v="0.109"/>
    <s v="Valid"/>
    <n v="0.109"/>
    <n v="7"/>
    <n v="5814.6927299999998"/>
    <n v="2758.91"/>
    <n v="3055.7827299999999"/>
    <n v="0.5255278089303268"/>
    <n v="0"/>
    <n v="0"/>
  </r>
  <r>
    <s v="ORD-2024-423853"/>
    <d v="2024-09-03T00:00:00"/>
    <x v="29"/>
    <s v="Q3-2024"/>
    <d v="2024-09-08T00:00:00"/>
    <s v="Valid"/>
    <n v="5"/>
    <d v="2024-09-08T00:00:00"/>
    <x v="0"/>
    <s v="Africa → Nigeria → Lagos"/>
    <s v="Nigeria-2024-09"/>
    <s v="Nigeria"/>
    <s v="Lagos"/>
    <s v="Small Business"/>
    <s v="Direct"/>
    <x v="11"/>
    <s v="Printers"/>
    <s v="PRN-1141"/>
    <n v="197.63"/>
    <n v="325.79000000000002"/>
    <s v="Valid"/>
    <n v="325.79000000000002"/>
    <s v="Low"/>
    <n v="0.11600000000000001"/>
    <s v="Valid"/>
    <n v="0.11600000000000001"/>
    <n v="10"/>
    <n v="2879.9836"/>
    <n v="1976.3"/>
    <n v="903.68360000000007"/>
    <n v="0.31378081458519419"/>
    <n v="1"/>
    <n v="0"/>
  </r>
  <r>
    <s v="ORD-2024-569164"/>
    <d v="2024-09-05T00:00:00"/>
    <x v="29"/>
    <s v="Q3-2024"/>
    <d v="2024-09-25T00:00:00"/>
    <s v="Valid"/>
    <n v="20"/>
    <d v="2024-09-25T00:00:00"/>
    <x v="1"/>
    <s v="Asia → Japan → Osaka"/>
    <s v="Japan-2024-09"/>
    <s v="Japan"/>
    <s v="Osaka"/>
    <s v="Enterprise"/>
    <s v="Distributor"/>
    <x v="14"/>
    <s v="Monitors"/>
    <s v="MON-5249"/>
    <n v="195.54"/>
    <n v="405.97"/>
    <s v="Valid"/>
    <n v="405.97"/>
    <s v="Low"/>
    <n v="0.187"/>
    <s v="Valid"/>
    <n v="0.187"/>
    <n v="16"/>
    <n v="5280.8577599999999"/>
    <n v="3128.64"/>
    <n v="2152.21776"/>
    <n v="0.40755079152141377"/>
    <n v="0"/>
    <n v="0"/>
  </r>
  <r>
    <s v="ORD-2023-946143"/>
    <d v="2023-03-14T00:00:00"/>
    <x v="22"/>
    <s v="Q1-2023"/>
    <d v="2023-03-30T00:00:00"/>
    <s v="Valid"/>
    <n v="16"/>
    <d v="2023-03-30T00:00:00"/>
    <x v="0"/>
    <s v="Africa → South Africa → Cape Town"/>
    <s v="South Africa-2023-03"/>
    <s v="South Africa"/>
    <s v="Cape Town"/>
    <s v="Consumer"/>
    <s v="Distributor"/>
    <x v="11"/>
    <s v="Components"/>
    <s v="CMP-8230"/>
    <n v="1309.77"/>
    <n v="1589.07"/>
    <s v="Valid"/>
    <n v="1589.07"/>
    <s v="Medium"/>
    <n v="0.10199999999999999"/>
    <s v="Valid"/>
    <n v="0.10199999999999999"/>
    <n v="10"/>
    <n v="14269.848599999999"/>
    <n v="13097.7"/>
    <n v="1172.1485999999986"/>
    <n v="8.2141628328137886E-2"/>
    <n v="0"/>
    <n v="0"/>
  </r>
  <r>
    <s v="ORD-2024-281211"/>
    <d v="2024-01-11T00:00:00"/>
    <x v="9"/>
    <s v="Q1-2024"/>
    <d v="2024-02-02T00:00:00"/>
    <s v="Valid"/>
    <n v="22"/>
    <d v="2024-02-02T00:00:00"/>
    <x v="1"/>
    <s v="Asia → Japan → Nagoya"/>
    <s v="Japan-2024-01"/>
    <s v="Japan"/>
    <s v="Nagoya"/>
    <s v="Small Business"/>
    <s v="Online"/>
    <x v="15"/>
    <s v="Printers"/>
    <s v="PRN-7816"/>
    <n v="1237.68"/>
    <n v="1432.8"/>
    <s v="Valid"/>
    <n v="1432.8"/>
    <s v="Medium"/>
    <n v="6.8000000000000005E-2"/>
    <s v="Valid"/>
    <n v="6.8000000000000005E-2"/>
    <n v="13"/>
    <n v="17359.804799999998"/>
    <n v="16089.84"/>
    <n v="1269.9647999999979"/>
    <n v="7.315547695559331E-2"/>
    <n v="0"/>
    <n v="0"/>
  </r>
  <r>
    <s v="ORD-2024-805860"/>
    <d v="2024-09-13T00:00:00"/>
    <x v="29"/>
    <s v="Q3-2024"/>
    <d v="2024-10-02T00:00:00"/>
    <s v="Valid"/>
    <n v="19"/>
    <d v="2024-10-02T00:00:00"/>
    <x v="0"/>
    <s v="Africa → Kenya → Mombasa"/>
    <s v="Kenya-2024-09"/>
    <s v="Kenya"/>
    <s v="Mombasa"/>
    <s v="Small Business"/>
    <s v="Retail"/>
    <x v="12"/>
    <s v="Phones"/>
    <s v="PHN-8804"/>
    <n v="1338.99"/>
    <n v="1765.76"/>
    <s v="Valid"/>
    <n v="1765.76"/>
    <s v="Medium"/>
    <n v="0.126"/>
    <s v="Valid"/>
    <n v="0.126"/>
    <n v="24"/>
    <n v="37038.581760000001"/>
    <n v="32135.760000000002"/>
    <n v="4902.8217599999989"/>
    <n v="0.1323706666677725"/>
    <n v="0"/>
    <n v="0"/>
  </r>
  <r>
    <s v="ORD-2025-132174"/>
    <d v="2025-07-17T00:00:00"/>
    <x v="13"/>
    <s v="Q3-2025"/>
    <d v="2025-07-23T00:00:00"/>
    <s v="Valid"/>
    <n v="6"/>
    <d v="2025-07-23T00:00:00"/>
    <x v="2"/>
    <s v="Americas → Canada → Vancouver"/>
    <s v="Canada-2025-07"/>
    <s v="Canada"/>
    <s v="Vancouver"/>
    <s v="Consumer"/>
    <s v="Online"/>
    <x v="10"/>
    <s v="Components"/>
    <s v="CMP-8851"/>
    <n v="1364.89"/>
    <n v="2757.54"/>
    <s v="Valid"/>
    <n v="2757.54"/>
    <s v="High"/>
    <n v="0.17199999999999999"/>
    <s v="Valid"/>
    <n v="0.17199999999999999"/>
    <n v="61"/>
    <n v="139277.83032000001"/>
    <n v="83258.290000000008"/>
    <n v="56019.54032"/>
    <n v="0.4022143379983118"/>
    <n v="1"/>
    <n v="0"/>
  </r>
  <r>
    <s v="ORD-2023-964434"/>
    <d v="2023-11-28T00:00:00"/>
    <x v="30"/>
    <s v="Q4-2023"/>
    <d v="2023-12-07T00:00:00"/>
    <s v="Valid"/>
    <n v="9"/>
    <d v="2023-12-07T00:00:00"/>
    <x v="1"/>
    <s v="Asia → India → Delhi"/>
    <s v="India-2023-11"/>
    <s v="India"/>
    <s v="Delhi"/>
    <s v="Enterprise"/>
    <s v="Marketplace"/>
    <x v="4"/>
    <s v="Phones"/>
    <s v="PHN-2447"/>
    <n v="699.33"/>
    <n v="873.75"/>
    <s v="Valid"/>
    <n v="873.75"/>
    <s v="Medium"/>
    <n v="0.23499999999999999"/>
    <s v="Valid"/>
    <n v="0.23499999999999999"/>
    <n v="10"/>
    <n v="6684.1875"/>
    <n v="6993.3"/>
    <n v="-309.11250000000018"/>
    <n v="-4.6245336475076469E-2"/>
    <n v="0"/>
    <n v="1"/>
  </r>
  <r>
    <s v="ORD-2024-897622"/>
    <d v="2024-03-30T00:00:00"/>
    <x v="0"/>
    <s v="Q1-2024"/>
    <d v="2024-04-24T00:00:00"/>
    <s v="Valid"/>
    <n v="25"/>
    <d v="2024-04-24T00:00:00"/>
    <x v="2"/>
    <s v="Americas → USA → Austin"/>
    <s v="USA-2024-03"/>
    <s v="USA"/>
    <s v="Austin"/>
    <s v="Non-Profit"/>
    <s v="Online"/>
    <x v="3"/>
    <s v="Laptops"/>
    <s v="LAP-2846"/>
    <n v="160.82"/>
    <n v="258.52"/>
    <s v="Valid"/>
    <n v="258.52"/>
    <s v="Low"/>
    <n v="0.13"/>
    <s v="Valid"/>
    <n v="0.13"/>
    <n v="17"/>
    <n v="3823.5108"/>
    <n v="2733.94"/>
    <n v="1089.5708"/>
    <n v="0.28496605789631874"/>
    <n v="0"/>
    <n v="0"/>
  </r>
  <r>
    <s v="ORD-2023-517216"/>
    <d v="2023-09-19T00:00:00"/>
    <x v="27"/>
    <s v="Q3-2023"/>
    <d v="2023-10-08T00:00:00"/>
    <s v="Valid"/>
    <n v="19"/>
    <d v="2023-10-08T00:00:00"/>
    <x v="1"/>
    <s v="Asia → India → Bengaluru"/>
    <s v="India-2023-09"/>
    <s v="India"/>
    <s v="Bengaluru"/>
    <s v="Education"/>
    <s v="Direct"/>
    <x v="1"/>
    <s v="Printers"/>
    <s v="PRN-5005"/>
    <n v="385.32"/>
    <n v="606.76"/>
    <s v="Valid"/>
    <n v="606.76"/>
    <s v="Low"/>
    <n v="8.5999999999999993E-2"/>
    <s v="Valid"/>
    <n v="8.5999999999999993E-2"/>
    <n v="8"/>
    <n v="4436.6291200000005"/>
    <n v="3082.56"/>
    <n v="1354.0691200000006"/>
    <n v="0.30520223425842735"/>
    <n v="0"/>
    <n v="0"/>
  </r>
  <r>
    <s v="ORD-2025-509940"/>
    <d v="2025-05-16T00:00:00"/>
    <x v="8"/>
    <s v="Q2-2025"/>
    <d v="2025-05-27T00:00:00"/>
    <s v="Valid"/>
    <n v="11"/>
    <d v="2025-05-27T00:00:00"/>
    <x v="1"/>
    <s v="Asia → China → Beijing"/>
    <s v="China-2025-05"/>
    <s v="China"/>
    <s v="Beijing"/>
    <s v="Enterprise"/>
    <s v="Online"/>
    <x v="9"/>
    <s v="Phones"/>
    <s v="PHN-3800"/>
    <n v="918.12"/>
    <n v="1337.69"/>
    <s v="Valid"/>
    <n v="1337.69"/>
    <s v="Medium"/>
    <n v="9.5000000000000001E-2"/>
    <s v="Valid"/>
    <n v="9.5000000000000001E-2"/>
    <n v="8"/>
    <n v="9684.8756000000012"/>
    <n v="7344.96"/>
    <n v="2339.9156000000012"/>
    <n v="0.24160512707050164"/>
    <n v="0"/>
    <n v="0"/>
  </r>
  <r>
    <s v="ORD-2025-646342"/>
    <d v="2025-08-02T00:00:00"/>
    <x v="28"/>
    <s v="Q3-2025"/>
    <d v="2025-08-08T00:00:00"/>
    <s v="Valid"/>
    <n v="6"/>
    <d v="2025-08-08T00:00:00"/>
    <x v="1"/>
    <s v="Asia → Japan → Osaka"/>
    <s v="Japan-2025-08"/>
    <s v="Japan"/>
    <s v="Osaka"/>
    <s v="Consumer"/>
    <s v="Direct"/>
    <x v="13"/>
    <s v="Laptops"/>
    <s v="LAP-4828"/>
    <n v="1225.94"/>
    <n v="1793.08"/>
    <s v="Valid"/>
    <n v="1793.08"/>
    <s v="Medium"/>
    <n v="0.13600000000000001"/>
    <s v="Valid"/>
    <n v="0.13600000000000001"/>
    <n v="22"/>
    <n v="34082.864639999993"/>
    <n v="26970.68"/>
    <n v="7112.1846399999922"/>
    <n v="0.20867332353434462"/>
    <n v="1"/>
    <n v="0"/>
  </r>
  <r>
    <s v="ORD-2024-866535"/>
    <d v="2024-12-04T00:00:00"/>
    <x v="6"/>
    <s v="Q4-2024"/>
    <d v="2024-12-12T00:00:00"/>
    <s v="Valid"/>
    <n v="8"/>
    <d v="2024-12-12T00:00:00"/>
    <x v="3"/>
    <s v="Europe → Germany → Frankfurt"/>
    <s v="Germany-2024-12"/>
    <s v="Germany"/>
    <s v="Frankfurt"/>
    <s v="Enterprise"/>
    <s v="Marketplace"/>
    <x v="5"/>
    <s v="Printers"/>
    <s v="PRN-5492"/>
    <n v="72.06"/>
    <n v="122.74"/>
    <s v="Valid"/>
    <n v="122.74"/>
    <s v="Low"/>
    <n v="0.23799999999999999"/>
    <s v="Valid"/>
    <n v="0.23799999999999999"/>
    <n v="8"/>
    <n v="748.22303999999997"/>
    <n v="576.48"/>
    <n v="171.74303999999995"/>
    <n v="0.22953455162246802"/>
    <n v="0"/>
    <n v="1"/>
  </r>
  <r>
    <s v="ORD-2023-747341"/>
    <d v="2023-04-19T00:00:00"/>
    <x v="12"/>
    <s v="Q2-2023"/>
    <d v="2023-04-28T00:00:00"/>
    <s v="Valid"/>
    <n v="9"/>
    <d v="2023-04-28T00:00:00"/>
    <x v="2"/>
    <s v="Americas → Brazil → Rio de Janeiro"/>
    <s v="Brazil-2023-04"/>
    <s v="Brazil"/>
    <s v="Rio de Janeiro"/>
    <s v="Corporate"/>
    <s v="Distributor"/>
    <x v="12"/>
    <s v="Phones"/>
    <s v="PHN-7132"/>
    <n v="1013.54"/>
    <n v="927.93"/>
    <s v="Valid"/>
    <n v="927.93"/>
    <s v="Medium"/>
    <n v="0.17499999999999999"/>
    <s v="Valid"/>
    <n v="0.17499999999999999"/>
    <n v="16"/>
    <n v="12248.675999999999"/>
    <n v="16216.64"/>
    <n v="-3967.9639999999999"/>
    <n v="-0.32395044166406234"/>
    <n v="0"/>
    <n v="0"/>
  </r>
  <r>
    <s v="ORD-2024-853298"/>
    <d v="2024-03-06T00:00:00"/>
    <x v="0"/>
    <s v="Q1-2024"/>
    <d v="2024-03-26T00:00:00"/>
    <s v="Valid"/>
    <n v="20"/>
    <d v="2024-03-26T00:00:00"/>
    <x v="0"/>
    <s v="Africa → Nigeria → Port Harcourt"/>
    <s v="Nigeria-2024-03"/>
    <s v="Nigeria"/>
    <s v="Port Harcourt"/>
    <s v="Consumer"/>
    <s v="Marketplace"/>
    <x v="2"/>
    <s v="Phones"/>
    <s v="PHN-4741"/>
    <n v="65.64"/>
    <n v="151.88"/>
    <s v="Valid"/>
    <n v="151.88"/>
    <s v="Low"/>
    <n v="0.16700000000000001"/>
    <s v="Valid"/>
    <n v="0.16700000000000001"/>
    <n v="23"/>
    <n v="2909.8689199999999"/>
    <n v="1509.72"/>
    <n v="1400.1489199999999"/>
    <n v="0.48117250587356353"/>
    <n v="0"/>
    <n v="0"/>
  </r>
  <r>
    <s v="ORD-2024-544865"/>
    <d v="2024-02-16T00:00:00"/>
    <x v="31"/>
    <s v="Q1-2024"/>
    <d v="2024-03-04T00:00:00"/>
    <s v="Valid"/>
    <n v="17"/>
    <d v="2024-03-04T00:00:00"/>
    <x v="2"/>
    <s v="Americas → Canada → Montreal"/>
    <s v="Canada-2024-02"/>
    <s v="Canada"/>
    <s v="Montreal"/>
    <s v="Non-Profit"/>
    <s v="Retail"/>
    <x v="14"/>
    <s v="Laptops"/>
    <s v="LAP-2774"/>
    <n v="1350.98"/>
    <n v="2210.4"/>
    <s v="Valid"/>
    <n v="2210.4"/>
    <s v="High"/>
    <n v="0.26300000000000001"/>
    <s v="Valid"/>
    <n v="0.26300000000000001"/>
    <n v="6"/>
    <n v="9774.3888000000006"/>
    <n v="8105.88"/>
    <n v="1668.5088000000005"/>
    <n v="0.17070211080615091"/>
    <n v="0"/>
    <n v="1"/>
  </r>
  <r>
    <s v="ORD-2025-946490"/>
    <d v="2025-04-22T00:00:00"/>
    <x v="19"/>
    <s v="Q2-2025"/>
    <d v="2025-05-02T00:00:00"/>
    <s v="Valid"/>
    <n v="10"/>
    <d v="2025-05-02T00:00:00"/>
    <x v="3"/>
    <s v="Europe → Germany → Berlin"/>
    <s v="Germany-2025-04"/>
    <s v="Germany"/>
    <s v="Berlin"/>
    <s v="Corporate"/>
    <s v="Marketplace"/>
    <x v="0"/>
    <s v="Monitors"/>
    <s v="MON-2842"/>
    <n v="20.149999999999999"/>
    <n v="39.74"/>
    <s v="Valid"/>
    <n v="39.74"/>
    <s v="Low"/>
    <n v="0.151"/>
    <s v="Valid"/>
    <n v="0.151"/>
    <n v="18"/>
    <n v="607.30668000000003"/>
    <n v="362.7"/>
    <n v="244.60668000000004"/>
    <n v="0.4027729120318585"/>
    <n v="0"/>
    <n v="0"/>
  </r>
  <r>
    <s v="ORD-2024-320972"/>
    <d v="2024-11-08T00:00:00"/>
    <x v="18"/>
    <s v="Q4-2024"/>
    <d v="2024-11-08T00:00:00"/>
    <s v="Valid"/>
    <n v="0"/>
    <d v="2024-11-08T00:00:00"/>
    <x v="0"/>
    <s v="Africa → Kenya → Nakuru"/>
    <s v="Kenya-2024-11"/>
    <s v="Kenya"/>
    <s v="Nakuru"/>
    <s v="Enterprise"/>
    <s v="Marketplace"/>
    <x v="12"/>
    <s v="Networking"/>
    <s v="NET-2628"/>
    <n v="803.28"/>
    <n v="1009"/>
    <s v="Valid"/>
    <n v="1009"/>
    <s v="Medium"/>
    <n v="0.11"/>
    <s v="Valid"/>
    <n v="0.11"/>
    <n v="4"/>
    <n v="3592.04"/>
    <n v="3213.12"/>
    <n v="378.92000000000007"/>
    <n v="0.10548880302001093"/>
    <n v="1"/>
    <n v="0"/>
  </r>
  <r>
    <s v="ORD-2025-248586"/>
    <d v="2025-09-12T00:00:00"/>
    <x v="11"/>
    <s v="Q3-2025"/>
    <d v="2025-09-30T00:00:00"/>
    <s v="Valid"/>
    <n v="18"/>
    <d v="2025-09-30T00:00:00"/>
    <x v="1"/>
    <s v="Asia → Japan → Nagoya"/>
    <s v="Japan-2025-09"/>
    <s v="Japan"/>
    <s v="Nagoya"/>
    <s v="Non-Profit"/>
    <s v="Marketplace"/>
    <x v="9"/>
    <s v="Monitors"/>
    <s v="MON-2998"/>
    <n v="1212.99"/>
    <n v="1653.64"/>
    <s v="Valid"/>
    <n v="1653.64"/>
    <s v="Medium"/>
    <n v="0.107"/>
    <s v="Valid"/>
    <n v="0.107"/>
    <n v="8"/>
    <n v="11813.604160000001"/>
    <n v="9703.92"/>
    <n v="2109.6841600000007"/>
    <n v="0.17858090819931455"/>
    <n v="0"/>
    <n v="0"/>
  </r>
  <r>
    <s v="ORD-2024-664046"/>
    <d v="2024-09-02T00:00:00"/>
    <x v="29"/>
    <s v="Q3-2024"/>
    <d v="2024-09-08T00:00:00"/>
    <s v="Valid"/>
    <n v="6"/>
    <d v="2024-09-08T00:00:00"/>
    <x v="2"/>
    <s v="Americas → USA → Austin"/>
    <s v="USA-2024-09"/>
    <s v="USA"/>
    <s v="Austin"/>
    <s v="Consumer"/>
    <s v="Direct"/>
    <x v="10"/>
    <s v="Components"/>
    <s v="CMP-7563"/>
    <n v="462.94"/>
    <n v="1015.7"/>
    <s v="Valid"/>
    <n v="1015.7"/>
    <s v="Medium"/>
    <n v="0.14299999999999999"/>
    <s v="Valid"/>
    <n v="0.14299999999999999"/>
    <n v="14"/>
    <n v="12186.368600000002"/>
    <n v="6481.16"/>
    <n v="5705.2086000000018"/>
    <n v="0.46816314090483041"/>
    <n v="1"/>
    <n v="0"/>
  </r>
  <r>
    <s v="ORD-2023-276806"/>
    <d v="2023-03-04T00:00:00"/>
    <x v="22"/>
    <s v="Q1-2023"/>
    <d v="2023-03-24T00:00:00"/>
    <s v="Valid"/>
    <n v="20"/>
    <d v="2023-03-24T00:00:00"/>
    <x v="2"/>
    <s v="Americas → Canada → Montreal"/>
    <s v="Canada-2023-03"/>
    <s v="Canada"/>
    <s v="Montreal"/>
    <s v="Consumer"/>
    <s v="Distributor"/>
    <x v="2"/>
    <s v="Laptops"/>
    <s v="LAP-6160"/>
    <n v="481.71"/>
    <n v="912.45"/>
    <s v="Valid"/>
    <n v="912.45"/>
    <s v="Medium"/>
    <n v="0.20300000000000001"/>
    <s v="Valid"/>
    <n v="0.20300000000000001"/>
    <n v="24"/>
    <n v="17453.3436"/>
    <n v="11561.039999999999"/>
    <n v="5892.3036000000011"/>
    <n v="0.33760313983619739"/>
    <n v="0"/>
    <n v="1"/>
  </r>
  <r>
    <s v="ORD-2024-220234"/>
    <d v="2024-03-15T00:00:00"/>
    <x v="0"/>
    <s v="Q1-2024"/>
    <d v="2024-04-09T00:00:00"/>
    <s v="Valid"/>
    <n v="25"/>
    <d v="2024-04-09T00:00:00"/>
    <x v="2"/>
    <s v="Americas → Canada → Vancouver"/>
    <s v="Canada-2024-03"/>
    <s v="Canada"/>
    <s v="Vancouver"/>
    <s v="Consumer"/>
    <s v="Online"/>
    <x v="9"/>
    <s v="Monitors"/>
    <s v="MON-4361"/>
    <n v="648.64"/>
    <n v="815.19"/>
    <s v="Valid"/>
    <n v="815.19"/>
    <s v="Medium"/>
    <n v="0.22500000000000001"/>
    <s v="Valid"/>
    <n v="0.22500000000000001"/>
    <n v="28"/>
    <n v="17689.623"/>
    <n v="18161.919999999998"/>
    <n v="-472.29699999999866"/>
    <n v="-2.6699099240272032E-2"/>
    <n v="0"/>
    <n v="1"/>
  </r>
  <r>
    <s v="ORD-2024-301260"/>
    <d v="2024-07-29T00:00:00"/>
    <x v="14"/>
    <s v="Q3-2024"/>
    <d v="2024-07-31T00:00:00"/>
    <s v="Valid"/>
    <n v="2"/>
    <d v="2024-07-31T00:00:00"/>
    <x v="2"/>
    <s v="Americas → USA → New York"/>
    <s v="USA-2024-07"/>
    <s v="USA"/>
    <s v="New York"/>
    <s v="Education"/>
    <s v="Marketplace"/>
    <x v="2"/>
    <s v="Printers"/>
    <s v="PRN-2829"/>
    <n v="798.97"/>
    <n v="1814.06"/>
    <s v="Valid"/>
    <n v="1814.06"/>
    <s v="Medium"/>
    <n v="0.122"/>
    <s v="Valid"/>
    <n v="0.122"/>
    <n v="16"/>
    <n v="25483.91488"/>
    <n v="12783.52"/>
    <n v="12700.39488"/>
    <n v="0.49836906691159061"/>
    <n v="1"/>
    <n v="0"/>
  </r>
  <r>
    <s v="ORD-2024-350100"/>
    <d v="2024-10-27T00:00:00"/>
    <x v="1"/>
    <s v="Q4-2024"/>
    <d v="2024-11-20T00:00:00"/>
    <s v="Valid"/>
    <n v="24"/>
    <d v="2024-11-20T00:00:00"/>
    <x v="1"/>
    <s v="Asia → Japan → Nagoya"/>
    <s v="Japan-2024-10"/>
    <s v="Japan"/>
    <s v="Nagoya"/>
    <s v="Non-Profit"/>
    <s v="Online"/>
    <x v="10"/>
    <s v="Monitors"/>
    <s v="MON-8939"/>
    <n v="317.25"/>
    <n v="758.92"/>
    <s v="Valid"/>
    <n v="758.92"/>
    <s v="Medium"/>
    <n v="5.2999999999999999E-2"/>
    <s v="Valid"/>
    <n v="5.2999999999999999E-2"/>
    <n v="9"/>
    <n v="6468.2751599999992"/>
    <n v="2855.25"/>
    <n v="3613.0251599999992"/>
    <n v="0.5585762928489888"/>
    <n v="0"/>
    <n v="0"/>
  </r>
  <r>
    <s v="ORD-2024-855600"/>
    <d v="2024-04-29T00:00:00"/>
    <x v="20"/>
    <s v="Q2-2024"/>
    <d v="2024-05-19T00:00:00"/>
    <s v="Valid"/>
    <n v="20"/>
    <d v="2024-05-19T00:00:00"/>
    <x v="3"/>
    <s v="Europe → Germany → Frankfurt"/>
    <s v="Germany-2024-04"/>
    <s v="Germany"/>
    <s v="Frankfurt"/>
    <s v="Enterprise"/>
    <s v="Marketplace"/>
    <x v="0"/>
    <s v="Laptops"/>
    <s v="LAP-5009"/>
    <n v="668.97"/>
    <n v="1667.44"/>
    <s v="Valid"/>
    <n v="1667.44"/>
    <s v="Medium"/>
    <n v="3.4000000000000002E-2"/>
    <s v="Valid"/>
    <n v="3.4000000000000002E-2"/>
    <n v="15"/>
    <n v="24161.205600000001"/>
    <n v="10034.550000000001"/>
    <n v="14126.6556"/>
    <n v="0.58468339013679016"/>
    <n v="0"/>
    <n v="0"/>
  </r>
  <r>
    <s v="ORD-2023-474313"/>
    <d v="2023-10-05T00:00:00"/>
    <x v="32"/>
    <s v="Q4-2023"/>
    <d v="2023-10-06T00:00:00"/>
    <s v="Valid"/>
    <n v="1"/>
    <d v="2023-10-06T00:00:00"/>
    <x v="1"/>
    <s v="Asia → India → Bengaluru"/>
    <s v="India-2023-10"/>
    <s v="India"/>
    <s v="Bengaluru"/>
    <s v="Non-Profit"/>
    <s v="Online"/>
    <x v="2"/>
    <s v="Components"/>
    <s v="CMP-4807"/>
    <n v="1470.26"/>
    <n v="2562.5500000000002"/>
    <s v="Valid"/>
    <n v="2562.5500000000002"/>
    <s v="High"/>
    <n v="0.17299999999999999"/>
    <s v="Valid"/>
    <n v="0.17299999999999999"/>
    <n v="9"/>
    <n v="19073.059649999999"/>
    <n v="13232.34"/>
    <n v="5840.7196499999991"/>
    <n v="0.30622877279157462"/>
    <n v="1"/>
    <n v="0"/>
  </r>
  <r>
    <s v="ORD-2023-256951"/>
    <d v="2023-04-19T00:00:00"/>
    <x v="12"/>
    <s v="Q2-2023"/>
    <d v="2023-05-07T00:00:00"/>
    <s v="Valid"/>
    <n v="18"/>
    <d v="2023-05-07T00:00:00"/>
    <x v="3"/>
    <s v="Europe → United Kingdom → London"/>
    <s v="United Kingdom-2023-04"/>
    <s v="United Kingdom"/>
    <s v="London"/>
    <s v="Non-Profit"/>
    <s v="Direct"/>
    <x v="10"/>
    <s v="Networking"/>
    <s v="NET-2439"/>
    <n v="516.96"/>
    <n v="745.38"/>
    <s v="Valid"/>
    <n v="745.38"/>
    <s v="Medium"/>
    <n v="0.19700000000000001"/>
    <s v="Valid"/>
    <n v="0.19700000000000001"/>
    <n v="4"/>
    <n v="2394.1605599999998"/>
    <n v="2067.84"/>
    <n v="326.32055999999966"/>
    <n v="0.13629852794835101"/>
    <n v="0"/>
    <n v="0"/>
  </r>
  <r>
    <s v="ORD-2025-184754"/>
    <d v="2025-06-27T00:00:00"/>
    <x v="16"/>
    <s v="Q2-2025"/>
    <d v="2025-07-05T00:00:00"/>
    <s v="Valid"/>
    <n v="8"/>
    <d v="2025-07-05T00:00:00"/>
    <x v="3"/>
    <s v="Europe → Germany → Munich"/>
    <s v="Germany-2025-06"/>
    <s v="Germany"/>
    <s v="Munich"/>
    <s v="Small Business"/>
    <s v="Direct"/>
    <x v="3"/>
    <s v="Monitors"/>
    <s v="MON-7626"/>
    <n v="314.93"/>
    <n v="687.95"/>
    <s v="Valid"/>
    <n v="687.95"/>
    <s v="Medium"/>
    <n v="0.20499999999999999"/>
    <s v="Valid"/>
    <n v="0.20499999999999999"/>
    <n v="8"/>
    <n v="4375.3620000000001"/>
    <n v="2519.44"/>
    <n v="1855.922"/>
    <n v="0.424175645352316"/>
    <n v="0"/>
    <n v="1"/>
  </r>
  <r>
    <s v="ORD-2023-888140"/>
    <d v="2023-10-11T00:00:00"/>
    <x v="32"/>
    <s v="Q4-2023"/>
    <d v="2023-10-13T00:00:00"/>
    <s v="Valid"/>
    <n v="2"/>
    <d v="2023-10-13T00:00:00"/>
    <x v="2"/>
    <s v="Americas → Brazil → Brasília"/>
    <s v="Brazil-2023-10"/>
    <s v="Brazil"/>
    <s v="Brasília"/>
    <s v="Consumer"/>
    <s v="Distributor"/>
    <x v="15"/>
    <s v="Accessories"/>
    <s v="ACC-3567"/>
    <n v="715.94"/>
    <n v="550.07000000000005"/>
    <s v="Valid"/>
    <n v="550.07000000000005"/>
    <s v="Low"/>
    <n v="0.14000000000000001"/>
    <s v="Valid"/>
    <n v="0.14000000000000001"/>
    <n v="16"/>
    <n v="7568.9632000000001"/>
    <n v="11455.04"/>
    <n v="-3886.0768000000007"/>
    <n v="-0.51342260456491595"/>
    <n v="1"/>
    <n v="0"/>
  </r>
  <r>
    <s v="ORD-2023-638181"/>
    <d v="2023-05-20T00:00:00"/>
    <x v="15"/>
    <s v="Q2-2023"/>
    <d v="2023-06-07T00:00:00"/>
    <s v="Valid"/>
    <n v="18"/>
    <d v="2023-06-07T00:00:00"/>
    <x v="0"/>
    <s v="Africa → Nigeria → Port Harcourt"/>
    <s v="Nigeria-2023-05"/>
    <s v="Nigeria"/>
    <s v="Port Harcourt"/>
    <s v="Enterprise"/>
    <s v="Distributor"/>
    <x v="6"/>
    <s v="Components"/>
    <s v="CMP-4630"/>
    <n v="1120.06"/>
    <n v="2068.21"/>
    <s v="Valid"/>
    <n v="2068.21"/>
    <s v="High"/>
    <n v="7.8E-2"/>
    <s v="Valid"/>
    <n v="7.8E-2"/>
    <n v="12"/>
    <n v="22882.675440000003"/>
    <n v="13440.72"/>
    <n v="9441.9554400000034"/>
    <n v="0.41262462795303284"/>
    <n v="0"/>
    <n v="0"/>
  </r>
  <r>
    <s v="ORD-2023-521280"/>
    <d v="2023-05-27T00:00:00"/>
    <x v="15"/>
    <s v="Q2-2023"/>
    <d v="2023-06-19T00:00:00"/>
    <s v="Valid"/>
    <n v="23"/>
    <d v="2023-06-19T00:00:00"/>
    <x v="3"/>
    <s v="Europe → Germany → Berlin"/>
    <s v="Germany-2023-05"/>
    <s v="Germany"/>
    <s v="Berlin"/>
    <s v="Education"/>
    <s v="Retail"/>
    <x v="7"/>
    <s v="Accessories"/>
    <s v="ACC-1882"/>
    <n v="1471.58"/>
    <n v="2576.65"/>
    <s v="Valid"/>
    <n v="2576.65"/>
    <s v="High"/>
    <n v="4.0000000000000001E-3"/>
    <s v="Valid"/>
    <n v="4.0000000000000001E-3"/>
    <n v="7"/>
    <n v="17964.4038"/>
    <n v="10301.06"/>
    <n v="7663.3438000000006"/>
    <n v="0.4265849223451546"/>
    <n v="0"/>
    <n v="0"/>
  </r>
  <r>
    <s v="ORD-2023-630430"/>
    <d v="2023-08-04T00:00:00"/>
    <x v="25"/>
    <s v="Q3-2023"/>
    <d v="2023-08-24T00:00:00"/>
    <s v="Valid"/>
    <n v="20"/>
    <d v="2023-08-24T00:00:00"/>
    <x v="2"/>
    <s v="Americas → Brazil → Brasília"/>
    <s v="Brazil-2023-08"/>
    <s v="Brazil"/>
    <s v="Brasília"/>
    <s v="Non-Profit"/>
    <s v="Direct"/>
    <x v="15"/>
    <s v="Networking"/>
    <s v="NET-9125"/>
    <n v="582.88"/>
    <n v="1044.1400000000001"/>
    <s v="Valid"/>
    <n v="1044.1400000000001"/>
    <s v="Medium"/>
    <n v="0.216"/>
    <s v="Valid"/>
    <n v="0.216"/>
    <n v="10"/>
    <n v="8186.057600000001"/>
    <n v="5828.8"/>
    <n v="2357.2576000000008"/>
    <n v="0.28796005539956138"/>
    <n v="0"/>
    <n v="1"/>
  </r>
  <r>
    <s v="ORD-2025-908258"/>
    <d v="2025-06-21T00:00:00"/>
    <x v="16"/>
    <s v="Q2-2025"/>
    <d v="2025-06-27T00:00:00"/>
    <s v="Valid"/>
    <n v="6"/>
    <d v="2025-06-27T00:00:00"/>
    <x v="0"/>
    <s v="Africa → South Africa → Durban"/>
    <s v="South Africa-2025-06"/>
    <s v="South Africa"/>
    <s v="Durban"/>
    <s v="Enterprise"/>
    <s v="Distributor"/>
    <x v="13"/>
    <s v="Phones"/>
    <s v="PHN-3819"/>
    <n v="93.91"/>
    <n v="99.04"/>
    <s v="Valid"/>
    <n v="99.04"/>
    <s v="Low"/>
    <n v="5.7000000000000002E-2"/>
    <s v="Valid"/>
    <n v="5.7000000000000002E-2"/>
    <n v="6"/>
    <n v="560.36831999999993"/>
    <n v="563.46"/>
    <n v="-3.0916800000001103"/>
    <n v="-5.5172283829323376E-3"/>
    <n v="1"/>
    <n v="0"/>
  </r>
  <r>
    <s v="ORD-2025-440093"/>
    <d v="2025-04-16T00:00:00"/>
    <x v="19"/>
    <s v="Q2-2025"/>
    <d v="2025-04-26T00:00:00"/>
    <s v="Valid"/>
    <n v="10"/>
    <d v="2025-04-26T00:00:00"/>
    <x v="0"/>
    <s v="Africa → Nigeria → Port Harcourt"/>
    <s v="Nigeria-2025-04"/>
    <s v="Nigeria"/>
    <s v="Port Harcourt"/>
    <s v="Enterprise"/>
    <s v="Marketplace"/>
    <x v="9"/>
    <s v="Laptops"/>
    <s v="LAP-3490"/>
    <n v="1457.44"/>
    <n v="1996.81"/>
    <s v="Valid"/>
    <n v="1996.81"/>
    <s v="High"/>
    <n v="0.126"/>
    <s v="Valid"/>
    <n v="0.126"/>
    <n v="23"/>
    <n v="40139.874619999995"/>
    <n v="33521.120000000003"/>
    <n v="6618.7546199999924"/>
    <n v="0.16489225944672353"/>
    <n v="0"/>
    <n v="0"/>
  </r>
  <r>
    <s v="ORD-2025-898022"/>
    <d v="2025-09-02T00:00:00"/>
    <x v="11"/>
    <s v="Q3-2025"/>
    <d v="2025-09-11T00:00:00"/>
    <s v="Valid"/>
    <n v="9"/>
    <d v="2025-09-11T00:00:00"/>
    <x v="2"/>
    <s v="Americas → Canada → Toronto"/>
    <s v="Canada-2025-09"/>
    <s v="Canada"/>
    <s v="Toronto"/>
    <s v="Corporate"/>
    <s v="Distributor"/>
    <x v="12"/>
    <s v="Printers"/>
    <s v="PRN-1276"/>
    <n v="1207.6300000000001"/>
    <n v="921.68"/>
    <s v="Valid"/>
    <n v="921.68"/>
    <s v="Medium"/>
    <n v="0.19600000000000001"/>
    <s v="Valid"/>
    <n v="0.19600000000000001"/>
    <n v="17"/>
    <n v="12597.52224"/>
    <n v="20529.710000000003"/>
    <n v="-7932.1877600000025"/>
    <n v="-0.62966253274897988"/>
    <n v="0"/>
    <n v="0"/>
  </r>
  <r>
    <s v="ORD-2024-500511"/>
    <d v="2024-10-08T00:00:00"/>
    <x v="1"/>
    <s v="Q4-2024"/>
    <d v="2024-10-08T00:00:00"/>
    <s v="Valid"/>
    <n v="0"/>
    <d v="2024-10-08T00:00:00"/>
    <x v="3"/>
    <s v="Europe → United Kingdom → London"/>
    <s v="United Kingdom-2024-10"/>
    <s v="United Kingdom"/>
    <s v="London"/>
    <s v="Corporate"/>
    <s v="Online"/>
    <x v="6"/>
    <s v="Monitors"/>
    <s v="MON-9733"/>
    <n v="1108.1099999999999"/>
    <n v="2503.79"/>
    <s v="Valid"/>
    <n v="2503.79"/>
    <s v="High"/>
    <n v="0.184"/>
    <s v="Valid"/>
    <n v="0.184"/>
    <n v="19"/>
    <n v="38818.760160000005"/>
    <n v="21054.089999999997"/>
    <n v="17764.670160000009"/>
    <n v="0.45763105485025896"/>
    <n v="1"/>
    <n v="0"/>
  </r>
  <r>
    <s v="ORD-2023-632893"/>
    <d v="2023-05-07T00:00:00"/>
    <x v="15"/>
    <s v="Q2-2023"/>
    <d v="2023-05-05T00:00:00"/>
    <s v="Invalid RequiredDate"/>
    <n v="-2"/>
    <d v="2023-06-02T00:00:00"/>
    <x v="0"/>
    <s v="Africa → Nigeria → Port Harcourt"/>
    <s v="Nigeria-2023-05"/>
    <s v="Nigeria"/>
    <s v="Port Harcourt"/>
    <s v="Non-Profit"/>
    <s v="Marketplace"/>
    <x v="8"/>
    <s v="Components"/>
    <s v="CMP-9392"/>
    <n v="1269.6500000000001"/>
    <n v="2462.77"/>
    <s v="Valid"/>
    <n v="2462.77"/>
    <s v="High"/>
    <n v="0.107"/>
    <s v="Valid"/>
    <n v="0.107"/>
    <n v="8"/>
    <n v="17594.028880000002"/>
    <n v="10157.200000000001"/>
    <n v="7436.8288800000009"/>
    <n v="0.42269050089225502"/>
    <n v="1"/>
    <n v="0"/>
  </r>
  <r>
    <s v="ORD-2023-967239"/>
    <d v="2023-12-24T00:00:00"/>
    <x v="4"/>
    <s v="Q4-2023"/>
    <d v="2024-01-01T00:00:00"/>
    <s v="Valid"/>
    <n v="8"/>
    <d v="2024-01-01T00:00:00"/>
    <x v="2"/>
    <s v="Americas → Brazil → São Paulo"/>
    <s v="Brazil-2023-12"/>
    <s v="Brazil"/>
    <s v="São Paulo"/>
    <s v="Education"/>
    <s v="Direct"/>
    <x v="0"/>
    <s v="Phones"/>
    <s v="PHN-3014"/>
    <n v="526.49"/>
    <n v="496.2"/>
    <s v="Valid"/>
    <n v="496.2"/>
    <s v="Low"/>
    <n v="0"/>
    <s v="Valid"/>
    <n v="0"/>
    <n v="14"/>
    <n v="6946.8"/>
    <n v="7370.8600000000006"/>
    <n v="-424.0600000000004"/>
    <n v="-6.1043933897621985E-2"/>
    <n v="0"/>
    <n v="0"/>
  </r>
  <r>
    <s v="ORD-2024-885858"/>
    <d v="2024-01-10T00:00:00"/>
    <x v="9"/>
    <s v="Q1-2024"/>
    <d v="2024-01-23T00:00:00"/>
    <s v="Valid"/>
    <n v="13"/>
    <d v="2024-01-23T00:00:00"/>
    <x v="3"/>
    <s v="Europe → France → Marseille"/>
    <s v="France-2024-01"/>
    <s v="France"/>
    <s v="Marseille"/>
    <s v="Corporate"/>
    <s v="Direct"/>
    <x v="8"/>
    <s v="Printers"/>
    <s v="PRN-6776"/>
    <n v="720"/>
    <n v="907.59"/>
    <s v="Valid"/>
    <n v="907.59"/>
    <s v="Medium"/>
    <n v="0.154"/>
    <s v="Valid"/>
    <n v="0.154"/>
    <n v="10"/>
    <n v="7678.2113999999992"/>
    <n v="7200"/>
    <n v="478.21139999999923"/>
    <n v="6.2281614179052078E-2"/>
    <n v="0"/>
    <n v="0"/>
  </r>
  <r>
    <s v="ORD-2023-253245"/>
    <d v="2023-08-03T00:00:00"/>
    <x v="25"/>
    <s v="Q3-2023"/>
    <d v="2023-08-14T00:00:00"/>
    <s v="Valid"/>
    <n v="11"/>
    <d v="2023-08-14T00:00:00"/>
    <x v="2"/>
    <s v="Americas → Brazil → Brasília"/>
    <s v="Brazil-2023-08"/>
    <s v="Brazil"/>
    <s v="Brasília"/>
    <s v="Corporate"/>
    <s v="Direct"/>
    <x v="1"/>
    <s v="Accessories"/>
    <s v="ACC-3951"/>
    <n v="232.73"/>
    <n v="334.19"/>
    <s v="Valid"/>
    <n v="334.19"/>
    <s v="Low"/>
    <n v="0.13400000000000001"/>
    <s v="Valid"/>
    <n v="0.13400000000000001"/>
    <n v="25"/>
    <n v="7235.2134999999998"/>
    <n v="5818.25"/>
    <n v="1416.9634999999998"/>
    <n v="0.1958426658729559"/>
    <n v="0"/>
    <n v="0"/>
  </r>
  <r>
    <s v="ORD-2025-484073"/>
    <d v="2025-02-19T00:00:00"/>
    <x v="26"/>
    <s v="Q1-2025"/>
    <d v="2025-03-09T00:00:00"/>
    <s v="Valid"/>
    <n v="18"/>
    <d v="2025-03-09T00:00:00"/>
    <x v="1"/>
    <s v="Asia → India → Delhi"/>
    <s v="India-2025-02"/>
    <s v="India"/>
    <s v="Delhi"/>
    <s v="Small Business"/>
    <s v="Direct"/>
    <x v="7"/>
    <s v="Monitors"/>
    <s v="MON-1436"/>
    <n v="325.87"/>
    <n v="538.79"/>
    <s v="Valid"/>
    <n v="538.79"/>
    <s v="Low"/>
    <n v="0.17399999999999999"/>
    <s v="Valid"/>
    <n v="0.17399999999999999"/>
    <n v="16"/>
    <n v="7120.6486400000003"/>
    <n v="5213.92"/>
    <n v="1906.7286400000003"/>
    <n v="0.26777457172778013"/>
    <n v="0"/>
    <n v="0"/>
  </r>
  <r>
    <s v="ORD-2024-745822"/>
    <d v="2024-03-31T00:00:00"/>
    <x v="0"/>
    <s v="Q1-2024"/>
    <d v="2024-04-17T00:00:00"/>
    <s v="Valid"/>
    <n v="17"/>
    <d v="2024-04-17T00:00:00"/>
    <x v="3"/>
    <s v="Europe → Germany → Frankfurt"/>
    <s v="Germany-2024-03"/>
    <s v="Germany"/>
    <s v="Frankfurt"/>
    <s v="Education"/>
    <s v="Direct"/>
    <x v="10"/>
    <s v="Monitors"/>
    <s v="MON-8651"/>
    <n v="1025.51"/>
    <n v="1436.54"/>
    <s v="Valid"/>
    <n v="1436.54"/>
    <s v="Medium"/>
    <n v="0.13900000000000001"/>
    <s v="Valid"/>
    <n v="0.13900000000000001"/>
    <n v="28"/>
    <n v="34632.106319999999"/>
    <n v="28714.28"/>
    <n v="5917.8263200000001"/>
    <n v="0.17087688127656453"/>
    <n v="0"/>
    <n v="0"/>
  </r>
  <r>
    <s v="ORD-2023-369160"/>
    <d v="2023-07-24T00:00:00"/>
    <x v="24"/>
    <s v="Q3-2023"/>
    <d v="2023-08-13T00:00:00"/>
    <s v="Valid"/>
    <n v="20"/>
    <d v="2023-08-13T00:00:00"/>
    <x v="2"/>
    <s v="Americas → Canada → Montreal"/>
    <s v="Canada-2023-07"/>
    <s v="Canada"/>
    <s v="Montreal"/>
    <s v="Education"/>
    <s v="Direct"/>
    <x v="0"/>
    <s v="Monitors"/>
    <s v="MON-3307"/>
    <n v="1082.3800000000001"/>
    <n v="1766.55"/>
    <s v="Valid"/>
    <n v="1766.55"/>
    <s v="Medium"/>
    <n v="0.16400000000000001"/>
    <s v="Valid"/>
    <n v="0.16400000000000001"/>
    <n v="20"/>
    <n v="29536.716"/>
    <n v="21647.600000000002"/>
    <n v="7889.1159999999982"/>
    <n v="0.26709523157550752"/>
    <n v="0"/>
    <n v="0"/>
  </r>
  <r>
    <s v="ORD-2024-834983"/>
    <d v="2024-03-16T00:00:00"/>
    <x v="0"/>
    <s v="Q1-2024"/>
    <d v="2024-04-13T00:00:00"/>
    <s v="Valid"/>
    <n v="28"/>
    <d v="2024-04-13T00:00:00"/>
    <x v="3"/>
    <s v="Europe → France → Paris"/>
    <s v="France-2024-03"/>
    <s v="France"/>
    <s v="Paris"/>
    <s v="Small Business"/>
    <s v="Online"/>
    <x v="11"/>
    <s v="Printers"/>
    <s v="PRN-8758"/>
    <n v="287.61"/>
    <n v="628.54"/>
    <s v="Valid"/>
    <n v="628.54"/>
    <s v="Medium"/>
    <n v="0.13500000000000001"/>
    <s v="Valid"/>
    <n v="0.13500000000000001"/>
    <n v="21"/>
    <n v="11417.429099999999"/>
    <n v="6039.81"/>
    <n v="5377.619099999999"/>
    <n v="0.47100087531964613"/>
    <n v="0"/>
    <n v="0"/>
  </r>
  <r>
    <s v="ORD-2024-499009"/>
    <d v="2024-01-25T00:00:00"/>
    <x v="9"/>
    <s v="Q1-2024"/>
    <d v="2024-01-27T00:00:00"/>
    <s v="Valid"/>
    <n v="2"/>
    <d v="2024-01-27T00:00:00"/>
    <x v="2"/>
    <s v="Americas → Brazil → São Paulo"/>
    <s v="Brazil-2024-01"/>
    <s v="Brazil"/>
    <s v="São Paulo"/>
    <s v="Non-Profit"/>
    <s v="Marketplace"/>
    <x v="13"/>
    <s v="Laptops"/>
    <s v="LAP-7056"/>
    <n v="1410.97"/>
    <n v="1650.75"/>
    <s v="Valid"/>
    <n v="1650.75"/>
    <s v="Medium"/>
    <n v="0.13500000000000001"/>
    <s v="Valid"/>
    <n v="0.13500000000000001"/>
    <n v="6"/>
    <n v="8567.3924999999999"/>
    <n v="8465.82"/>
    <n v="101.57250000000022"/>
    <n v="1.1855707556295596E-2"/>
    <n v="1"/>
    <n v="0"/>
  </r>
  <r>
    <s v="ORD-2024-948800"/>
    <d v="2024-03-27T00:00:00"/>
    <x v="0"/>
    <s v="Q1-2024"/>
    <d v="2024-04-11T00:00:00"/>
    <s v="Valid"/>
    <n v="15"/>
    <d v="2024-04-11T00:00:00"/>
    <x v="2"/>
    <s v="Americas → USA → San Francisco"/>
    <s v="USA-2024-03"/>
    <s v="USA"/>
    <s v="San Francisco"/>
    <s v="Small Business"/>
    <s v="Direct"/>
    <x v="7"/>
    <s v="Networking"/>
    <s v="NET-5523"/>
    <n v="1338.35"/>
    <n v="2247.14"/>
    <s v="Valid"/>
    <n v="2247.14"/>
    <s v="High"/>
    <n v="0.115"/>
    <s v="Valid"/>
    <n v="0.115"/>
    <n v="40"/>
    <n v="79548.755999999994"/>
    <n v="53534"/>
    <n v="26014.755999999994"/>
    <n v="0.32702907384246205"/>
    <n v="0"/>
    <n v="0"/>
  </r>
  <r>
    <s v="ORD-2025-678328"/>
    <d v="2025-06-24T00:00:00"/>
    <x v="16"/>
    <s v="Q2-2025"/>
    <d v="2025-07-14T00:00:00"/>
    <s v="Valid"/>
    <n v="20"/>
    <d v="2025-07-14T00:00:00"/>
    <x v="3"/>
    <s v="Europe → Germany → Berlin"/>
    <s v="Germany-2025-06"/>
    <s v="Germany"/>
    <s v="Berlin"/>
    <s v="Corporate"/>
    <s v="Direct"/>
    <x v="7"/>
    <s v="Accessories"/>
    <s v="ACC-8094"/>
    <n v="385.08"/>
    <n v="893.19"/>
    <s v="Valid"/>
    <n v="893.19"/>
    <s v="Medium"/>
    <n v="0.151"/>
    <s v="Valid"/>
    <n v="0.151"/>
    <n v="8"/>
    <n v="6066.54648"/>
    <n v="3080.64"/>
    <n v="2985.9064800000001"/>
    <n v="0.49219213762621666"/>
    <n v="0"/>
    <n v="0"/>
  </r>
  <r>
    <s v="ORD-2024-580808"/>
    <d v="2024-06-16T00:00:00"/>
    <x v="17"/>
    <s v="Q2-2024"/>
    <d v="2024-07-03T00:00:00"/>
    <s v="Valid"/>
    <n v="17"/>
    <d v="2024-07-03T00:00:00"/>
    <x v="0"/>
    <s v="Africa → South Africa → Johannesburg"/>
    <s v="South Africa-2024-06"/>
    <s v="South Africa"/>
    <s v="Johannesburg"/>
    <s v="Enterprise"/>
    <s v="Marketplace"/>
    <x v="9"/>
    <s v="Phones"/>
    <s v="PHN-6832"/>
    <n v="1173.83"/>
    <n v="2328.9"/>
    <s v="Valid"/>
    <n v="2328.9"/>
    <s v="High"/>
    <n v="0.12"/>
    <s v="Valid"/>
    <n v="0.12"/>
    <n v="17"/>
    <n v="34840.344000000005"/>
    <n v="19955.11"/>
    <n v="14885.234000000004"/>
    <n v="0.42724130393201637"/>
    <n v="0"/>
    <n v="0"/>
  </r>
  <r>
    <s v="ORD-2023-211715"/>
    <d v="2023-10-30T00:00:00"/>
    <x v="32"/>
    <s v="Q4-2023"/>
    <d v="2023-11-14T00:00:00"/>
    <s v="Valid"/>
    <n v="15"/>
    <d v="2023-11-14T00:00:00"/>
    <x v="1"/>
    <s v="Asia → India → Bengaluru"/>
    <s v="India-2023-10"/>
    <s v="India"/>
    <s v="Bengaluru"/>
    <s v="Corporate"/>
    <s v="Online"/>
    <x v="9"/>
    <s v="Laptops"/>
    <s v="LAP-2378"/>
    <n v="953.46"/>
    <n v="2066.75"/>
    <s v="Valid"/>
    <n v="2066.75"/>
    <s v="High"/>
    <n v="0.13800000000000001"/>
    <s v="Valid"/>
    <n v="0.13800000000000001"/>
    <n v="5"/>
    <n v="8907.6924999999992"/>
    <n v="4767.3"/>
    <n v="4140.392499999999"/>
    <n v="0.46481089238318446"/>
    <n v="0"/>
    <n v="0"/>
  </r>
  <r>
    <s v="ORD-2023-715175"/>
    <d v="2023-06-15T00:00:00"/>
    <x v="23"/>
    <s v="Q2-2023"/>
    <d v="2023-06-23T00:00:00"/>
    <s v="Valid"/>
    <n v="8"/>
    <d v="2023-06-23T00:00:00"/>
    <x v="2"/>
    <s v="Americas → USA → San Francisco"/>
    <s v="USA-2023-06"/>
    <s v="USA"/>
    <s v="San Francisco"/>
    <s v="Consumer"/>
    <s v="Distributor"/>
    <x v="7"/>
    <s v="Monitors"/>
    <s v="MON-5424"/>
    <n v="1097.0899999999999"/>
    <n v="2182.31"/>
    <s v="Valid"/>
    <n v="2182.31"/>
    <s v="High"/>
    <n v="0.112"/>
    <s v="Valid"/>
    <n v="0.112"/>
    <n v="9"/>
    <n v="17441.021520000002"/>
    <n v="9873.81"/>
    <n v="7567.2115200000026"/>
    <n v="0.43387432962699546"/>
    <n v="0"/>
    <n v="0"/>
  </r>
  <r>
    <s v="ORD-2025-685236"/>
    <d v="2025-03-14T00:00:00"/>
    <x v="3"/>
    <s v="Q1-2025"/>
    <d v="2025-03-29T00:00:00"/>
    <s v="Valid"/>
    <n v="15"/>
    <d v="2025-03-29T00:00:00"/>
    <x v="1"/>
    <s v="Asia → Japan → Tokyo"/>
    <s v="Japan-2025-03"/>
    <s v="Japan"/>
    <s v="Tokyo"/>
    <s v="Non-Profit"/>
    <s v="Direct"/>
    <x v="10"/>
    <s v="Networking"/>
    <s v="NET-8430"/>
    <n v="1106.96"/>
    <n v="2726.62"/>
    <s v="Valid"/>
    <n v="2726.62"/>
    <s v="High"/>
    <n v="0.317"/>
    <s v="High Discount"/>
    <n v="0.3"/>
    <n v="7"/>
    <n v="13360.438"/>
    <n v="7748.72"/>
    <n v="5611.7179999999998"/>
    <n v="0.42002500217432992"/>
    <n v="0"/>
    <n v="1"/>
  </r>
  <r>
    <s v="ORD-2023-274037"/>
    <d v="2023-08-15T00:00:00"/>
    <x v="25"/>
    <s v="Q3-2023"/>
    <d v="2023-08-25T00:00:00"/>
    <s v="Valid"/>
    <n v="10"/>
    <d v="2023-08-25T00:00:00"/>
    <x v="0"/>
    <s v="Africa → Kenya → Nairobi"/>
    <s v="Kenya-2023-08"/>
    <s v="Kenya"/>
    <s v="Nairobi"/>
    <s v="Small Business"/>
    <s v="Retail"/>
    <x v="13"/>
    <s v="Phones"/>
    <s v="PHN-1234"/>
    <n v="91.85"/>
    <n v="111.29"/>
    <s v="Valid"/>
    <n v="111.29"/>
    <s v="Low"/>
    <n v="0"/>
    <s v="Valid"/>
    <n v="0"/>
    <n v="6"/>
    <n v="667.74"/>
    <n v="551.09999999999991"/>
    <n v="116.6400000000001"/>
    <n v="0.17467876718483258"/>
    <n v="0"/>
    <n v="0"/>
  </r>
  <r>
    <s v="ORD-2025-983096"/>
    <d v="2025-05-17T00:00:00"/>
    <x v="8"/>
    <s v="Q2-2025"/>
    <d v="2025-05-28T00:00:00"/>
    <s v="Valid"/>
    <n v="11"/>
    <d v="2025-05-28T00:00:00"/>
    <x v="1"/>
    <s v="Asia → India → Bengaluru"/>
    <s v="India-2025-05"/>
    <s v="India"/>
    <s v="Bengaluru"/>
    <s v="Corporate"/>
    <s v="Distributor"/>
    <x v="5"/>
    <s v="Laptops"/>
    <s v="LAP-9016"/>
    <n v="623.4"/>
    <n v="1100.0899999999999"/>
    <s v="Valid"/>
    <n v="1100.0899999999999"/>
    <s v="Medium"/>
    <n v="0.114"/>
    <s v="Valid"/>
    <n v="0.114"/>
    <n v="12"/>
    <n v="11696.156879999999"/>
    <n v="7480.7999999999993"/>
    <n v="4215.3568799999994"/>
    <n v="0.36040529579490388"/>
    <n v="0"/>
    <n v="0"/>
  </r>
  <r>
    <s v="ORD-2024-366010"/>
    <d v="2024-01-13T00:00:00"/>
    <x v="9"/>
    <s v="Q1-2024"/>
    <d v="2024-02-05T00:00:00"/>
    <s v="Valid"/>
    <n v="23"/>
    <d v="2024-02-05T00:00:00"/>
    <x v="3"/>
    <s v="Europe → Germany → Frankfurt"/>
    <s v="Germany-2024-01"/>
    <s v="Germany"/>
    <s v="Frankfurt"/>
    <s v="Education"/>
    <s v="Direct"/>
    <x v="5"/>
    <s v="Laptops"/>
    <s v="LAP-9931"/>
    <n v="1017.93"/>
    <n v="1529.14"/>
    <s v="Valid"/>
    <n v="1529.14"/>
    <s v="Medium"/>
    <n v="0.155"/>
    <s v="Valid"/>
    <n v="0.155"/>
    <n v="12"/>
    <n v="15505.479600000001"/>
    <n v="12215.16"/>
    <n v="3290.3196000000007"/>
    <n v="0.21220366508366503"/>
    <n v="0"/>
    <n v="0"/>
  </r>
  <r>
    <s v="ORD-2023-610470"/>
    <d v="2023-06-24T00:00:00"/>
    <x v="23"/>
    <s v="Q2-2023"/>
    <d v="2023-07-21T00:00:00"/>
    <s v="Valid"/>
    <n v="27"/>
    <d v="2023-07-21T00:00:00"/>
    <x v="1"/>
    <s v="Asia → Japan → Nagoya"/>
    <s v="Japan-2023-06"/>
    <s v="Japan"/>
    <s v="Nagoya"/>
    <s v="Consumer"/>
    <s v="Marketplace"/>
    <x v="1"/>
    <s v="Phones"/>
    <s v="PHN-6818"/>
    <n v="554.76"/>
    <n v="728.69"/>
    <s v="Valid"/>
    <n v="728.69"/>
    <s v="Medium"/>
    <n v="0.22"/>
    <s v="Valid"/>
    <n v="0.22"/>
    <n v="7"/>
    <n v="3978.6474000000003"/>
    <n v="3883.3199999999997"/>
    <n v="95.32740000000058"/>
    <n v="2.395975074343119E-2"/>
    <n v="0"/>
    <n v="1"/>
  </r>
  <r>
    <s v="ORD-2025-541048"/>
    <d v="2025-04-04T00:00:00"/>
    <x v="19"/>
    <s v="Q2-2025"/>
    <d v="2025-04-13T00:00:00"/>
    <s v="Valid"/>
    <n v="9"/>
    <d v="2025-04-13T00:00:00"/>
    <x v="3"/>
    <s v="Europe → Germany → Munich"/>
    <s v="Germany-2025-04"/>
    <s v="Germany"/>
    <s v="Munich"/>
    <s v="Consumer"/>
    <s v="Marketplace"/>
    <x v="9"/>
    <s v="Phones"/>
    <s v="PHN-3803"/>
    <n v="7.02"/>
    <n v="6.28"/>
    <s v="Valid"/>
    <n v="6.28"/>
    <s v="Low"/>
    <n v="0.13400000000000001"/>
    <s v="Valid"/>
    <n v="0.13400000000000001"/>
    <n v="14"/>
    <n v="76.138720000000006"/>
    <n v="98.28"/>
    <n v="-22.141279999999995"/>
    <n v="-0.29080184169106066"/>
    <n v="0"/>
    <n v="0"/>
  </r>
  <r>
    <s v="ORD-2024-862371"/>
    <d v="2024-09-07T00:00:00"/>
    <x v="29"/>
    <s v="Q3-2024"/>
    <d v="2024-09-07T00:00:00"/>
    <s v="Valid"/>
    <n v="0"/>
    <d v="2024-09-07T00:00:00"/>
    <x v="1"/>
    <s v="Asia → India → Mumbai"/>
    <s v="India-2024-09"/>
    <s v="India"/>
    <s v="Mumbai"/>
    <s v="Education"/>
    <s v="Distributor"/>
    <x v="5"/>
    <s v="Networking"/>
    <s v="NET-9835"/>
    <n v="1066.6500000000001"/>
    <n v="2569.77"/>
    <s v="Valid"/>
    <n v="2569.77"/>
    <s v="High"/>
    <n v="0.13400000000000001"/>
    <s v="Valid"/>
    <n v="0.13400000000000001"/>
    <n v="9"/>
    <n v="20028.787380000002"/>
    <n v="9599.85"/>
    <n v="10428.937380000001"/>
    <n v="0.52069739331368348"/>
    <n v="1"/>
    <n v="0"/>
  </r>
  <r>
    <s v="ORD-2024-277241"/>
    <d v="2024-01-28T00:00:00"/>
    <x v="9"/>
    <s v="Q1-2024"/>
    <d v="2024-01-30T00:00:00"/>
    <s v="Valid"/>
    <n v="2"/>
    <d v="2024-01-30T00:00:00"/>
    <x v="0"/>
    <s v="Africa → South Africa → Cape Town"/>
    <s v="South Africa-2024-01"/>
    <s v="South Africa"/>
    <s v="Cape Town"/>
    <s v="Consumer"/>
    <s v="Direct"/>
    <x v="9"/>
    <s v="Accessories"/>
    <s v="ACC-6223"/>
    <n v="798.45"/>
    <n v="1592.02"/>
    <s v="Valid"/>
    <n v="1592.02"/>
    <s v="Medium"/>
    <n v="6.6000000000000003E-2"/>
    <s v="Valid"/>
    <n v="6.6000000000000003E-2"/>
    <n v="18"/>
    <n v="26765.040239999998"/>
    <n v="14372.1"/>
    <n v="12392.940239999998"/>
    <n v="0.46302714768494585"/>
    <n v="1"/>
    <n v="0"/>
  </r>
  <r>
    <s v="ORD-2023-369150"/>
    <d v="2023-07-18T00:00:00"/>
    <x v="24"/>
    <s v="Q3-2023"/>
    <d v="2023-08-10T00:00:00"/>
    <s v="Valid"/>
    <n v="23"/>
    <d v="2023-08-10T00:00:00"/>
    <x v="0"/>
    <s v="Africa → South Africa → Johannesburg"/>
    <s v="South Africa-2023-07"/>
    <s v="South Africa"/>
    <s v="Johannesburg"/>
    <s v="Small Business"/>
    <s v="Retail"/>
    <x v="4"/>
    <s v="Components"/>
    <s v="CMP-8659"/>
    <n v="1271.56"/>
    <n v="995.47"/>
    <s v="Valid"/>
    <n v="995.47"/>
    <s v="Medium"/>
    <n v="0.192"/>
    <s v="Valid"/>
    <n v="0.192"/>
    <n v="13"/>
    <n v="10456.416880000001"/>
    <n v="16530.28"/>
    <n v="-6073.8631199999982"/>
    <n v="-0.58087423155607754"/>
    <n v="0"/>
    <n v="0"/>
  </r>
  <r>
    <s v="ORD-2025-922513"/>
    <d v="2025-08-28T00:00:00"/>
    <x v="28"/>
    <s v="Q3-2025"/>
    <d v="2025-08-26T00:00:00"/>
    <s v="Invalid RequiredDate"/>
    <n v="-2"/>
    <d v="2025-09-23T00:00:00"/>
    <x v="0"/>
    <s v="Africa → Nigeria → Port Harcourt"/>
    <s v="Nigeria-2025-08"/>
    <s v="Nigeria"/>
    <s v="Port Harcourt"/>
    <s v="Small Business"/>
    <s v="Retail"/>
    <x v="8"/>
    <s v="Accessories"/>
    <s v="ACC-4483"/>
    <n v="521.05999999999995"/>
    <n v="1240.31"/>
    <s v="Valid"/>
    <n v="1240.31"/>
    <s v="Medium"/>
    <n v="0.14599999999999999"/>
    <s v="Valid"/>
    <n v="0.14599999999999999"/>
    <n v="18"/>
    <n v="19066.045319999997"/>
    <n v="9379.0799999999981"/>
    <n v="9686.9653199999993"/>
    <n v="0.50807417885650974"/>
    <n v="1"/>
    <n v="0"/>
  </r>
  <r>
    <s v="ORD-2025-752845"/>
    <d v="2025-03-30T00:00:00"/>
    <x v="3"/>
    <s v="Q1-2025"/>
    <d v="2025-04-07T00:00:00"/>
    <s v="Valid"/>
    <n v="8"/>
    <d v="2025-04-07T00:00:00"/>
    <x v="2"/>
    <s v="Americas → Brazil → São Paulo"/>
    <s v="Brazil-2025-03"/>
    <s v="Brazil"/>
    <s v="São Paulo"/>
    <s v="Non-Profit"/>
    <s v="Direct"/>
    <x v="4"/>
    <s v="Printers"/>
    <s v="PRN-8763"/>
    <n v="71.62"/>
    <n v="118.37"/>
    <s v="Valid"/>
    <n v="118.37"/>
    <s v="Low"/>
    <n v="0.156"/>
    <s v="Valid"/>
    <n v="0.156"/>
    <n v="11"/>
    <n v="1098.9470800000001"/>
    <n v="787.82"/>
    <n v="311.12708000000009"/>
    <n v="0.28311379652603474"/>
    <n v="0"/>
    <n v="0"/>
  </r>
  <r>
    <s v="ORD-2023-667815"/>
    <d v="2023-10-21T00:00:00"/>
    <x v="32"/>
    <s v="Q4-2023"/>
    <d v="2023-11-09T00:00:00"/>
    <s v="Valid"/>
    <n v="19"/>
    <d v="2023-11-09T00:00:00"/>
    <x v="3"/>
    <s v="Europe → United Kingdom → London"/>
    <s v="United Kingdom-2023-10"/>
    <s v="United Kingdom"/>
    <s v="London"/>
    <s v="Non-Profit"/>
    <s v="Direct"/>
    <x v="8"/>
    <s v="Accessories"/>
    <s v="ACC-8557"/>
    <n v="1142.48"/>
    <n v="2105.5300000000002"/>
    <s v="Valid"/>
    <n v="2105.5300000000002"/>
    <s v="High"/>
    <n v="0.20699999999999999"/>
    <s v="Valid"/>
    <n v="0.20699999999999999"/>
    <n v="14"/>
    <n v="23375.594060000003"/>
    <n v="15994.720000000001"/>
    <n v="7380.8740600000019"/>
    <n v="0.31575129346680658"/>
    <n v="0"/>
    <n v="1"/>
  </r>
  <r>
    <s v="ORD-2023-375011"/>
    <d v="2023-08-23T00:00:00"/>
    <x v="25"/>
    <s v="Q3-2023"/>
    <d v="2023-09-22T00:00:00"/>
    <s v="Valid"/>
    <n v="30"/>
    <d v="2023-09-22T00:00:00"/>
    <x v="3"/>
    <s v="Europe → United Kingdom → London"/>
    <s v="United Kingdom-2023-08"/>
    <s v="United Kingdom"/>
    <s v="London"/>
    <s v="Consumer"/>
    <s v="Distributor"/>
    <x v="7"/>
    <s v="Accessories"/>
    <s v="ACC-1492"/>
    <n v="209.81"/>
    <n v="523"/>
    <s v="Valid"/>
    <n v="523"/>
    <s v="Low"/>
    <n v="5.8999999999999997E-2"/>
    <s v="Valid"/>
    <n v="5.8999999999999997E-2"/>
    <n v="15"/>
    <n v="7382.1450000000004"/>
    <n v="3147.15"/>
    <n v="4234.9950000000008"/>
    <n v="0.57368082041195356"/>
    <n v="0"/>
    <n v="0"/>
  </r>
  <r>
    <s v="ORD-2025-487025"/>
    <d v="2025-04-11T00:00:00"/>
    <x v="19"/>
    <s v="Q2-2025"/>
    <d v="2025-05-04T00:00:00"/>
    <s v="Valid"/>
    <n v="23"/>
    <d v="2025-05-04T00:00:00"/>
    <x v="1"/>
    <s v="Asia → Japan → Osaka"/>
    <s v="Japan-2025-04"/>
    <s v="Japan"/>
    <s v="Osaka"/>
    <s v="Small Business"/>
    <s v="Online"/>
    <x v="12"/>
    <s v="Components"/>
    <s v="CMP-3743"/>
    <n v="786.2"/>
    <n v="1075.3"/>
    <s v="Valid"/>
    <n v="1075.3"/>
    <s v="Medium"/>
    <n v="0.08"/>
    <s v="Valid"/>
    <n v="0.08"/>
    <n v="9"/>
    <n v="8903.4839999999986"/>
    <n v="7075.8"/>
    <n v="1827.6839999999984"/>
    <n v="0.20527739478163815"/>
    <n v="0"/>
    <n v="0"/>
  </r>
  <r>
    <s v="ORD-2025-398335"/>
    <d v="2025-06-01T00:00:00"/>
    <x v="16"/>
    <s v="Q2-2025"/>
    <d v="2025-06-27T00:00:00"/>
    <s v="Valid"/>
    <n v="26"/>
    <d v="2025-06-27T00:00:00"/>
    <x v="3"/>
    <s v="Europe → Germany → Munich"/>
    <s v="Germany-2025-06"/>
    <s v="Germany"/>
    <s v="Munich"/>
    <s v="Consumer"/>
    <s v="Distributor"/>
    <x v="6"/>
    <s v="Laptops"/>
    <s v="LAP-1619"/>
    <n v="1362.31"/>
    <n v="3294.57"/>
    <s v="Valid"/>
    <n v="3294.57"/>
    <s v="High"/>
    <n v="0.113"/>
    <s v="Valid"/>
    <n v="0.113"/>
    <n v="7"/>
    <n v="20455.985130000001"/>
    <n v="9536.17"/>
    <n v="10919.815130000001"/>
    <n v="0.5338200561157721"/>
    <n v="0"/>
    <n v="0"/>
  </r>
  <r>
    <s v="ORD-2024-792137"/>
    <d v="2024-03-02T00:00:00"/>
    <x v="0"/>
    <s v="Q1-2024"/>
    <d v="2024-03-16T00:00:00"/>
    <s v="Valid"/>
    <n v="14"/>
    <d v="2024-03-16T00:00:00"/>
    <x v="2"/>
    <s v="Americas → Canada → Vancouver"/>
    <s v="Canada-2024-03"/>
    <s v="Canada"/>
    <s v="Vancouver"/>
    <s v="Non-Profit"/>
    <s v="Direct"/>
    <x v="7"/>
    <s v="Printers"/>
    <s v="PRN-7976"/>
    <n v="248.24"/>
    <n v="464.05"/>
    <s v="Valid"/>
    <n v="464.05"/>
    <s v="Low"/>
    <n v="0.16900000000000001"/>
    <s v="Valid"/>
    <n v="0.16900000000000001"/>
    <n v="11"/>
    <n v="4241.88105"/>
    <n v="2730.6400000000003"/>
    <n v="1511.2410499999996"/>
    <n v="0.3562667203975462"/>
    <n v="0"/>
    <n v="0"/>
  </r>
  <r>
    <s v="ORD-2023-602648"/>
    <d v="2023-06-20T00:00:00"/>
    <x v="23"/>
    <s v="Q2-2023"/>
    <d v="2023-07-08T00:00:00"/>
    <s v="Valid"/>
    <n v="18"/>
    <d v="2023-07-08T00:00:00"/>
    <x v="2"/>
    <s v="Americas → USA → Austin"/>
    <s v="USA-2023-06"/>
    <s v="USA"/>
    <s v="Austin"/>
    <s v="Non-Profit"/>
    <s v="Direct"/>
    <x v="9"/>
    <s v="Monitors"/>
    <s v="MON-4326"/>
    <n v="337"/>
    <n v="511.03"/>
    <s v="Valid"/>
    <n v="511.03"/>
    <s v="Low"/>
    <n v="0.108"/>
    <s v="Valid"/>
    <n v="0.108"/>
    <n v="7"/>
    <n v="3190.8713200000002"/>
    <n v="2359"/>
    <n v="831.8713200000002"/>
    <n v="0.26070349963219458"/>
    <n v="0"/>
    <n v="0"/>
  </r>
  <r>
    <s v="ORD-2024-207096"/>
    <d v="2024-03-26T00:00:00"/>
    <x v="0"/>
    <s v="Q1-2024"/>
    <d v="2024-04-05T00:00:00"/>
    <s v="Valid"/>
    <n v="10"/>
    <d v="2024-04-05T00:00:00"/>
    <x v="2"/>
    <s v="Americas → USA → Austin"/>
    <s v="USA-2024-03"/>
    <s v="USA"/>
    <s v="Austin"/>
    <s v="Consumer"/>
    <s v="Direct"/>
    <x v="1"/>
    <s v="Monitors"/>
    <s v="MON-5444"/>
    <n v="5.66"/>
    <n v="4.22"/>
    <s v="Valid"/>
    <n v="4.22"/>
    <s v="Low"/>
    <n v="0.11899999999999999"/>
    <s v="Valid"/>
    <n v="0.11899999999999999"/>
    <n v="18"/>
    <n v="66.920760000000001"/>
    <n v="101.88"/>
    <n v="-34.959239999999994"/>
    <n v="-0.52239753403876454"/>
    <n v="0"/>
    <n v="0"/>
  </r>
  <r>
    <s v="ORD-2025-939953"/>
    <d v="2025-01-22T00:00:00"/>
    <x v="10"/>
    <s v="Q1-2025"/>
    <d v="2025-01-22T00:00:00"/>
    <s v="Valid"/>
    <n v="0"/>
    <d v="2025-01-22T00:00:00"/>
    <x v="3"/>
    <s v="Europe → France → Lyon"/>
    <s v="France-2025-01"/>
    <s v="France"/>
    <s v="Lyon"/>
    <s v="Small Business"/>
    <s v="Online"/>
    <x v="5"/>
    <s v="Accessories"/>
    <s v="ACC-5422"/>
    <n v="591.72"/>
    <n v="577.24"/>
    <s v="Valid"/>
    <n v="577.24"/>
    <s v="Low"/>
    <n v="0"/>
    <s v="Valid"/>
    <n v="0"/>
    <n v="22"/>
    <n v="12699.28"/>
    <n v="13017.84"/>
    <n v="-318.55999999999949"/>
    <n v="-2.5084886702238195E-2"/>
    <n v="1"/>
    <n v="0"/>
  </r>
  <r>
    <s v="ORD-2025-191328"/>
    <d v="2025-05-10T00:00:00"/>
    <x v="8"/>
    <s v="Q2-2025"/>
    <d v="2025-05-27T00:00:00"/>
    <s v="Valid"/>
    <n v="17"/>
    <d v="2025-05-27T00:00:00"/>
    <x v="2"/>
    <s v="Americas → Canada → Vancouver"/>
    <s v="Canada-2025-05"/>
    <s v="Canada"/>
    <s v="Vancouver"/>
    <s v="Education"/>
    <s v="Direct"/>
    <x v="0"/>
    <s v="Components"/>
    <s v="CMP-9307"/>
    <n v="862.89"/>
    <n v="1426.03"/>
    <s v="Valid"/>
    <n v="1426.03"/>
    <s v="Medium"/>
    <n v="5.6000000000000001E-2"/>
    <s v="Valid"/>
    <n v="5.6000000000000001E-2"/>
    <n v="19"/>
    <n v="25577.274079999999"/>
    <n v="16394.91"/>
    <n v="9182.3640799999994"/>
    <n v="0.35900479665188778"/>
    <n v="0"/>
    <n v="0"/>
  </r>
  <r>
    <s v="ORD-2023-166668"/>
    <d v="2023-10-05T00:00:00"/>
    <x v="32"/>
    <s v="Q4-2023"/>
    <d v="2023-10-31T00:00:00"/>
    <s v="Valid"/>
    <n v="26"/>
    <d v="2023-10-31T00:00:00"/>
    <x v="1"/>
    <s v="Asia → China → Shanghai"/>
    <s v="China-2023-10"/>
    <s v="China"/>
    <s v="Shanghai"/>
    <s v="Consumer"/>
    <s v="Unknown"/>
    <x v="1"/>
    <s v="Printers"/>
    <s v="PRN-6520"/>
    <n v="649.91"/>
    <n v="1360.12"/>
    <s v="Valid"/>
    <n v="1360.12"/>
    <s v="Medium"/>
    <n v="0.19400000000000001"/>
    <s v="Valid"/>
    <n v="0.19400000000000001"/>
    <n v="9"/>
    <n v="9866.3104799999983"/>
    <n v="5849.19"/>
    <n v="4017.1204799999987"/>
    <n v="0.40715528749506769"/>
    <n v="0"/>
    <n v="0"/>
  </r>
  <r>
    <s v="ORD-2023-594700"/>
    <d v="2023-07-18T00:00:00"/>
    <x v="24"/>
    <s v="Q3-2023"/>
    <d v="2023-07-22T00:00:00"/>
    <s v="Valid"/>
    <n v="4"/>
    <d v="2023-07-22T00:00:00"/>
    <x v="2"/>
    <s v="Americas → Brazil → São Paulo"/>
    <s v="Brazil-2023-07"/>
    <s v="Brazil"/>
    <s v="São Paulo"/>
    <s v="Consumer"/>
    <s v="Direct"/>
    <x v="9"/>
    <s v="Networking"/>
    <s v="NET-1699"/>
    <n v="1269.55"/>
    <n v="2071.1"/>
    <s v="Valid"/>
    <n v="2071.1"/>
    <s v="High"/>
    <n v="0.129"/>
    <s v="Valid"/>
    <n v="0.129"/>
    <n v="22"/>
    <n v="39686.4182"/>
    <n v="27930.1"/>
    <n v="11756.318200000002"/>
    <n v="0.29623026549672354"/>
    <n v="1"/>
    <n v="0"/>
  </r>
  <r>
    <s v="ORD-2025-278048"/>
    <d v="2025-06-22T00:00:00"/>
    <x v="16"/>
    <s v="Q2-2025"/>
    <d v="2025-07-08T00:00:00"/>
    <s v="Valid"/>
    <n v="16"/>
    <d v="2025-07-08T00:00:00"/>
    <x v="3"/>
    <s v="Europe → United Kingdom → London"/>
    <s v="United Kingdom-2025-06"/>
    <s v="United Kingdom"/>
    <s v="London"/>
    <s v="Education"/>
    <s v="Direct"/>
    <x v="8"/>
    <s v="Phones"/>
    <s v="PHN-5316"/>
    <n v="892.73"/>
    <n v="979.84"/>
    <s v="Valid"/>
    <n v="979.84"/>
    <s v="Medium"/>
    <n v="0.17399999999999999"/>
    <s v="Valid"/>
    <n v="0.17399999999999999"/>
    <n v="10"/>
    <n v="8093.4784"/>
    <n v="8927.2999999999993"/>
    <n v="-833.82159999999931"/>
    <n v="-0.10302388649112838"/>
    <n v="0"/>
    <n v="0"/>
  </r>
  <r>
    <s v="ORD-2024-878493"/>
    <d v="2024-06-19T00:00:00"/>
    <x v="17"/>
    <s v="Q2-2024"/>
    <d v="2024-06-20T00:00:00"/>
    <s v="Valid"/>
    <n v="1"/>
    <d v="2024-06-20T00:00:00"/>
    <x v="0"/>
    <s v="Africa → Kenya → Kisumu"/>
    <s v="Kenya-2024-06"/>
    <s v="Kenya"/>
    <s v="Kisumu"/>
    <s v="Small Business"/>
    <s v="Direct"/>
    <x v="1"/>
    <s v="Laptops"/>
    <s v="LAP-4607"/>
    <n v="231.63"/>
    <n v="537.39"/>
    <s v="Valid"/>
    <n v="537.39"/>
    <s v="Low"/>
    <n v="0.08"/>
    <s v="Valid"/>
    <n v="0.08"/>
    <n v="12"/>
    <n v="5932.7856000000002"/>
    <n v="2779.56"/>
    <n v="3153.2256000000002"/>
    <n v="0.53149158129024587"/>
    <n v="1"/>
    <n v="0"/>
  </r>
  <r>
    <s v="ORD-2025-138578"/>
    <d v="2025-04-09T00:00:00"/>
    <x v="19"/>
    <s v="Q2-2025"/>
    <d v="2025-04-12T00:00:00"/>
    <s v="Valid"/>
    <n v="3"/>
    <d v="2025-04-12T00:00:00"/>
    <x v="3"/>
    <s v="Europe → France → Lyon"/>
    <s v="France-2025-04"/>
    <s v="France"/>
    <s v="Lyon"/>
    <s v="Small Business"/>
    <s v="Distributor"/>
    <x v="10"/>
    <s v="Monitors"/>
    <s v="MON-5276"/>
    <n v="86.68"/>
    <n v="213.32"/>
    <s v="Valid"/>
    <n v="213.32"/>
    <s v="Low"/>
    <n v="3.7999999999999999E-2"/>
    <s v="Valid"/>
    <n v="3.7999999999999999E-2"/>
    <n v="8"/>
    <n v="1641.7107199999998"/>
    <n v="693.44"/>
    <n v="948.27071999999976"/>
    <n v="0.57761133459614611"/>
    <n v="1"/>
    <n v="0"/>
  </r>
  <r>
    <s v="ORD-2025-944081"/>
    <d v="2025-03-25T00:00:00"/>
    <x v="3"/>
    <s v="Q1-2025"/>
    <d v="2025-03-26T00:00:00"/>
    <s v="Valid"/>
    <n v="1"/>
    <d v="2025-03-26T00:00:00"/>
    <x v="0"/>
    <s v="Africa → Nigeria → Lagos"/>
    <s v="Nigeria-2025-03"/>
    <s v="Nigeria"/>
    <s v="Lagos"/>
    <s v="Education"/>
    <s v="Distributor"/>
    <x v="3"/>
    <s v="Accessories"/>
    <s v="ACC-9533"/>
    <n v="1450.43"/>
    <n v="1994.67"/>
    <s v="Valid"/>
    <n v="1994.67"/>
    <s v="High"/>
    <n v="0.1"/>
    <s v="Valid"/>
    <n v="0.1"/>
    <n v="24"/>
    <n v="43084.872000000003"/>
    <n v="34810.32"/>
    <n v="8274.5520000000033"/>
    <n v="0.19205237513529116"/>
    <n v="1"/>
    <n v="0"/>
  </r>
  <r>
    <s v="ORD-2025-364852"/>
    <d v="2025-05-18T00:00:00"/>
    <x v="8"/>
    <s v="Q2-2025"/>
    <d v="2025-06-09T00:00:00"/>
    <s v="Valid"/>
    <n v="22"/>
    <d v="2025-06-09T00:00:00"/>
    <x v="2"/>
    <s v="Americas → USA → New York"/>
    <s v="USA-2025-05"/>
    <s v="USA"/>
    <s v="New York"/>
    <s v="Consumer"/>
    <s v="Retail"/>
    <x v="10"/>
    <s v="Networking"/>
    <s v="NET-3749"/>
    <n v="382.96"/>
    <n v="552.84"/>
    <s v="Valid"/>
    <n v="552.84"/>
    <s v="Low"/>
    <n v="0.17599999999999999"/>
    <s v="Valid"/>
    <n v="0.17599999999999999"/>
    <n v="8"/>
    <n v="3644.3212800000006"/>
    <n v="3063.68"/>
    <n v="580.64128000000073"/>
    <n v="0.15932768693763483"/>
    <n v="0"/>
    <n v="0"/>
  </r>
  <r>
    <s v="ORD-2025-415018"/>
    <d v="2025-01-22T00:00:00"/>
    <x v="10"/>
    <s v="Q1-2025"/>
    <d v="2025-02-04T00:00:00"/>
    <s v="Valid"/>
    <n v="13"/>
    <d v="2025-02-04T00:00:00"/>
    <x v="1"/>
    <s v="Asia → Japan → Tokyo"/>
    <s v="Japan-2025-01"/>
    <s v="Japan"/>
    <s v="Tokyo"/>
    <s v="Small Business"/>
    <s v="Distributor"/>
    <x v="4"/>
    <s v="Printers"/>
    <s v="PRN-2991"/>
    <n v="122.29"/>
    <n v="224.95"/>
    <s v="Valid"/>
    <n v="224.95"/>
    <s v="Low"/>
    <n v="0.153"/>
    <s v="Valid"/>
    <n v="0.153"/>
    <n v="28"/>
    <n v="5334.9141999999993"/>
    <n v="3424.1200000000003"/>
    <n v="1910.7941999999989"/>
    <n v="0.3581677471026618"/>
    <n v="0"/>
    <n v="0"/>
  </r>
  <r>
    <s v="ORD-2023-884192"/>
    <d v="2023-01-10T00:00:00"/>
    <x v="5"/>
    <s v="Q1-2023"/>
    <d v="2023-01-29T00:00:00"/>
    <s v="Valid"/>
    <n v="19"/>
    <d v="2023-01-29T00:00:00"/>
    <x v="3"/>
    <s v="Europe → France → Lyon"/>
    <s v="France-2023-01"/>
    <s v="France"/>
    <s v="Lyon"/>
    <s v="Non-Profit"/>
    <s v="Direct"/>
    <x v="14"/>
    <s v="Laptops"/>
    <s v="LAP-4551"/>
    <n v="401.66"/>
    <n v="772.09"/>
    <s v="Valid"/>
    <n v="772.09"/>
    <s v="Medium"/>
    <n v="8.8999999999999996E-2"/>
    <s v="Valid"/>
    <n v="8.8999999999999996E-2"/>
    <n v="14"/>
    <n v="9847.2358600000007"/>
    <n v="5623.2400000000007"/>
    <n v="4223.99586"/>
    <n v="0.42895244107619046"/>
    <n v="0"/>
    <n v="0"/>
  </r>
  <r>
    <s v="ORD-2024-165942"/>
    <d v="2024-12-29T00:00:00"/>
    <x v="6"/>
    <s v="Q4-2024"/>
    <d v="2025-01-12T00:00:00"/>
    <s v="Valid"/>
    <n v="14"/>
    <d v="2025-01-12T00:00:00"/>
    <x v="3"/>
    <s v="Europe → United Kingdom → Manchester"/>
    <s v="United Kingdom-2024-12"/>
    <s v="United Kingdom"/>
    <s v="Manchester"/>
    <s v="Corporate"/>
    <s v="Direct"/>
    <x v="5"/>
    <s v="Monitors"/>
    <s v="MON-6310"/>
    <n v="1399.72"/>
    <n v="3149.21"/>
    <s v="Valid"/>
    <n v="3149.21"/>
    <s v="High"/>
    <n v="0.185"/>
    <s v="Valid"/>
    <n v="0.185"/>
    <n v="12"/>
    <n v="30799.273800000003"/>
    <n v="16796.64"/>
    <n v="14002.633800000003"/>
    <n v="0.45464168703873797"/>
    <n v="0"/>
    <n v="0"/>
  </r>
  <r>
    <s v="ORD-2024-403664"/>
    <d v="2024-05-23T00:00:00"/>
    <x v="7"/>
    <s v="Q2-2024"/>
    <d v="2024-06-06T00:00:00"/>
    <s v="Valid"/>
    <n v="14"/>
    <d v="2024-06-06T00:00:00"/>
    <x v="2"/>
    <s v="Americas → Brazil → Rio de Janeiro"/>
    <s v="Brazil-2024-05"/>
    <s v="Brazil"/>
    <s v="Rio de Janeiro"/>
    <s v="Non-Profit"/>
    <s v="Online"/>
    <x v="2"/>
    <s v="Networking"/>
    <s v="NET-1166"/>
    <n v="51.13"/>
    <n v="57.53"/>
    <s v="Valid"/>
    <n v="57.53"/>
    <s v="Low"/>
    <n v="4.4999999999999998E-2"/>
    <s v="Valid"/>
    <n v="4.4999999999999998E-2"/>
    <n v="16"/>
    <n v="879.05840000000001"/>
    <n v="818.08"/>
    <n v="60.978399999999965"/>
    <n v="6.9367859973808302E-2"/>
    <n v="0"/>
    <n v="0"/>
  </r>
  <r>
    <s v="ORD-2023-890605"/>
    <d v="2023-06-24T00:00:00"/>
    <x v="23"/>
    <s v="Q2-2023"/>
    <d v="2023-06-22T00:00:00"/>
    <s v="Invalid RequiredDate"/>
    <n v="-2"/>
    <d v="2023-07-20T00:00:00"/>
    <x v="2"/>
    <s v="Americas → Canada → Toronto"/>
    <s v="Canada-2023-06"/>
    <s v="Canada"/>
    <s v="Toronto"/>
    <s v="Non-Profit"/>
    <s v="Retail"/>
    <x v="12"/>
    <s v="Accessories"/>
    <s v="ACC-2903"/>
    <n v="471.42"/>
    <n v="824.81"/>
    <s v="Valid"/>
    <n v="824.81"/>
    <s v="Medium"/>
    <n v="8.7999999999999995E-2"/>
    <s v="Valid"/>
    <n v="8.7999999999999995E-2"/>
    <n v="15"/>
    <n v="11283.400799999999"/>
    <n v="7071.3"/>
    <n v="4212.1007999999993"/>
    <n v="0.37330064531608231"/>
    <n v="1"/>
    <n v="0"/>
  </r>
  <r>
    <s v="ORD-2024-925626"/>
    <d v="2024-11-04T00:00:00"/>
    <x v="18"/>
    <s v="Q4-2024"/>
    <d v="2024-11-05T00:00:00"/>
    <s v="Valid"/>
    <n v="1"/>
    <d v="2024-11-05T00:00:00"/>
    <x v="3"/>
    <s v="Europe → United Kingdom → London"/>
    <s v="United Kingdom-2024-11"/>
    <s v="United Kingdom"/>
    <s v="London"/>
    <s v="Corporate"/>
    <s v="Retail"/>
    <x v="12"/>
    <s v="Printers"/>
    <s v="PRN-2293"/>
    <n v="840.68"/>
    <n v="1493.53"/>
    <s v="Valid"/>
    <n v="1493.53"/>
    <s v="Medium"/>
    <n v="0"/>
    <s v="Valid"/>
    <n v="0"/>
    <n v="27"/>
    <n v="40325.31"/>
    <n v="22698.359999999997"/>
    <n v="17626.95"/>
    <n v="0.43711877230454027"/>
    <n v="1"/>
    <n v="0"/>
  </r>
  <r>
    <s v="ORD-2024-427031"/>
    <d v="2024-06-08T00:00:00"/>
    <x v="17"/>
    <s v="Q2-2024"/>
    <d v="2024-06-24T00:00:00"/>
    <s v="Valid"/>
    <n v="16"/>
    <d v="2024-06-24T00:00:00"/>
    <x v="0"/>
    <s v="Africa → South Africa → Durban"/>
    <s v="South Africa-2024-06"/>
    <s v="South Africa"/>
    <s v="Durban"/>
    <s v="Education"/>
    <s v="Distributor"/>
    <x v="10"/>
    <s v="Monitors"/>
    <s v="MON-1389"/>
    <n v="597.85"/>
    <n v="741.92"/>
    <s v="Valid"/>
    <n v="741.92"/>
    <s v="Medium"/>
    <n v="3.1E-2"/>
    <s v="Valid"/>
    <n v="3.1E-2"/>
    <n v="7"/>
    <n v="5032.4433599999993"/>
    <n v="4184.95"/>
    <n v="847.49335999999948"/>
    <n v="0.16840594108544515"/>
    <n v="0"/>
    <n v="0"/>
  </r>
  <r>
    <s v="ORD-2025-231184"/>
    <d v="2025-06-01T00:00:00"/>
    <x v="16"/>
    <s v="Q2-2025"/>
    <d v="2025-06-06T00:00:00"/>
    <s v="Valid"/>
    <n v="5"/>
    <d v="2025-06-06T00:00:00"/>
    <x v="3"/>
    <s v="Europe → France → Paris"/>
    <s v="France-2025-06"/>
    <s v="France"/>
    <s v="Paris"/>
    <s v="Consumer"/>
    <s v="Distributor"/>
    <x v="3"/>
    <s v="Components"/>
    <s v="CMP-4093"/>
    <n v="379.45"/>
    <n v="742.23"/>
    <s v="Valid"/>
    <n v="742.23"/>
    <s v="Medium"/>
    <n v="0.09"/>
    <s v="Valid"/>
    <n v="0.09"/>
    <n v="13"/>
    <n v="8780.5809000000008"/>
    <n v="4932.8499999999995"/>
    <n v="3847.7309000000014"/>
    <n v="0.43820915083192286"/>
    <n v="1"/>
    <n v="0"/>
  </r>
  <r>
    <s v="ORD-2023-363031"/>
    <d v="2023-05-06T00:00:00"/>
    <x v="15"/>
    <s v="Q2-2023"/>
    <d v="2023-05-14T00:00:00"/>
    <s v="Valid"/>
    <n v="8"/>
    <d v="2023-05-14T00:00:00"/>
    <x v="1"/>
    <s v="Asia → Japan → Osaka"/>
    <s v="Japan-2023-05"/>
    <s v="Japan"/>
    <s v="Osaka"/>
    <s v="Enterprise"/>
    <s v="Marketplace"/>
    <x v="5"/>
    <s v="Phones"/>
    <s v="PHN-6131"/>
    <n v="291.18"/>
    <n v="479.54"/>
    <s v="Valid"/>
    <n v="479.54"/>
    <s v="Low"/>
    <n v="0.14099999999999999"/>
    <s v="Valid"/>
    <n v="0.14099999999999999"/>
    <n v="22"/>
    <n v="9062.34692"/>
    <n v="6405.96"/>
    <n v="2656.3869199999999"/>
    <n v="0.29312350801066001"/>
    <n v="0"/>
    <n v="0"/>
  </r>
  <r>
    <s v="ORD-2023-619570"/>
    <d v="2023-11-14T00:00:00"/>
    <x v="30"/>
    <s v="Q4-2023"/>
    <d v="2023-11-30T00:00:00"/>
    <s v="Valid"/>
    <n v="16"/>
    <d v="2023-11-30T00:00:00"/>
    <x v="2"/>
    <s v="Americas → Brazil → São Paulo"/>
    <s v="Brazil-2023-11"/>
    <s v="Brazil"/>
    <s v="São Paulo"/>
    <s v="Enterprise"/>
    <s v="Direct"/>
    <x v="11"/>
    <s v="Networking"/>
    <s v="NET-4104"/>
    <n v="1017.92"/>
    <n v="1175.25"/>
    <s v="Valid"/>
    <n v="1175.25"/>
    <s v="Medium"/>
    <n v="7.4999999999999997E-2"/>
    <s v="Valid"/>
    <n v="7.4999999999999997E-2"/>
    <n v="15"/>
    <n v="16306.59375"/>
    <n v="15268.8"/>
    <n v="1037.7937500000007"/>
    <n v="6.3642583234159542E-2"/>
    <n v="0"/>
    <n v="0"/>
  </r>
  <r>
    <s v="ORD-2025-861401"/>
    <d v="2025-04-01T00:00:00"/>
    <x v="19"/>
    <s v="Q2-2025"/>
    <d v="2025-04-27T00:00:00"/>
    <s v="Valid"/>
    <n v="26"/>
    <d v="2025-04-27T00:00:00"/>
    <x v="2"/>
    <s v="Americas → USA → San Francisco"/>
    <s v="USA-2025-04"/>
    <s v="USA"/>
    <s v="San Francisco"/>
    <s v="Corporate"/>
    <s v="Direct"/>
    <x v="2"/>
    <s v="Monitors"/>
    <s v="MON-9319"/>
    <n v="156.55000000000001"/>
    <n v="227.45"/>
    <s v="Valid"/>
    <n v="227.45"/>
    <s v="Low"/>
    <n v="1.4E-2"/>
    <s v="Valid"/>
    <n v="1.4E-2"/>
    <n v="13"/>
    <n v="2915.4540999999999"/>
    <n v="2035.15"/>
    <n v="880.30409999999983"/>
    <n v="0.3019440779396938"/>
    <n v="0"/>
    <n v="0"/>
  </r>
  <r>
    <s v="ORD-2023-835010"/>
    <d v="2023-03-23T00:00:00"/>
    <x v="22"/>
    <s v="Q1-2023"/>
    <d v="2023-04-15T00:00:00"/>
    <s v="Valid"/>
    <n v="23"/>
    <d v="2023-04-15T00:00:00"/>
    <x v="0"/>
    <s v="Africa → Kenya → Mombasa"/>
    <s v="Kenya-2023-03"/>
    <s v="Kenya"/>
    <s v="Mombasa"/>
    <s v="Small Business"/>
    <s v="Retail"/>
    <x v="0"/>
    <s v="Accessories"/>
    <s v="ACC-2988"/>
    <n v="875.36"/>
    <n v="1178.6199999999999"/>
    <s v="Valid"/>
    <n v="1178.6199999999999"/>
    <s v="Medium"/>
    <n v="0.151"/>
    <s v="Valid"/>
    <n v="0.151"/>
    <n v="53"/>
    <n v="53034.364139999991"/>
    <n v="46394.080000000002"/>
    <n v="6640.2841399999888"/>
    <n v="0.12520719815685888"/>
    <n v="0"/>
    <n v="0"/>
  </r>
  <r>
    <s v="ORD-2024-819979"/>
    <d v="2024-05-28T00:00:00"/>
    <x v="7"/>
    <s v="Q2-2024"/>
    <d v="2024-06-18T00:00:00"/>
    <s v="Valid"/>
    <n v="21"/>
    <d v="2024-06-18T00:00:00"/>
    <x v="3"/>
    <s v="Europe → Germany → Frankfurt"/>
    <s v="Germany-2024-05"/>
    <s v="Germany"/>
    <s v="Frankfurt"/>
    <s v="Small Business"/>
    <s v="Online"/>
    <x v="6"/>
    <s v="Phones"/>
    <s v="PHN-9399"/>
    <n v="986.85"/>
    <n v="2422.1"/>
    <s v="Valid"/>
    <n v="2422.1"/>
    <s v="High"/>
    <n v="7.5999999999999998E-2"/>
    <s v="Valid"/>
    <n v="7.5999999999999998E-2"/>
    <n v="10"/>
    <n v="22380.204000000002"/>
    <n v="9868.5"/>
    <n v="12511.704000000002"/>
    <n v="0.55905227673527913"/>
    <n v="0"/>
    <n v="0"/>
  </r>
  <r>
    <s v="ORD-2024-719055"/>
    <d v="2024-01-02T00:00:00"/>
    <x v="9"/>
    <s v="Q1-2024"/>
    <d v="2024-01-01T00:00:00"/>
    <s v="Invalid RequiredDate"/>
    <n v="-1"/>
    <d v="2024-01-28T00:00:00"/>
    <x v="2"/>
    <s v="Americas → USA → Chicago"/>
    <s v="USA-2024-01"/>
    <s v="USA"/>
    <s v="Chicago"/>
    <s v="Education"/>
    <s v="Marketplace"/>
    <x v="5"/>
    <s v="Networking"/>
    <s v="NET-4554"/>
    <n v="404.77"/>
    <n v="433.88"/>
    <s v="Valid"/>
    <n v="433.88"/>
    <s v="Low"/>
    <n v="0.215"/>
    <s v="Valid"/>
    <n v="0.215"/>
    <n v="22"/>
    <n v="7493.1076000000012"/>
    <n v="8904.9399999999987"/>
    <n v="-1411.8323999999975"/>
    <n v="-0.18841747314558746"/>
    <n v="1"/>
    <n v="1"/>
  </r>
  <r>
    <s v="ORD-2023-888245"/>
    <d v="2023-02-28T00:00:00"/>
    <x v="2"/>
    <s v="Q1-2023"/>
    <d v="2023-02-27T00:00:00"/>
    <s v="Invalid RequiredDate"/>
    <n v="-1"/>
    <d v="2023-03-26T00:00:00"/>
    <x v="3"/>
    <s v="Europe → France → Marseille"/>
    <s v="France-2023-02"/>
    <s v="France"/>
    <s v="Marseille"/>
    <s v="Corporate"/>
    <s v="Retail"/>
    <x v="11"/>
    <s v="Networking"/>
    <s v="NET-5195"/>
    <n v="1299.81"/>
    <n v="3149.13"/>
    <s v="Valid"/>
    <n v="3149.13"/>
    <s v="High"/>
    <n v="0.10299999999999999"/>
    <s v="Valid"/>
    <n v="0.10299999999999999"/>
    <n v="14"/>
    <n v="39546.774539999999"/>
    <n v="18197.34"/>
    <n v="21349.434539999998"/>
    <n v="0.53985273864511729"/>
    <n v="1"/>
    <n v="0"/>
  </r>
  <r>
    <s v="ORD-2024-206121"/>
    <d v="2024-02-18T00:00:00"/>
    <x v="31"/>
    <s v="Q1-2024"/>
    <d v="2024-03-11T00:00:00"/>
    <s v="Valid"/>
    <n v="22"/>
    <d v="2024-03-11T00:00:00"/>
    <x v="2"/>
    <s v="Americas → Brazil → São Paulo"/>
    <s v="Brazil-2024-02"/>
    <s v="Brazil"/>
    <s v="São Paulo"/>
    <s v="Consumer"/>
    <s v="Online"/>
    <x v="8"/>
    <s v="Components"/>
    <s v="CMP-9801"/>
    <n v="80.48"/>
    <n v="65.650000000000006"/>
    <s v="Valid"/>
    <n v="65.650000000000006"/>
    <s v="Low"/>
    <n v="0.17599999999999999"/>
    <s v="Valid"/>
    <n v="0.17599999999999999"/>
    <n v="13"/>
    <n v="703.2428000000001"/>
    <n v="1046.24"/>
    <n v="-342.99719999999991"/>
    <n v="-0.48773652570634191"/>
    <n v="0"/>
    <n v="0"/>
  </r>
  <r>
    <s v="ORD-2024-500890"/>
    <d v="2024-09-09T00:00:00"/>
    <x v="29"/>
    <s v="Q3-2024"/>
    <d v="2024-10-08T00:00:00"/>
    <s v="Valid"/>
    <n v="29"/>
    <d v="2024-10-08T00:00:00"/>
    <x v="2"/>
    <s v="Americas → Brazil → São Paulo"/>
    <s v="Brazil-2024-09"/>
    <s v="Brazil"/>
    <s v="São Paulo"/>
    <s v="Education"/>
    <s v="Direct"/>
    <x v="1"/>
    <s v="Components"/>
    <s v="CMP-3093"/>
    <n v="1010.33"/>
    <n v="2492.14"/>
    <s v="Valid"/>
    <n v="2492.14"/>
    <s v="High"/>
    <n v="5.0999999999999997E-2"/>
    <s v="Valid"/>
    <n v="5.0999999999999997E-2"/>
    <n v="11"/>
    <n v="26015.449459999996"/>
    <n v="11113.630000000001"/>
    <n v="14901.819459999995"/>
    <n v="0.57280653493656752"/>
    <n v="0"/>
    <n v="0"/>
  </r>
  <r>
    <s v="ORD-2023-144816"/>
    <d v="2023-05-07T00:00:00"/>
    <x v="15"/>
    <s v="Q2-2023"/>
    <d v="2023-05-29T00:00:00"/>
    <s v="Valid"/>
    <n v="22"/>
    <d v="2023-05-29T00:00:00"/>
    <x v="0"/>
    <s v="Africa → South Africa → Durban"/>
    <s v="South Africa-2023-05"/>
    <s v="South Africa"/>
    <s v="Durban"/>
    <s v="Education"/>
    <s v="Distributor"/>
    <x v="11"/>
    <s v="Accessories"/>
    <s v="ACC-2364"/>
    <n v="653.86"/>
    <n v="931.84"/>
    <s v="Valid"/>
    <n v="931.84"/>
    <s v="Medium"/>
    <n v="0.121"/>
    <s v="Valid"/>
    <n v="0.121"/>
    <n v="12"/>
    <n v="9829.0483199999999"/>
    <n v="7846.32"/>
    <n v="1982.7283200000002"/>
    <n v="0.20172129136506273"/>
    <n v="0"/>
    <n v="0"/>
  </r>
  <r>
    <s v="ORD-2024-153053"/>
    <d v="2024-01-12T00:00:00"/>
    <x v="9"/>
    <s v="Q1-2024"/>
    <d v="2024-01-29T00:00:00"/>
    <s v="Valid"/>
    <n v="17"/>
    <d v="2024-01-29T00:00:00"/>
    <x v="1"/>
    <s v="Asia → India → Hyderabad"/>
    <s v="India-2024-01"/>
    <s v="India"/>
    <s v="Hyderabad"/>
    <s v="Small Business"/>
    <s v="Direct"/>
    <x v="5"/>
    <s v="Components"/>
    <s v="CMP-5138"/>
    <n v="310.02"/>
    <n v="619.51"/>
    <s v="Valid"/>
    <n v="619.51"/>
    <s v="Medium"/>
    <n v="4.2000000000000003E-2"/>
    <s v="Valid"/>
    <n v="4.2000000000000003E-2"/>
    <n v="4"/>
    <n v="2373.9623200000001"/>
    <n v="1240.08"/>
    <n v="1133.8823200000002"/>
    <n v="0.47763282106347843"/>
    <n v="0"/>
    <n v="0"/>
  </r>
  <r>
    <s v="ORD-2023-536542"/>
    <d v="2023-06-10T00:00:00"/>
    <x v="23"/>
    <s v="Q2-2023"/>
    <d v="2023-06-18T00:00:00"/>
    <s v="Valid"/>
    <n v="8"/>
    <d v="2023-06-18T00:00:00"/>
    <x v="0"/>
    <s v="Africa → Kenya → Nakuru"/>
    <s v="Kenya-2023-06"/>
    <s v="Kenya"/>
    <s v="Nakuru"/>
    <s v="Enterprise"/>
    <s v="Direct"/>
    <x v="10"/>
    <s v="Phones"/>
    <s v="PHN-2337"/>
    <n v="894.23"/>
    <n v="1421.55"/>
    <s v="Valid"/>
    <n v="1421.55"/>
    <s v="Medium"/>
    <n v="0.109"/>
    <s v="Valid"/>
    <n v="0.109"/>
    <n v="3"/>
    <n v="3799.8031499999997"/>
    <n v="2682.69"/>
    <n v="1117.1131499999997"/>
    <n v="0.29399237431549574"/>
    <n v="0"/>
    <n v="0"/>
  </r>
  <r>
    <s v="ORD-2025-779530"/>
    <d v="2025-05-19T00:00:00"/>
    <x v="8"/>
    <s v="Q2-2025"/>
    <d v="2025-05-17T00:00:00"/>
    <s v="Invalid RequiredDate"/>
    <n v="-2"/>
    <d v="2025-06-14T00:00:00"/>
    <x v="2"/>
    <s v="Americas → Brazil → São Paulo"/>
    <s v="Brazil-2025-05"/>
    <s v="Brazil"/>
    <s v="São Paulo"/>
    <s v="Small Business"/>
    <s v="Distributor"/>
    <x v="4"/>
    <s v="Monitors"/>
    <s v="MON-2993"/>
    <n v="383.77"/>
    <n v="952.56"/>
    <s v="Valid"/>
    <n v="952.56"/>
    <s v="Medium"/>
    <n v="0.34599999999999997"/>
    <s v="High Discount"/>
    <n v="0.3"/>
    <n v="10"/>
    <n v="6667.9199999999983"/>
    <n v="3837.7"/>
    <n v="2830.2199999999984"/>
    <n v="0.42445320279787385"/>
    <n v="1"/>
    <n v="1"/>
  </r>
  <r>
    <s v="ORD-2023-163610"/>
    <d v="2023-10-22T00:00:00"/>
    <x v="32"/>
    <s v="Q4-2023"/>
    <d v="2023-11-16T00:00:00"/>
    <s v="Valid"/>
    <n v="25"/>
    <d v="2023-11-16T00:00:00"/>
    <x v="2"/>
    <s v="Americas → Canada → Toronto"/>
    <s v="Canada-2023-10"/>
    <s v="Canada"/>
    <s v="Toronto"/>
    <s v="Small Business"/>
    <s v="Marketplace"/>
    <x v="2"/>
    <s v="Laptops"/>
    <s v="LAP-9024"/>
    <n v="1373.31"/>
    <n v="3154.14"/>
    <s v="Valid"/>
    <n v="3154.14"/>
    <s v="High"/>
    <n v="0.2"/>
    <s v="Valid"/>
    <n v="0.2"/>
    <n v="11"/>
    <n v="27756.432000000001"/>
    <n v="15106.41"/>
    <n v="12650.022000000001"/>
    <n v="0.45575101295440279"/>
    <n v="0"/>
    <n v="0"/>
  </r>
  <r>
    <s v="ORD-2025-653781"/>
    <d v="2025-01-11T00:00:00"/>
    <x v="10"/>
    <s v="Q1-2025"/>
    <d v="2025-01-23T00:00:00"/>
    <s v="Valid"/>
    <n v="12"/>
    <d v="2025-01-23T00:00:00"/>
    <x v="2"/>
    <s v="Americas → USA → Austin"/>
    <s v="USA-2025-01"/>
    <s v="USA"/>
    <s v="Austin"/>
    <s v="Consumer"/>
    <s v="Distributor"/>
    <x v="10"/>
    <s v="Phones"/>
    <s v="PHN-6307"/>
    <n v="100.69"/>
    <n v="226.14"/>
    <s v="Valid"/>
    <n v="226.14"/>
    <s v="Low"/>
    <n v="6.5000000000000002E-2"/>
    <s v="Valid"/>
    <n v="6.5000000000000002E-2"/>
    <n v="12"/>
    <n v="2537.2908000000002"/>
    <n v="1208.28"/>
    <n v="1329.0108000000002"/>
    <n v="0.52379128162999689"/>
    <n v="0"/>
    <n v="0"/>
  </r>
  <r>
    <s v="ORD-2025-737787"/>
    <d v="2025-09-14T00:00:00"/>
    <x v="11"/>
    <s v="Q3-2025"/>
    <d v="2025-09-26T00:00:00"/>
    <s v="Valid"/>
    <n v="12"/>
    <d v="2025-09-26T00:00:00"/>
    <x v="3"/>
    <s v="Europe → United Kingdom → London"/>
    <s v="United Kingdom-2025-09"/>
    <s v="United Kingdom"/>
    <s v="London"/>
    <s v="Small Business"/>
    <s v="Direct"/>
    <x v="13"/>
    <s v="Networking"/>
    <s v="NET-9003"/>
    <n v="425.15"/>
    <n v="885.92"/>
    <s v="Valid"/>
    <n v="885.92"/>
    <s v="Medium"/>
    <n v="0.23899999999999999"/>
    <s v="Valid"/>
    <n v="0.23899999999999999"/>
    <n v="13"/>
    <n v="8764.4065599999994"/>
    <n v="5526.95"/>
    <n v="3237.4565599999996"/>
    <n v="0.3693868532725848"/>
    <n v="0"/>
    <n v="1"/>
  </r>
  <r>
    <s v="ORD-2023-944052"/>
    <d v="2023-08-30T00:00:00"/>
    <x v="25"/>
    <s v="Q3-2023"/>
    <d v="2023-09-03T00:00:00"/>
    <s v="Valid"/>
    <n v="4"/>
    <d v="2023-09-03T00:00:00"/>
    <x v="1"/>
    <s v="Asia → India → Delhi"/>
    <s v="India-2023-08"/>
    <s v="India"/>
    <s v="Delhi"/>
    <s v="Small Business"/>
    <s v="Marketplace"/>
    <x v="4"/>
    <s v="Accessories"/>
    <s v="ACC-3068"/>
    <n v="1082.25"/>
    <n v="2433.34"/>
    <s v="Valid"/>
    <n v="2433.34"/>
    <s v="High"/>
    <n v="0.27"/>
    <s v="Valid"/>
    <n v="0.27"/>
    <n v="4"/>
    <n v="7105.3528000000006"/>
    <n v="4329"/>
    <n v="2776.3528000000006"/>
    <n v="0.3907410199251472"/>
    <n v="1"/>
    <n v="1"/>
  </r>
  <r>
    <s v="ORD-2023-181257"/>
    <d v="2023-11-15T00:00:00"/>
    <x v="30"/>
    <s v="Q4-2023"/>
    <d v="2023-12-06T00:00:00"/>
    <s v="Valid"/>
    <n v="21"/>
    <d v="2023-12-06T00:00:00"/>
    <x v="3"/>
    <s v="Europe → United Kingdom → Manchester"/>
    <s v="United Kingdom-2023-11"/>
    <s v="United Kingdom"/>
    <s v="Manchester"/>
    <s v="Education"/>
    <s v="Direct"/>
    <x v="10"/>
    <s v="Accessories"/>
    <s v="ACC-1060"/>
    <n v="1184.99"/>
    <n v="1154.3399999999999"/>
    <s v="Valid"/>
    <n v="1154.3399999999999"/>
    <s v="Medium"/>
    <n v="2.8000000000000001E-2"/>
    <s v="Valid"/>
    <n v="2.8000000000000001E-2"/>
    <n v="5"/>
    <n v="5610.0923999999995"/>
    <n v="5924.95"/>
    <n v="-314.85760000000028"/>
    <n v="-5.6123424990290764E-2"/>
    <n v="0"/>
    <n v="0"/>
  </r>
  <r>
    <s v="ORD-2025-323492"/>
    <d v="2025-04-27T00:00:00"/>
    <x v="19"/>
    <s v="Q2-2025"/>
    <d v="2025-05-27T00:00:00"/>
    <s v="Valid"/>
    <n v="30"/>
    <d v="2025-05-27T00:00:00"/>
    <x v="1"/>
    <s v="Asia → India → unknown"/>
    <s v="India-2025-04"/>
    <s v="India"/>
    <s v="unknown"/>
    <s v="Enterprise"/>
    <s v="Marketplace"/>
    <x v="10"/>
    <s v="Phones"/>
    <s v="PHN-3854"/>
    <n v="481.32"/>
    <n v="1135.99"/>
    <s v="Valid"/>
    <n v="1135.99"/>
    <s v="Medium"/>
    <n v="0.14499999999999999"/>
    <s v="Valid"/>
    <n v="0.14499999999999999"/>
    <n v="5"/>
    <n v="4856.35725"/>
    <n v="2406.6"/>
    <n v="2449.7572500000001"/>
    <n v="0.50444337677175621"/>
    <n v="0"/>
    <n v="0"/>
  </r>
  <r>
    <s v="ORD-2024-332076"/>
    <d v="2024-04-09T00:00:00"/>
    <x v="20"/>
    <s v="Q2-2024"/>
    <d v="2024-04-18T00:00:00"/>
    <s v="Valid"/>
    <n v="9"/>
    <d v="2024-04-18T00:00:00"/>
    <x v="3"/>
    <s v="Europe → France → Lyon"/>
    <s v="France-2024-04"/>
    <s v="France"/>
    <s v="Lyon"/>
    <s v="Consumer"/>
    <s v="Online"/>
    <x v="6"/>
    <s v="Printers"/>
    <s v="PRN-1086"/>
    <n v="1288.8499999999999"/>
    <n v="2751.84"/>
    <s v="Valid"/>
    <n v="2751.84"/>
    <s v="High"/>
    <n v="0.158"/>
    <s v="Valid"/>
    <n v="0.158"/>
    <n v="7"/>
    <n v="16219.34496"/>
    <n v="9021.9499999999989"/>
    <n v="7197.3949600000014"/>
    <n v="0.44375373837538756"/>
    <n v="0"/>
    <n v="0"/>
  </r>
  <r>
    <s v="ORD-2024-571797"/>
    <d v="2024-07-11T00:00:00"/>
    <x v="14"/>
    <s v="Q3-2024"/>
    <d v="2024-07-31T00:00:00"/>
    <s v="Valid"/>
    <n v="20"/>
    <d v="2024-07-31T00:00:00"/>
    <x v="1"/>
    <s v="Asia → China → Shenzhen"/>
    <s v="China-2024-07"/>
    <s v="China"/>
    <s v="Shenzhen"/>
    <s v="Consumer"/>
    <s v="Online"/>
    <x v="3"/>
    <s v="Phones"/>
    <s v="PHN-7815"/>
    <n v="647.26"/>
    <n v="1374.72"/>
    <s v="Valid"/>
    <n v="1374.72"/>
    <s v="Medium"/>
    <n v="6.6000000000000003E-2"/>
    <s v="Valid"/>
    <n v="6.6000000000000003E-2"/>
    <n v="22"/>
    <n v="28247.74656"/>
    <n v="14239.72"/>
    <n v="14008.02656"/>
    <n v="0.49589890401508901"/>
    <n v="0"/>
    <n v="0"/>
  </r>
  <r>
    <s v="ORD-2024-129345"/>
    <d v="2024-02-18T00:00:00"/>
    <x v="31"/>
    <s v="Q1-2024"/>
    <d v="2024-03-03T00:00:00"/>
    <s v="Valid"/>
    <n v="14"/>
    <d v="2024-03-03T00:00:00"/>
    <x v="2"/>
    <s v="Americas → Brazil → unknown"/>
    <s v="Brazil-2024-02"/>
    <s v="Brazil"/>
    <s v="unknown"/>
    <s v="Enterprise"/>
    <s v="Distributor"/>
    <x v="8"/>
    <s v="Printers"/>
    <s v="PRN-5384"/>
    <n v="624.23"/>
    <n v="1318.37"/>
    <s v="Valid"/>
    <n v="1318.37"/>
    <s v="Medium"/>
    <n v="0.21"/>
    <s v="Valid"/>
    <n v="0.21"/>
    <n v="37"/>
    <n v="38535.955099999999"/>
    <n v="23096.510000000002"/>
    <n v="15439.445099999997"/>
    <n v="0.40065038118128793"/>
    <n v="0"/>
    <n v="1"/>
  </r>
  <r>
    <s v="ORD-2023-660608"/>
    <d v="2023-07-25T00:00:00"/>
    <x v="24"/>
    <s v="Q3-2023"/>
    <d v="2023-08-10T00:00:00"/>
    <s v="Valid"/>
    <n v="16"/>
    <d v="2023-08-10T00:00:00"/>
    <x v="0"/>
    <s v="Africa → Nigeria → Port Harcourt"/>
    <s v="Nigeria-2023-07"/>
    <s v="Nigeria"/>
    <s v="Port Harcourt"/>
    <s v="Corporate"/>
    <s v="Distributor"/>
    <x v="2"/>
    <s v="Accessories"/>
    <s v="ACC-8178"/>
    <n v="506.83"/>
    <n v="441.74"/>
    <s v="Valid"/>
    <n v="441.74"/>
    <s v="Low"/>
    <n v="0.24"/>
    <s v="Valid"/>
    <n v="0.24"/>
    <n v="9"/>
    <n v="3021.5016000000001"/>
    <n v="4561.47"/>
    <n v="-1539.9684000000002"/>
    <n v="-0.50966989393618067"/>
    <n v="0"/>
    <n v="1"/>
  </r>
  <r>
    <s v="ORD-2023-825084"/>
    <d v="2023-07-14T00:00:00"/>
    <x v="24"/>
    <s v="Q3-2023"/>
    <d v="2023-07-21T00:00:00"/>
    <s v="Valid"/>
    <n v="7"/>
    <d v="2023-07-21T00:00:00"/>
    <x v="0"/>
    <s v="Africa → South Africa → Durban"/>
    <s v="South Africa-2023-07"/>
    <s v="South Africa"/>
    <s v="Durban"/>
    <s v="Enterprise"/>
    <s v="Marketplace"/>
    <x v="15"/>
    <s v="Monitors"/>
    <s v="MON-1018"/>
    <n v="620.74"/>
    <n v="1330.07"/>
    <s v="Valid"/>
    <n v="1330.07"/>
    <s v="Medium"/>
    <n v="0.29899999999999999"/>
    <s v="Valid"/>
    <n v="0.29899999999999999"/>
    <n v="28"/>
    <n v="26106.613960000002"/>
    <n v="17380.72"/>
    <n v="8725.8939600000012"/>
    <n v="0.33424073965967516"/>
    <n v="1"/>
    <n v="1"/>
  </r>
  <r>
    <s v="ORD-2023-261081"/>
    <d v="2023-07-24T00:00:00"/>
    <x v="24"/>
    <s v="Q3-2023"/>
    <d v="2023-08-19T00:00:00"/>
    <s v="Valid"/>
    <n v="26"/>
    <d v="2023-08-19T00:00:00"/>
    <x v="0"/>
    <s v="Africa → Kenya → Nairobi"/>
    <s v="Kenya-2023-07"/>
    <s v="Kenya"/>
    <s v="Nairobi"/>
    <s v="Enterprise"/>
    <s v="Distributor"/>
    <x v="12"/>
    <s v="Accessories"/>
    <s v="ACC-1238"/>
    <n v="661.45"/>
    <n v="1634.86"/>
    <s v="Valid"/>
    <n v="1634.86"/>
    <s v="Medium"/>
    <n v="0.56499999999999995"/>
    <s v="High Discount"/>
    <n v="0.3"/>
    <n v="24"/>
    <n v="27465.647999999997"/>
    <n v="15874.800000000001"/>
    <n v="11590.847999999996"/>
    <n v="0.42201254454291404"/>
    <n v="0"/>
    <n v="1"/>
  </r>
  <r>
    <s v="ORD-2023-766015"/>
    <d v="2023-04-13T00:00:00"/>
    <x v="12"/>
    <s v="Q2-2023"/>
    <d v="2023-04-11T00:00:00"/>
    <s v="Invalid RequiredDate"/>
    <n v="-2"/>
    <d v="2023-05-09T00:00:00"/>
    <x v="2"/>
    <s v="Americas → USA → San Francisco"/>
    <s v="USA-2023-04"/>
    <s v="USA"/>
    <s v="San Francisco"/>
    <s v="Education"/>
    <s v="Marketplace"/>
    <x v="3"/>
    <s v="Networking"/>
    <s v="NET-1816"/>
    <n v="32.1"/>
    <n v="70.599999999999994"/>
    <s v="Valid"/>
    <n v="70.599999999999994"/>
    <s v="Low"/>
    <n v="0.28199999999999997"/>
    <s v="Valid"/>
    <n v="0.28199999999999997"/>
    <n v="22"/>
    <n v="1115.1975999999997"/>
    <n v="706.2"/>
    <n v="408.99759999999969"/>
    <n v="0.36674899587301818"/>
    <n v="1"/>
    <n v="1"/>
  </r>
  <r>
    <s v="ORD-2024-333192"/>
    <d v="2024-10-29T00:00:00"/>
    <x v="1"/>
    <s v="Q4-2024"/>
    <d v="2024-11-04T00:00:00"/>
    <s v="Valid"/>
    <n v="6"/>
    <d v="2024-11-04T00:00:00"/>
    <x v="0"/>
    <s v="Africa → Kenya → Nairobi"/>
    <s v="Kenya-2024-10"/>
    <s v="Kenya"/>
    <s v="Nairobi"/>
    <s v="Corporate"/>
    <s v="Distributor"/>
    <x v="12"/>
    <s v="Printers"/>
    <s v="PRN-4893"/>
    <n v="805.81"/>
    <n v="1823.04"/>
    <s v="Valid"/>
    <n v="1823.04"/>
    <s v="Medium"/>
    <n v="0"/>
    <s v="Valid"/>
    <n v="0"/>
    <n v="11"/>
    <n v="20053.439999999999"/>
    <n v="8863.91"/>
    <n v="11189.529999999999"/>
    <n v="0.55798556257679477"/>
    <n v="1"/>
    <n v="0"/>
  </r>
  <r>
    <s v="ORD-2024-647473"/>
    <d v="2024-02-17T00:00:00"/>
    <x v="31"/>
    <s v="Q1-2024"/>
    <d v="2024-03-04T00:00:00"/>
    <s v="Valid"/>
    <n v="16"/>
    <d v="2024-03-04T00:00:00"/>
    <x v="1"/>
    <s v="Asia → India → Delhi"/>
    <s v="India-2024-02"/>
    <s v="India"/>
    <s v="Delhi"/>
    <s v="Small Business"/>
    <s v="Marketplace"/>
    <x v="9"/>
    <s v="Phones"/>
    <s v="PHN-1717"/>
    <n v="1231.8"/>
    <n v="2015.99"/>
    <s v="Valid"/>
    <n v="2015.99"/>
    <s v="High"/>
    <n v="0.26100000000000001"/>
    <s v="Valid"/>
    <n v="0.26100000000000001"/>
    <n v="6"/>
    <n v="8938.8996600000009"/>
    <n v="7390.7999999999993"/>
    <n v="1548.0996600000017"/>
    <n v="0.17318682599464391"/>
    <n v="0"/>
    <n v="1"/>
  </r>
  <r>
    <s v="ORD-2024-892908"/>
    <d v="2024-07-13T00:00:00"/>
    <x v="14"/>
    <s v="Q3-2024"/>
    <d v="2024-07-12T00:00:00"/>
    <s v="Invalid RequiredDate"/>
    <n v="-1"/>
    <d v="2024-08-08T00:00:00"/>
    <x v="1"/>
    <s v="Asia → Japan → Nagoya"/>
    <s v="Japan-2024-07"/>
    <s v="Japan"/>
    <s v="Nagoya"/>
    <s v="Small Business"/>
    <s v="Marketplace"/>
    <x v="9"/>
    <s v="Networking"/>
    <s v="NET-9575"/>
    <n v="105.13"/>
    <n v="244.13"/>
    <s v="Valid"/>
    <n v="244.13"/>
    <s v="Low"/>
    <n v="7.0999999999999994E-2"/>
    <s v="Valid"/>
    <n v="7.0999999999999994E-2"/>
    <n v="14"/>
    <n v="3175.1547799999998"/>
    <n v="1471.82"/>
    <n v="1703.3347799999999"/>
    <n v="0.53645724319618837"/>
    <n v="1"/>
    <n v="0"/>
  </r>
  <r>
    <s v="ORD-2023-573146"/>
    <d v="2023-12-01T00:00:00"/>
    <x v="4"/>
    <s v="Q4-2023"/>
    <d v="2023-12-18T00:00:00"/>
    <s v="Valid"/>
    <n v="17"/>
    <d v="2023-12-18T00:00:00"/>
    <x v="1"/>
    <s v="Asia → Japan → Nagoya"/>
    <s v="Japan-2023-12"/>
    <s v="Japan"/>
    <s v="Nagoya"/>
    <s v="Small Business"/>
    <s v="Direct"/>
    <x v="13"/>
    <s v="Laptops"/>
    <s v="LAP-3604"/>
    <n v="1495.79"/>
    <n v="2783.12"/>
    <s v="Valid"/>
    <n v="2783.12"/>
    <s v="High"/>
    <n v="0.02"/>
    <s v="Valid"/>
    <n v="0.02"/>
    <n v="5"/>
    <n v="13637.287999999999"/>
    <n v="7478.95"/>
    <n v="6158.3379999999988"/>
    <n v="0.45158084217331185"/>
    <n v="0"/>
    <n v="0"/>
  </r>
  <r>
    <s v="ORD-2024-901115"/>
    <d v="2024-07-25T00:00:00"/>
    <x v="14"/>
    <s v="Q3-2024"/>
    <d v="2024-08-02T00:00:00"/>
    <s v="Valid"/>
    <n v="8"/>
    <d v="2024-08-02T00:00:00"/>
    <x v="2"/>
    <s v="Americas → Canada → Montreal"/>
    <s v="Canada-2024-07"/>
    <s v="Canada"/>
    <s v="Montreal"/>
    <s v="Consumer"/>
    <s v="Direct"/>
    <x v="1"/>
    <s v="Accessories"/>
    <s v="ACC-6626"/>
    <n v="986.81"/>
    <n v="2050.31"/>
    <s v="Valid"/>
    <n v="2050.31"/>
    <s v="High"/>
    <n v="0.10299999999999999"/>
    <s v="Valid"/>
    <n v="0.10299999999999999"/>
    <n v="43"/>
    <n v="79082.507010000001"/>
    <n v="42432.829999999994"/>
    <n v="36649.677010000007"/>
    <n v="0.46343595310358138"/>
    <n v="0"/>
    <n v="0"/>
  </r>
  <r>
    <s v="ORD-2023-898009"/>
    <d v="2023-05-04T00:00:00"/>
    <x v="15"/>
    <s v="Q2-2023"/>
    <d v="2023-05-16T00:00:00"/>
    <s v="Valid"/>
    <n v="12"/>
    <d v="2023-05-16T00:00:00"/>
    <x v="0"/>
    <s v="Africa → Nigeria → Abuja"/>
    <s v="Nigeria-2023-05"/>
    <s v="Nigeria"/>
    <s v="Abuja"/>
    <s v="Small Business"/>
    <s v="Marketplace"/>
    <x v="1"/>
    <s v="Phones"/>
    <s v="PHN-1670"/>
    <n v="77.739999999999995"/>
    <n v="147.12"/>
    <s v="Valid"/>
    <n v="147.12"/>
    <s v="Low"/>
    <n v="0"/>
    <s v="Valid"/>
    <n v="0"/>
    <n v="15"/>
    <n v="2206.8000000000002"/>
    <n v="1166.0999999999999"/>
    <n v="1040.7000000000003"/>
    <n v="0.47158781946710177"/>
    <n v="0"/>
    <n v="0"/>
  </r>
  <r>
    <s v="ORD-2023-208944"/>
    <d v="2023-12-21T00:00:00"/>
    <x v="4"/>
    <s v="Q4-2023"/>
    <d v="2024-01-06T00:00:00"/>
    <s v="Valid"/>
    <n v="16"/>
    <d v="2024-01-06T00:00:00"/>
    <x v="0"/>
    <s v="Africa → Nigeria → unknown"/>
    <s v="Nigeria-2023-12"/>
    <s v="Nigeria"/>
    <s v="unknown"/>
    <s v="Corporate"/>
    <s v="Marketplace"/>
    <x v="11"/>
    <s v="Components"/>
    <s v="CMP-4792"/>
    <n v="932.61"/>
    <n v="1982.98"/>
    <s v="Valid"/>
    <n v="1982.98"/>
    <s v="High"/>
    <n v="0.14399999999999999"/>
    <s v="Valid"/>
    <n v="0.14399999999999999"/>
    <n v="16"/>
    <n v="27158.894079999998"/>
    <n v="14921.76"/>
    <n v="12237.134079999998"/>
    <n v="0.45057556629345635"/>
    <n v="0"/>
    <n v="0"/>
  </r>
  <r>
    <s v="ORD-2025-480172"/>
    <d v="2025-06-17T00:00:00"/>
    <x v="16"/>
    <s v="Q2-2025"/>
    <d v="2025-07-05T00:00:00"/>
    <s v="Valid"/>
    <n v="18"/>
    <d v="2025-07-05T00:00:00"/>
    <x v="1"/>
    <s v="Asia → India → Delhi"/>
    <s v="India-2025-06"/>
    <s v="India"/>
    <s v="Delhi"/>
    <s v="Consumer"/>
    <s v="Marketplace"/>
    <x v="4"/>
    <s v="Laptops"/>
    <s v="LAP-1990"/>
    <n v="982.93"/>
    <n v="2299.3000000000002"/>
    <s v="Valid"/>
    <n v="2299.3000000000002"/>
    <s v="High"/>
    <n v="0.113"/>
    <s v="Valid"/>
    <n v="0.113"/>
    <n v="6"/>
    <n v="12236.874600000001"/>
    <n v="5897.58"/>
    <n v="6339.2946000000011"/>
    <n v="0.51804850562087157"/>
    <n v="0"/>
    <n v="0"/>
  </r>
  <r>
    <s v="ORD-2023-735274"/>
    <d v="2023-02-23T00:00:00"/>
    <x v="2"/>
    <s v="Q1-2023"/>
    <d v="2023-03-08T00:00:00"/>
    <s v="Valid"/>
    <n v="13"/>
    <d v="2023-03-08T00:00:00"/>
    <x v="3"/>
    <s v="Europe → United Kingdom → Manchester"/>
    <s v="United Kingdom-2023-02"/>
    <s v="United Kingdom"/>
    <s v="Manchester"/>
    <s v="Small Business"/>
    <s v="Direct"/>
    <x v="0"/>
    <s v="Printers"/>
    <s v="PRN-7410"/>
    <n v="307.37"/>
    <n v="462.61"/>
    <s v="Valid"/>
    <n v="462.61"/>
    <s v="Low"/>
    <n v="0.188"/>
    <s v="Valid"/>
    <n v="0.188"/>
    <n v="11"/>
    <n v="4132.0325200000007"/>
    <n v="3381.07"/>
    <n v="750.9625200000005"/>
    <n v="0.18174167709599739"/>
    <n v="0"/>
    <n v="0"/>
  </r>
  <r>
    <s v="ORD-2023-212701"/>
    <d v="2023-12-02T00:00:00"/>
    <x v="4"/>
    <s v="Q4-2023"/>
    <d v="2023-12-16T00:00:00"/>
    <s v="Valid"/>
    <n v="14"/>
    <d v="2023-12-16T00:00:00"/>
    <x v="3"/>
    <s v="Europe → Germany → Frankfurt"/>
    <s v="Germany-2023-12"/>
    <s v="Germany"/>
    <s v="Frankfurt"/>
    <s v="Education"/>
    <s v="Direct"/>
    <x v="13"/>
    <s v="Monitors"/>
    <s v="MON-4278"/>
    <n v="879.08"/>
    <n v="1093.3900000000001"/>
    <s v="Valid"/>
    <n v="1093.3900000000001"/>
    <s v="Medium"/>
    <n v="0.113"/>
    <s v="Valid"/>
    <n v="0.113"/>
    <n v="17"/>
    <n v="16487.22781"/>
    <n v="14944.36"/>
    <n v="1542.8678099999997"/>
    <n v="9.3579577341935186E-2"/>
    <n v="0"/>
    <n v="0"/>
  </r>
  <r>
    <s v="ORD-2023-479747"/>
    <d v="2023-07-14T00:00:00"/>
    <x v="24"/>
    <s v="Q3-2023"/>
    <d v="2023-07-14T00:00:00"/>
    <s v="Valid"/>
    <n v="0"/>
    <d v="2023-07-14T00:00:00"/>
    <x v="0"/>
    <s v="Africa → Nigeria → Lagos"/>
    <s v="Nigeria-2023-07"/>
    <s v="Nigeria"/>
    <s v="Lagos"/>
    <s v="Education"/>
    <s v="Retail"/>
    <x v="2"/>
    <s v="Accessories"/>
    <s v="ACC-5334"/>
    <n v="956.38"/>
    <n v="1454.22"/>
    <s v="Valid"/>
    <n v="1454.22"/>
    <s v="Medium"/>
    <n v="3.9E-2"/>
    <s v="Valid"/>
    <n v="3.9E-2"/>
    <n v="19"/>
    <n v="26552.60298"/>
    <n v="18171.22"/>
    <n v="8381.3829799999985"/>
    <n v="0.31565202802576603"/>
    <n v="1"/>
    <n v="0"/>
  </r>
  <r>
    <s v="ORD-2024-915495"/>
    <d v="2024-08-08T00:00:00"/>
    <x v="21"/>
    <s v="Q3-2024"/>
    <d v="2024-08-20T00:00:00"/>
    <s v="Valid"/>
    <n v="12"/>
    <d v="2024-08-20T00:00:00"/>
    <x v="1"/>
    <s v="Asia → Japan → Osaka"/>
    <s v="Japan-2024-08"/>
    <s v="Japan"/>
    <s v="Osaka"/>
    <s v="Small Business"/>
    <s v="Retail"/>
    <x v="10"/>
    <s v="Networking"/>
    <s v="NET-8957"/>
    <n v="1233.3599999999999"/>
    <n v="2120.4"/>
    <s v="Valid"/>
    <n v="2120.4"/>
    <s v="High"/>
    <n v="0.17899999999999999"/>
    <s v="Valid"/>
    <n v="0.17899999999999999"/>
    <n v="20"/>
    <n v="34816.968000000001"/>
    <n v="24667.199999999997"/>
    <n v="10149.768000000004"/>
    <n v="0.29151785991244278"/>
    <n v="0"/>
    <n v="0"/>
  </r>
  <r>
    <s v="ORD-2024-225829"/>
    <d v="2024-11-07T00:00:00"/>
    <x v="18"/>
    <s v="Q4-2024"/>
    <d v="2024-11-26T00:00:00"/>
    <s v="Valid"/>
    <n v="19"/>
    <d v="2024-11-26T00:00:00"/>
    <x v="2"/>
    <s v="Americas → Brazil → Rio de Janeiro"/>
    <s v="Brazil-2024-11"/>
    <s v="Brazil"/>
    <s v="Rio de Janeiro"/>
    <s v="Non-Profit"/>
    <s v="Distributor"/>
    <x v="1"/>
    <s v="Printers"/>
    <s v="PRN-9960"/>
    <n v="55.35"/>
    <n v="128.68"/>
    <s v="Valid"/>
    <n v="128.68"/>
    <s v="Low"/>
    <n v="0.128"/>
    <s v="Valid"/>
    <n v="0.128"/>
    <n v="10"/>
    <n v="1122.0896000000002"/>
    <n v="553.5"/>
    <n v="568.58960000000025"/>
    <n v="0.50672388372550647"/>
    <n v="0"/>
    <n v="0"/>
  </r>
  <r>
    <s v="ORD-2024-921935"/>
    <d v="2024-01-01T00:00:00"/>
    <x v="9"/>
    <s v="Q1-2024"/>
    <d v="2024-01-27T00:00:00"/>
    <s v="Valid"/>
    <n v="26"/>
    <d v="2024-01-27T00:00:00"/>
    <x v="3"/>
    <s v="Europe → United Kingdom → Manchester"/>
    <s v="United Kingdom-2024-01"/>
    <s v="United Kingdom"/>
    <s v="Manchester"/>
    <s v="Education"/>
    <s v="Distributor"/>
    <x v="14"/>
    <s v="Accessories"/>
    <s v="ACC-3103"/>
    <n v="657.45"/>
    <n v="1325.96"/>
    <s v="Valid"/>
    <n v="1325.96"/>
    <s v="Medium"/>
    <n v="0.16700000000000001"/>
    <s v="Valid"/>
    <n v="0.16700000000000001"/>
    <n v="21"/>
    <n v="23195.01828"/>
    <n v="13806.45"/>
    <n v="9388.5682799999995"/>
    <n v="0.40476658249048808"/>
    <n v="0"/>
    <n v="0"/>
  </r>
  <r>
    <s v="ORD-2025-949776"/>
    <d v="2025-08-14T00:00:00"/>
    <x v="28"/>
    <s v="Q3-2025"/>
    <d v="2025-09-11T00:00:00"/>
    <s v="Valid"/>
    <n v="28"/>
    <d v="2025-09-11T00:00:00"/>
    <x v="2"/>
    <s v="Americas → Brazil → São Paulo"/>
    <s v="Brazil-2025-08"/>
    <s v="Brazil"/>
    <s v="São Paulo"/>
    <s v="Non-Profit"/>
    <s v="Direct"/>
    <x v="9"/>
    <s v="Printers"/>
    <s v="PRN-9490"/>
    <n v="1203.02"/>
    <n v="2439.33"/>
    <s v="Valid"/>
    <n v="2439.33"/>
    <s v="High"/>
    <n v="0"/>
    <s v="Valid"/>
    <n v="0"/>
    <n v="18"/>
    <n v="43907.94"/>
    <n v="21654.36"/>
    <n v="22253.58"/>
    <n v="0.50682359500354612"/>
    <n v="0"/>
    <n v="0"/>
  </r>
  <r>
    <s v="ORD-2024-510591"/>
    <d v="2024-04-03T00:00:00"/>
    <x v="20"/>
    <s v="Q2-2024"/>
    <d v="2024-04-21T00:00:00"/>
    <s v="Valid"/>
    <n v="18"/>
    <d v="2024-04-21T00:00:00"/>
    <x v="2"/>
    <s v="Americas → Brazil → Brasília"/>
    <s v="Brazil-2024-04"/>
    <s v="Brazil"/>
    <s v="Brasília"/>
    <s v="Small Business"/>
    <s v="Distributor"/>
    <x v="5"/>
    <s v="Networking"/>
    <s v="NET-3850"/>
    <n v="1176.69"/>
    <n v="2201.54"/>
    <s v="Valid"/>
    <n v="2201.54"/>
    <s v="High"/>
    <n v="0.17"/>
    <s v="Valid"/>
    <n v="0.17"/>
    <n v="27"/>
    <n v="49336.511399999996"/>
    <n v="31770.63"/>
    <n v="17565.881399999995"/>
    <n v="0.35604222717701106"/>
    <n v="0"/>
    <n v="0"/>
  </r>
  <r>
    <s v="ORD-2024-961756"/>
    <d v="2024-11-25T00:00:00"/>
    <x v="18"/>
    <s v="Q4-2024"/>
    <d v="2024-12-07T00:00:00"/>
    <s v="Valid"/>
    <n v="12"/>
    <d v="2024-12-07T00:00:00"/>
    <x v="1"/>
    <s v="Asia → China → Shanghai"/>
    <s v="China-2024-11"/>
    <s v="China"/>
    <s v="Shanghai"/>
    <s v="Corporate"/>
    <s v="Distributor"/>
    <x v="8"/>
    <s v="Accessories"/>
    <s v="ACC-7047"/>
    <n v="769.9"/>
    <n v="814.36"/>
    <s v="Valid"/>
    <n v="814.36"/>
    <s v="Medium"/>
    <n v="0"/>
    <s v="Valid"/>
    <n v="0"/>
    <n v="5"/>
    <n v="4071.8"/>
    <n v="3849.5"/>
    <n v="222.30000000000018"/>
    <n v="5.4595019401738831E-2"/>
    <n v="0"/>
    <n v="0"/>
  </r>
  <r>
    <s v="ORD-2024-892173"/>
    <d v="2024-01-18T00:00:00"/>
    <x v="9"/>
    <s v="Q1-2024"/>
    <d v="2024-02-03T00:00:00"/>
    <s v="Valid"/>
    <n v="16"/>
    <d v="2024-02-03T00:00:00"/>
    <x v="0"/>
    <s v="Africa → South Africa → Cape Town"/>
    <s v="South Africa-2024-01"/>
    <s v="South Africa"/>
    <s v="Cape Town"/>
    <s v="Non-Profit"/>
    <s v="Distributor"/>
    <x v="4"/>
    <s v="Printers"/>
    <s v="PRN-6660"/>
    <n v="666.23"/>
    <n v="1382.91"/>
    <s v="Valid"/>
    <n v="1382.91"/>
    <s v="Medium"/>
    <n v="0.17599999999999999"/>
    <s v="Valid"/>
    <n v="0.17599999999999999"/>
    <n v="13"/>
    <n v="14813.731920000002"/>
    <n v="8660.99"/>
    <n v="6152.7419200000022"/>
    <n v="0.41534043907553048"/>
    <n v="0"/>
    <n v="0"/>
  </r>
  <r>
    <s v="ORD-2024-704056"/>
    <d v="2024-06-23T00:00:00"/>
    <x v="17"/>
    <s v="Q2-2024"/>
    <d v="2024-06-25T00:00:00"/>
    <s v="Valid"/>
    <n v="2"/>
    <d v="2024-06-25T00:00:00"/>
    <x v="3"/>
    <s v="Europe → United Kingdom → Birmingham"/>
    <s v="United Kingdom-2024-06"/>
    <s v="United Kingdom"/>
    <s v="Birmingham"/>
    <s v="Small Business"/>
    <s v="Marketplace"/>
    <x v="4"/>
    <s v="Accessories"/>
    <s v="ACC-7838"/>
    <n v="951.44"/>
    <n v="1646.43"/>
    <s v="Valid"/>
    <n v="1646.43"/>
    <s v="Medium"/>
    <n v="0.11"/>
    <s v="Valid"/>
    <n v="0.11"/>
    <n v="24"/>
    <n v="35167.7448"/>
    <n v="22834.560000000001"/>
    <n v="12333.184799999999"/>
    <n v="0.35069592520473475"/>
    <n v="1"/>
    <n v="0"/>
  </r>
  <r>
    <s v="ORD-2025-591006"/>
    <d v="2025-06-25T00:00:00"/>
    <x v="16"/>
    <s v="Q2-2025"/>
    <d v="2025-07-10T00:00:00"/>
    <s v="Valid"/>
    <n v="15"/>
    <d v="2025-07-10T00:00:00"/>
    <x v="3"/>
    <s v="Europe → United Kingdom → Birmingham"/>
    <s v="United Kingdom-2025-06"/>
    <s v="United Kingdom"/>
    <s v="Birmingham"/>
    <s v="Non-Profit"/>
    <s v="Marketplace"/>
    <x v="14"/>
    <s v="Phones"/>
    <s v="PHN-5383"/>
    <n v="546.83000000000004"/>
    <n v="400.84"/>
    <s v="Valid"/>
    <n v="400.84"/>
    <s v="Low"/>
    <n v="7.8E-2"/>
    <s v="Valid"/>
    <n v="7.8E-2"/>
    <n v="13"/>
    <n v="4804.4682400000002"/>
    <n v="7108.7900000000009"/>
    <n v="-2304.3217600000007"/>
    <n v="-0.47962056254533608"/>
    <n v="0"/>
    <n v="0"/>
  </r>
  <r>
    <s v="ORD-2023-159821"/>
    <d v="2023-07-01T00:00:00"/>
    <x v="24"/>
    <s v="Q3-2023"/>
    <d v="2023-07-08T00:00:00"/>
    <s v="Valid"/>
    <n v="7"/>
    <d v="2023-07-08T00:00:00"/>
    <x v="0"/>
    <s v="Africa → Nigeria → Port Harcourt"/>
    <s v="Nigeria-2023-07"/>
    <s v="Nigeria"/>
    <s v="Port Harcourt"/>
    <s v="Corporate"/>
    <s v="Retail"/>
    <x v="8"/>
    <s v="Laptops"/>
    <s v="LAP-3904"/>
    <n v="834.26"/>
    <n v="1780.56"/>
    <s v="Valid"/>
    <n v="1780.56"/>
    <s v="Medium"/>
    <n v="1.4E-2"/>
    <s v="Valid"/>
    <n v="1.4E-2"/>
    <n v="47"/>
    <n v="82514.711519999997"/>
    <n v="39210.22"/>
    <n v="43304.491519999996"/>
    <n v="0.5248093427497933"/>
    <n v="1"/>
    <n v="0"/>
  </r>
  <r>
    <s v="ORD-2024-343877"/>
    <d v="2024-03-09T00:00:00"/>
    <x v="0"/>
    <s v="Q1-2024"/>
    <d v="2024-03-26T00:00:00"/>
    <s v="Valid"/>
    <n v="17"/>
    <d v="2024-03-26T00:00:00"/>
    <x v="1"/>
    <s v="Asia → China → Shenzhen"/>
    <s v="China-2024-03"/>
    <s v="China"/>
    <s v="Shenzhen"/>
    <s v="Enterprise"/>
    <s v="Online"/>
    <x v="11"/>
    <s v="Monitors"/>
    <s v="MON-5749"/>
    <n v="1029.67"/>
    <n v="1118.43"/>
    <s v="Valid"/>
    <n v="1118.43"/>
    <s v="Medium"/>
    <n v="0.27200000000000002"/>
    <s v="Valid"/>
    <n v="0.27200000000000002"/>
    <n v="9"/>
    <n v="7327.9533600000004"/>
    <n v="9267.0300000000007"/>
    <n v="-1939.0766400000002"/>
    <n v="-0.26461367106736061"/>
    <n v="0"/>
    <n v="1"/>
  </r>
  <r>
    <s v="ORD-2023-386663"/>
    <d v="2023-06-05T00:00:00"/>
    <x v="23"/>
    <s v="Q2-2023"/>
    <d v="2023-06-28T00:00:00"/>
    <s v="Valid"/>
    <n v="23"/>
    <d v="2023-06-28T00:00:00"/>
    <x v="3"/>
    <s v="Europe → United Kingdom → Birmingham"/>
    <s v="United Kingdom-2023-06"/>
    <s v="United Kingdom"/>
    <s v="Birmingham"/>
    <s v="Corporate"/>
    <s v="Direct"/>
    <x v="11"/>
    <s v="Printers"/>
    <s v="PRN-3690"/>
    <n v="605.82000000000005"/>
    <n v="771.12"/>
    <s v="Valid"/>
    <n v="771.12"/>
    <s v="Medium"/>
    <n v="0.13200000000000001"/>
    <s v="Valid"/>
    <n v="0.13200000000000001"/>
    <n v="19"/>
    <n v="12717.311040000001"/>
    <n v="11510.580000000002"/>
    <n v="1206.7310399999988"/>
    <n v="9.4888851597986767E-2"/>
    <n v="0"/>
    <n v="0"/>
  </r>
  <r>
    <s v="ORD-2025-125517"/>
    <d v="2025-03-21T00:00:00"/>
    <x v="3"/>
    <s v="Q1-2025"/>
    <d v="2025-04-09T00:00:00"/>
    <s v="Valid"/>
    <n v="19"/>
    <d v="2025-04-09T00:00:00"/>
    <x v="1"/>
    <s v="Asia → Japan → Tokyo"/>
    <s v="Japan-2025-03"/>
    <s v="Japan"/>
    <s v="Tokyo"/>
    <s v="Small Business"/>
    <s v="Distributor"/>
    <x v="6"/>
    <s v="Components"/>
    <s v="CMP-7055"/>
    <n v="1055.45"/>
    <n v="1210.04"/>
    <s v="Valid"/>
    <n v="1210.04"/>
    <s v="Medium"/>
    <n v="8.9999999999999993E-3"/>
    <s v="Valid"/>
    <n v="8.9999999999999993E-3"/>
    <n v="18"/>
    <n v="21584.693520000001"/>
    <n v="18998.100000000002"/>
    <n v="2586.5935199999985"/>
    <n v="0.1198346188053727"/>
    <n v="0"/>
    <n v="0"/>
  </r>
  <r>
    <s v="ORD-2024-819778"/>
    <d v="2024-06-02T00:00:00"/>
    <x v="17"/>
    <s v="Q2-2024"/>
    <d v="2024-06-15T00:00:00"/>
    <s v="Valid"/>
    <n v="13"/>
    <d v="2024-06-15T00:00:00"/>
    <x v="0"/>
    <s v="Africa → Kenya → Mombasa"/>
    <s v="Kenya-2024-06"/>
    <s v="Kenya"/>
    <s v="Mombasa"/>
    <s v="Education"/>
    <s v="Online"/>
    <x v="7"/>
    <s v="Phones"/>
    <s v="PHN-6866"/>
    <n v="1295.18"/>
    <n v="3024.03"/>
    <s v="Valid"/>
    <n v="3024.03"/>
    <s v="High"/>
    <n v="0.192"/>
    <s v="Valid"/>
    <n v="0.192"/>
    <n v="8"/>
    <n v="19547.329920000004"/>
    <n v="10361.44"/>
    <n v="9185.8899200000033"/>
    <n v="0.46993067378483178"/>
    <n v="0"/>
    <n v="0"/>
  </r>
  <r>
    <s v="ORD-2025-624006"/>
    <d v="2025-03-15T00:00:00"/>
    <x v="3"/>
    <s v="Q1-2025"/>
    <d v="2025-03-29T00:00:00"/>
    <s v="Valid"/>
    <n v="14"/>
    <d v="2025-03-29T00:00:00"/>
    <x v="1"/>
    <s v="Asia → India → Mumbai"/>
    <s v="India-2025-03"/>
    <s v="India"/>
    <s v="Mumbai"/>
    <s v="Enterprise"/>
    <s v="Direct"/>
    <x v="0"/>
    <s v="Components"/>
    <s v="CMP-3259"/>
    <n v="935.83"/>
    <n v="2303.46"/>
    <s v="Valid"/>
    <n v="2303.46"/>
    <s v="High"/>
    <n v="0.105"/>
    <s v="Valid"/>
    <n v="0.105"/>
    <n v="9"/>
    <n v="18554.370299999999"/>
    <n v="8422.4700000000012"/>
    <n v="10131.900299999998"/>
    <n v="0.54606543559174292"/>
    <n v="0"/>
    <n v="0"/>
  </r>
  <r>
    <s v="ORD-2023-132101"/>
    <d v="2023-09-25T00:00:00"/>
    <x v="27"/>
    <s v="Q3-2023"/>
    <d v="2023-10-09T00:00:00"/>
    <s v="Valid"/>
    <n v="14"/>
    <d v="2023-10-09T00:00:00"/>
    <x v="2"/>
    <s v="Americas → USA → New York"/>
    <s v="USA-2023-09"/>
    <s v="USA"/>
    <s v="New York"/>
    <s v="Small Business"/>
    <s v="Marketplace"/>
    <x v="1"/>
    <s v="Laptops"/>
    <s v="LAP-6750"/>
    <n v="1279.56"/>
    <n v="3083.8"/>
    <s v="Valid"/>
    <n v="3083.8"/>
    <s v="High"/>
    <n v="0.106"/>
    <s v="Valid"/>
    <n v="0.106"/>
    <n v="5"/>
    <n v="13784.586000000001"/>
    <n v="6397.7999999999993"/>
    <n v="7386.7860000000019"/>
    <n v="0.53587289455047848"/>
    <n v="0"/>
    <n v="0"/>
  </r>
  <r>
    <s v="ORD-2025-306903"/>
    <d v="2025-06-24T00:00:00"/>
    <x v="16"/>
    <s v="Q2-2025"/>
    <d v="2025-07-23T00:00:00"/>
    <s v="Valid"/>
    <n v="29"/>
    <d v="2025-07-23T00:00:00"/>
    <x v="2"/>
    <s v="Americas → Canada → Vancouver"/>
    <s v="Canada-2025-06"/>
    <s v="Canada"/>
    <s v="Vancouver"/>
    <s v="Non-Profit"/>
    <s v="Marketplace"/>
    <x v="2"/>
    <s v="Printers"/>
    <s v="PRN-3775"/>
    <n v="255.4"/>
    <n v="322.70999999999998"/>
    <s v="Valid"/>
    <n v="322.70999999999998"/>
    <s v="Low"/>
    <n v="0.115"/>
    <s v="Valid"/>
    <n v="0.115"/>
    <n v="16"/>
    <n v="4569.5735999999997"/>
    <n v="4086.4"/>
    <n v="483.17359999999962"/>
    <n v="0.10573713048412212"/>
    <n v="0"/>
    <n v="0"/>
  </r>
  <r>
    <s v="ORD-2023-813340"/>
    <d v="2023-12-26T00:00:00"/>
    <x v="4"/>
    <s v="Q4-2023"/>
    <d v="2024-01-03T00:00:00"/>
    <s v="Valid"/>
    <n v="8"/>
    <d v="2024-01-03T00:00:00"/>
    <x v="3"/>
    <s v="Europe → France → Lyon"/>
    <s v="France-2023-12"/>
    <s v="France"/>
    <s v="Lyon"/>
    <s v="Small Business"/>
    <s v="Retail"/>
    <x v="12"/>
    <s v="Laptops"/>
    <s v="LAP-2942"/>
    <n v="492.75"/>
    <n v="731.29"/>
    <s v="Valid"/>
    <n v="731.29"/>
    <s v="Medium"/>
    <n v="5.8000000000000003E-2"/>
    <s v="Valid"/>
    <n v="5.8000000000000003E-2"/>
    <n v="6"/>
    <n v="4133.25108"/>
    <n v="2956.5"/>
    <n v="1176.75108"/>
    <n v="0.28470350753528384"/>
    <n v="0"/>
    <n v="0"/>
  </r>
  <r>
    <s v="ORD-2023-855675"/>
    <d v="2023-02-05T00:00:00"/>
    <x v="2"/>
    <s v="Q1-2023"/>
    <d v="2023-02-28T00:00:00"/>
    <s v="Valid"/>
    <n v="23"/>
    <d v="2023-02-28T00:00:00"/>
    <x v="2"/>
    <s v="Americas → USA → Austin"/>
    <s v="USA-2023-02"/>
    <s v="USA"/>
    <s v="Austin"/>
    <s v="Non-Profit"/>
    <s v="Distributor"/>
    <x v="4"/>
    <s v="Phones"/>
    <s v="PHN-2036"/>
    <n v="1214.49"/>
    <n v="1533.95"/>
    <s v="Valid"/>
    <n v="1533.95"/>
    <s v="Medium"/>
    <n v="0"/>
    <s v="Valid"/>
    <n v="0"/>
    <n v="11"/>
    <n v="16873.45"/>
    <n v="13359.39"/>
    <n v="3514.0600000000013"/>
    <n v="0.20825972163369086"/>
    <n v="0"/>
    <n v="0"/>
  </r>
  <r>
    <s v="ORD-2023-545150"/>
    <d v="2023-04-06T00:00:00"/>
    <x v="12"/>
    <s v="Q2-2023"/>
    <d v="2023-04-08T00:00:00"/>
    <s v="Valid"/>
    <n v="2"/>
    <d v="2023-04-08T00:00:00"/>
    <x v="0"/>
    <s v="Africa → Nigeria → Abuja"/>
    <s v="Nigeria-2023-04"/>
    <s v="Nigeria"/>
    <s v="Abuja"/>
    <s v="Small Business"/>
    <s v="Marketplace"/>
    <x v="11"/>
    <s v="Monitors"/>
    <s v="MON-4373"/>
    <n v="720.35"/>
    <n v="1571.66"/>
    <s v="Valid"/>
    <n v="1571.66"/>
    <s v="Medium"/>
    <n v="0.107"/>
    <s v="Valid"/>
    <n v="0.107"/>
    <n v="23"/>
    <n v="32280.32474"/>
    <n v="16568.05"/>
    <n v="15712.274740000001"/>
    <n v="0.4867446305622265"/>
    <n v="1"/>
    <n v="0"/>
  </r>
  <r>
    <s v="ORD-2025-269934"/>
    <d v="2025-04-04T00:00:00"/>
    <x v="19"/>
    <s v="Q2-2025"/>
    <d v="2025-04-10T00:00:00"/>
    <s v="Valid"/>
    <n v="6"/>
    <d v="2025-04-10T00:00:00"/>
    <x v="3"/>
    <s v="Europe → United Kingdom → Birmingham"/>
    <s v="United Kingdom-2025-04"/>
    <s v="United Kingdom"/>
    <s v="Birmingham"/>
    <s v="Non-Profit"/>
    <s v="Direct"/>
    <x v="13"/>
    <s v="Printers"/>
    <s v="PRN-8657"/>
    <n v="290.14"/>
    <n v="250.73"/>
    <s v="Valid"/>
    <n v="250.73"/>
    <s v="Low"/>
    <n v="3.4000000000000002E-2"/>
    <s v="Valid"/>
    <n v="3.4000000000000002E-2"/>
    <n v="17"/>
    <n v="4117.4880599999997"/>
    <n v="4932.38"/>
    <n v="-814.89194000000043"/>
    <n v="-0.19790997038131072"/>
    <n v="1"/>
    <n v="0"/>
  </r>
  <r>
    <s v="ORD-2024-690270"/>
    <d v="2024-05-17T00:00:00"/>
    <x v="7"/>
    <s v="Q2-2024"/>
    <d v="2024-05-27T00:00:00"/>
    <s v="Valid"/>
    <n v="10"/>
    <d v="2024-05-27T00:00:00"/>
    <x v="2"/>
    <s v="Americas → USA → Austin"/>
    <s v="USA-2024-05"/>
    <s v="USA"/>
    <s v="Austin"/>
    <s v="Non-Profit"/>
    <s v="Online"/>
    <x v="0"/>
    <s v="Phones"/>
    <s v="PHN-7974"/>
    <n v="1484.23"/>
    <n v="3472.81"/>
    <s v="Valid"/>
    <n v="3472.81"/>
    <s v="High"/>
    <n v="0.25600000000000001"/>
    <s v="Valid"/>
    <n v="0.25600000000000001"/>
    <n v="12"/>
    <n v="31005.24768"/>
    <n v="17810.760000000002"/>
    <n v="13194.487679999998"/>
    <n v="0.42555659661803413"/>
    <n v="0"/>
    <n v="1"/>
  </r>
  <r>
    <s v="ORD-2024-868223"/>
    <d v="2024-03-03T00:00:00"/>
    <x v="0"/>
    <s v="Q1-2024"/>
    <d v="2024-03-19T00:00:00"/>
    <s v="Valid"/>
    <n v="16"/>
    <d v="2024-03-19T00:00:00"/>
    <x v="1"/>
    <s v="Asia → China → Beijing"/>
    <s v="China-2024-03"/>
    <s v="China"/>
    <s v="Beijing"/>
    <s v="Consumer"/>
    <s v="Distributor"/>
    <x v="3"/>
    <s v="Phones"/>
    <s v="PHN-4915"/>
    <n v="988.83"/>
    <n v="1206.04"/>
    <s v="Valid"/>
    <n v="1206.04"/>
    <s v="Medium"/>
    <n v="6.3E-2"/>
    <s v="Valid"/>
    <n v="6.3E-2"/>
    <n v="34"/>
    <n v="38422.022320000004"/>
    <n v="33620.22"/>
    <n v="4801.8023200000025"/>
    <n v="0.12497526236406606"/>
    <n v="0"/>
    <n v="0"/>
  </r>
  <r>
    <s v="ORD-2025-188059"/>
    <d v="2025-06-27T00:00:00"/>
    <x v="16"/>
    <s v="Q2-2025"/>
    <d v="2025-07-11T00:00:00"/>
    <s v="Valid"/>
    <n v="14"/>
    <d v="2025-07-11T00:00:00"/>
    <x v="1"/>
    <s v="Asia → China → Shanghai"/>
    <s v="China-2025-06"/>
    <s v="China"/>
    <s v="Shanghai"/>
    <s v="Small Business"/>
    <s v="Marketplace"/>
    <x v="4"/>
    <s v="Networking"/>
    <s v="NET-3535"/>
    <n v="1227.7"/>
    <n v="2197.23"/>
    <s v="Valid"/>
    <n v="2197.23"/>
    <s v="High"/>
    <n v="9.9000000000000005E-2"/>
    <s v="Valid"/>
    <n v="9.9000000000000005E-2"/>
    <n v="22"/>
    <n v="43553.493060000001"/>
    <n v="27009.4"/>
    <n v="16544.093059999999"/>
    <n v="0.37985685871873898"/>
    <n v="0"/>
    <n v="0"/>
  </r>
  <r>
    <s v="ORD-2023-281890"/>
    <d v="2023-03-13T00:00:00"/>
    <x v="22"/>
    <s v="Q1-2023"/>
    <d v="2023-04-04T00:00:00"/>
    <s v="Valid"/>
    <n v="22"/>
    <d v="2023-04-04T00:00:00"/>
    <x v="0"/>
    <s v="Africa → South Africa → Durban"/>
    <s v="South Africa-2023-03"/>
    <s v="South Africa"/>
    <s v="Durban"/>
    <s v="Small Business"/>
    <s v="Retail"/>
    <x v="8"/>
    <s v="Components"/>
    <s v="CMP-2574"/>
    <n v="1113.7"/>
    <n v="1620.6"/>
    <s v="Valid"/>
    <n v="1620.6"/>
    <s v="Medium"/>
    <n v="0.13900000000000001"/>
    <s v="Valid"/>
    <n v="0.13900000000000001"/>
    <n v="11"/>
    <n v="15348.702599999999"/>
    <n v="12250.7"/>
    <n v="3098.002599999998"/>
    <n v="0.20184133348182787"/>
    <n v="0"/>
    <n v="0"/>
  </r>
  <r>
    <s v="ORD-2025-636162"/>
    <d v="2025-01-07T00:00:00"/>
    <x v="10"/>
    <s v="Q1-2025"/>
    <d v="2025-01-20T00:00:00"/>
    <s v="Valid"/>
    <n v="13"/>
    <d v="2025-01-20T00:00:00"/>
    <x v="0"/>
    <s v="Africa → South Africa → Cape Town"/>
    <s v="South Africa-2025-01"/>
    <s v="South Africa"/>
    <s v="Cape Town"/>
    <s v="Corporate"/>
    <s v="Direct"/>
    <x v="11"/>
    <s v="Networking"/>
    <s v="NET-7901"/>
    <n v="432.13"/>
    <n v="1034.6600000000001"/>
    <s v="Valid"/>
    <n v="1034.6600000000001"/>
    <s v="Medium"/>
    <n v="9.1999999999999998E-2"/>
    <s v="Valid"/>
    <n v="9.1999999999999998E-2"/>
    <n v="7"/>
    <n v="6576.298960000001"/>
    <n v="3024.91"/>
    <n v="3551.3889600000011"/>
    <n v="0.54002851476204794"/>
    <n v="0"/>
    <n v="0"/>
  </r>
  <r>
    <s v="ORD-2025-915869"/>
    <d v="2025-02-06T00:00:00"/>
    <x v="26"/>
    <s v="Q1-2025"/>
    <d v="2025-02-15T00:00:00"/>
    <s v="Valid"/>
    <n v="9"/>
    <d v="2025-02-15T00:00:00"/>
    <x v="2"/>
    <s v="Americas → Brazil → São Paulo"/>
    <s v="Brazil-2025-02"/>
    <s v="Brazil"/>
    <s v="São Paulo"/>
    <s v="Non-Profit"/>
    <s v="Distributor"/>
    <x v="9"/>
    <s v="Networking"/>
    <s v="NET-5482"/>
    <n v="837.39"/>
    <n v="1905.42"/>
    <s v="Valid"/>
    <n v="1905.42"/>
    <s v="Medium"/>
    <n v="3.2000000000000001E-2"/>
    <s v="Valid"/>
    <n v="3.2000000000000001E-2"/>
    <n v="18"/>
    <n v="33200.038079999998"/>
    <n v="15073.02"/>
    <n v="18127.018079999998"/>
    <n v="0.54599389423350919"/>
    <n v="0"/>
    <n v="0"/>
  </r>
  <r>
    <s v="ORD-2025-192876"/>
    <d v="2025-01-31T00:00:00"/>
    <x v="10"/>
    <s v="Q1-2025"/>
    <d v="2025-02-17T00:00:00"/>
    <s v="Valid"/>
    <n v="17"/>
    <d v="2025-02-17T00:00:00"/>
    <x v="3"/>
    <s v="Europe → United Kingdom → London"/>
    <s v="United Kingdom-2025-01"/>
    <s v="United Kingdom"/>
    <s v="London"/>
    <s v="Enterprise"/>
    <s v="Retail"/>
    <x v="10"/>
    <s v="Components"/>
    <s v="CMP-5820"/>
    <n v="378.26"/>
    <n v="541.55999999999995"/>
    <s v="Valid"/>
    <n v="541.55999999999995"/>
    <s v="Low"/>
    <n v="0.16300000000000001"/>
    <s v="Valid"/>
    <n v="0.16300000000000001"/>
    <n v="25"/>
    <n v="11332.142999999998"/>
    <n v="9456.5"/>
    <n v="1875.6429999999982"/>
    <n v="0.16551529573885526"/>
    <n v="0"/>
    <n v="0"/>
  </r>
  <r>
    <s v="ORD-2025-822030"/>
    <d v="2025-08-07T00:00:00"/>
    <x v="28"/>
    <s v="Q3-2025"/>
    <d v="2025-09-06T00:00:00"/>
    <s v="Valid"/>
    <n v="30"/>
    <d v="2025-09-06T00:00:00"/>
    <x v="2"/>
    <s v="Americas → Canada → Montreal"/>
    <s v="Canada-2025-08"/>
    <s v="Canada"/>
    <s v="Montreal"/>
    <s v="Education"/>
    <s v="Direct"/>
    <x v="12"/>
    <s v="Networking"/>
    <s v="NET-1336"/>
    <n v="833.73"/>
    <n v="1116.5999999999999"/>
    <s v="Valid"/>
    <n v="1116.5999999999999"/>
    <s v="Medium"/>
    <n v="0.17599999999999999"/>
    <s v="Valid"/>
    <n v="0.17599999999999999"/>
    <n v="14"/>
    <n v="12881.097599999999"/>
    <n v="11672.220000000001"/>
    <n v="1208.877599999998"/>
    <n v="9.3848958958279924E-2"/>
    <n v="0"/>
    <n v="0"/>
  </r>
  <r>
    <s v="ORD-2025-789245"/>
    <d v="2025-07-23T00:00:00"/>
    <x v="13"/>
    <s v="Q3-2025"/>
    <d v="2025-08-17T00:00:00"/>
    <s v="Valid"/>
    <n v="25"/>
    <d v="2025-08-17T00:00:00"/>
    <x v="3"/>
    <s v="Europe → United Kingdom → Birmingham"/>
    <s v="United Kingdom-2025-07"/>
    <s v="United Kingdom"/>
    <s v="Birmingham"/>
    <s v="Education"/>
    <s v="Online"/>
    <x v="2"/>
    <s v="Printers"/>
    <s v="PRN-5876"/>
    <n v="1142.06"/>
    <n v="1455"/>
    <s v="Valid"/>
    <n v="1455"/>
    <s v="Medium"/>
    <n v="7.8E-2"/>
    <s v="Valid"/>
    <n v="7.8E-2"/>
    <n v="28"/>
    <n v="37562.28"/>
    <n v="31977.68"/>
    <n v="5584.5999999999985"/>
    <n v="0.1486757459877302"/>
    <n v="0"/>
    <n v="0"/>
  </r>
  <r>
    <s v="ORD-2023-594955"/>
    <d v="2023-06-20T00:00:00"/>
    <x v="23"/>
    <s v="Q2-2023"/>
    <d v="2023-07-08T00:00:00"/>
    <s v="Valid"/>
    <n v="18"/>
    <d v="2023-07-08T00:00:00"/>
    <x v="2"/>
    <s v="Americas → USA → New York"/>
    <s v="USA-2023-06"/>
    <s v="USA"/>
    <s v="New York"/>
    <s v="Consumer"/>
    <s v="Marketplace"/>
    <x v="7"/>
    <s v="Networking"/>
    <s v="NET-3828"/>
    <n v="1145.53"/>
    <n v="1278.3"/>
    <s v="Valid"/>
    <n v="1278.3"/>
    <s v="Medium"/>
    <n v="0.09"/>
    <s v="Valid"/>
    <n v="0.09"/>
    <n v="41"/>
    <n v="47693.373"/>
    <n v="46966.729999999996"/>
    <n v="726.64300000000367"/>
    <n v="1.5235722581416158E-2"/>
    <n v="0"/>
    <n v="0"/>
  </r>
  <r>
    <s v="ORD-2024-398783"/>
    <d v="2024-07-18T00:00:00"/>
    <x v="14"/>
    <s v="Q3-2024"/>
    <d v="2024-08-07T00:00:00"/>
    <s v="Valid"/>
    <n v="20"/>
    <d v="2024-08-07T00:00:00"/>
    <x v="3"/>
    <s v="Europe → France → Marseille"/>
    <s v="France-2024-07"/>
    <s v="France"/>
    <s v="Marseille"/>
    <s v="Corporate"/>
    <s v="Retail"/>
    <x v="9"/>
    <s v="Monitors"/>
    <s v="MON-7622"/>
    <n v="941.35"/>
    <n v="899.83"/>
    <s v="Valid"/>
    <n v="899.83"/>
    <s v="Medium"/>
    <n v="5.8000000000000003E-2"/>
    <s v="Valid"/>
    <n v="5.8000000000000003E-2"/>
    <n v="18"/>
    <n v="15257.51748"/>
    <n v="16944.3"/>
    <n v="-1686.7825199999988"/>
    <n v="-0.11055419220139073"/>
    <n v="0"/>
    <n v="0"/>
  </r>
  <r>
    <s v="ORD-2023-676553"/>
    <d v="2023-05-20T00:00:00"/>
    <x v="15"/>
    <s v="Q2-2023"/>
    <d v="2023-06-19T00:00:00"/>
    <s v="Valid"/>
    <n v="30"/>
    <d v="2023-06-19T00:00:00"/>
    <x v="1"/>
    <s v="Asia → India → Delhi"/>
    <s v="India-2023-05"/>
    <s v="India"/>
    <s v="Delhi"/>
    <s v="Non-Profit"/>
    <s v="Marketplace"/>
    <x v="10"/>
    <s v="Laptops"/>
    <s v="LAP-2806"/>
    <n v="1161.2"/>
    <n v="878.73"/>
    <s v="Valid"/>
    <n v="878.73"/>
    <s v="Medium"/>
    <n v="0.19"/>
    <s v="Valid"/>
    <n v="0.19"/>
    <n v="31"/>
    <n v="22064.910300000003"/>
    <n v="35997.200000000004"/>
    <n v="-13932.289700000001"/>
    <n v="-0.63142290227212028"/>
    <n v="0"/>
    <n v="0"/>
  </r>
  <r>
    <s v="ORD-2025-866565"/>
    <d v="2025-05-12T00:00:00"/>
    <x v="8"/>
    <s v="Q2-2025"/>
    <d v="2025-05-26T00:00:00"/>
    <s v="Valid"/>
    <n v="14"/>
    <d v="2025-05-26T00:00:00"/>
    <x v="1"/>
    <s v="Asia → India → Hyderabad"/>
    <s v="India-2025-05"/>
    <s v="India"/>
    <s v="Hyderabad"/>
    <s v="Corporate"/>
    <s v="Marketplace"/>
    <x v="3"/>
    <s v="Printers"/>
    <s v="PRN-8850"/>
    <n v="320.12"/>
    <n v="594.41999999999996"/>
    <s v="Valid"/>
    <n v="594.41999999999996"/>
    <s v="Low"/>
    <n v="0.104"/>
    <s v="Valid"/>
    <n v="0.104"/>
    <n v="18"/>
    <n v="9586.8057599999993"/>
    <n v="5762.16"/>
    <n v="3824.6457599999994"/>
    <n v="0.39894891538931104"/>
    <n v="0"/>
    <n v="0"/>
  </r>
  <r>
    <s v="ORD-2024-527858"/>
    <d v="2024-05-07T00:00:00"/>
    <x v="7"/>
    <s v="Q2-2024"/>
    <d v="2024-05-12T00:00:00"/>
    <s v="Valid"/>
    <n v="5"/>
    <d v="2024-05-12T00:00:00"/>
    <x v="0"/>
    <s v="Africa → Nigeria → Abuja"/>
    <s v="Nigeria-2024-05"/>
    <s v="Nigeria"/>
    <s v="Abuja"/>
    <s v="Non-Profit"/>
    <s v="Distributor"/>
    <x v="4"/>
    <s v="Laptops"/>
    <s v="LAP-9100"/>
    <n v="1163.99"/>
    <n v="1617.85"/>
    <s v="Valid"/>
    <n v="1617.85"/>
    <s v="Medium"/>
    <n v="0.127"/>
    <s v="Valid"/>
    <n v="0.127"/>
    <n v="14"/>
    <n v="19773.362699999998"/>
    <n v="16295.86"/>
    <n v="3477.5026999999973"/>
    <n v="0.17586804797749436"/>
    <n v="1"/>
    <n v="0"/>
  </r>
  <r>
    <s v="ORD-2023-619385"/>
    <d v="2023-09-30T00:00:00"/>
    <x v="27"/>
    <s v="Q3-2023"/>
    <d v="2023-10-03T00:00:00"/>
    <s v="Valid"/>
    <n v="3"/>
    <d v="2023-10-03T00:00:00"/>
    <x v="1"/>
    <s v="Asia → China → Beijing"/>
    <s v="China-2023-09"/>
    <s v="China"/>
    <s v="Beijing"/>
    <s v="Non-Profit"/>
    <s v="Retail"/>
    <x v="1"/>
    <s v="Laptops"/>
    <s v="LAP-5763"/>
    <n v="1019.36"/>
    <n v="972.91"/>
    <s v="Valid"/>
    <n v="972.91"/>
    <s v="Medium"/>
    <n v="0.14699999999999999"/>
    <s v="Valid"/>
    <n v="0.14699999999999999"/>
    <n v="17"/>
    <n v="14108.16791"/>
    <n v="17329.12"/>
    <n v="-3220.9520899999989"/>
    <n v="-0.22830406545678819"/>
    <n v="1"/>
    <n v="0"/>
  </r>
  <r>
    <s v="ORD-2023-835226"/>
    <d v="2023-10-26T00:00:00"/>
    <x v="32"/>
    <s v="Q4-2023"/>
    <d v="2023-11-05T00:00:00"/>
    <s v="Valid"/>
    <n v="10"/>
    <d v="2023-11-05T00:00:00"/>
    <x v="0"/>
    <s v="Africa → South Africa → Cape Town"/>
    <s v="South Africa-2023-10"/>
    <s v="South Africa"/>
    <s v="Cape Town"/>
    <s v="Non-Profit"/>
    <s v="Online"/>
    <x v="2"/>
    <s v="Laptops"/>
    <s v="LAP-7320"/>
    <n v="20.38"/>
    <n v="42.56"/>
    <s v="Valid"/>
    <n v="42.56"/>
    <s v="Low"/>
    <n v="7.1999999999999995E-2"/>
    <s v="Valid"/>
    <n v="7.1999999999999995E-2"/>
    <n v="11"/>
    <n v="434.45248000000004"/>
    <n v="224.17999999999998"/>
    <n v="210.27248000000006"/>
    <n v="0.48399419885921713"/>
    <n v="0"/>
    <n v="0"/>
  </r>
  <r>
    <s v="ORD-2025-485946"/>
    <d v="2025-06-15T00:00:00"/>
    <x v="16"/>
    <s v="Q2-2025"/>
    <d v="2025-06-30T00:00:00"/>
    <s v="Valid"/>
    <n v="15"/>
    <d v="2025-06-30T00:00:00"/>
    <x v="0"/>
    <s v="Africa → South Africa → Johannesburg"/>
    <s v="South Africa-2025-06"/>
    <s v="South Africa"/>
    <s v="Johannesburg"/>
    <s v="Small Business"/>
    <s v="Direct"/>
    <x v="0"/>
    <s v="Monitors"/>
    <s v="MON-5891"/>
    <n v="1487.59"/>
    <n v="1480.83"/>
    <s v="Valid"/>
    <n v="1480.83"/>
    <s v="Medium"/>
    <n v="8.9999999999999993E-3"/>
    <s v="Valid"/>
    <n v="8.9999999999999993E-3"/>
    <n v="11"/>
    <n v="16142.527829999999"/>
    <n v="16363.49"/>
    <n v="-220.9621700000007"/>
    <n v="-1.3688201273492908E-2"/>
    <n v="0"/>
    <n v="0"/>
  </r>
  <r>
    <s v="ORD-2024-307849"/>
    <d v="2024-08-10T00:00:00"/>
    <x v="21"/>
    <s v="Q3-2024"/>
    <d v="2024-09-07T00:00:00"/>
    <s v="Valid"/>
    <n v="28"/>
    <d v="2024-09-07T00:00:00"/>
    <x v="3"/>
    <s v="Europe → France → Marseille"/>
    <s v="France-2024-08"/>
    <s v="France"/>
    <s v="Marseille"/>
    <s v="Non-Profit"/>
    <s v="Direct"/>
    <x v="9"/>
    <s v="Printers"/>
    <s v="PRN-1183"/>
    <n v="229.96"/>
    <n v="564.26"/>
    <s v="Valid"/>
    <n v="564.26"/>
    <s v="Low"/>
    <n v="0.105"/>
    <s v="Valid"/>
    <n v="0.105"/>
    <n v="5"/>
    <n v="2525.0635000000002"/>
    <n v="1149.8"/>
    <n v="1375.2635000000002"/>
    <n v="0.54464511486542821"/>
    <n v="0"/>
    <n v="0"/>
  </r>
  <r>
    <s v="ORD-2023-368449"/>
    <d v="2023-10-09T00:00:00"/>
    <x v="32"/>
    <s v="Q4-2023"/>
    <d v="2023-10-26T00:00:00"/>
    <s v="Valid"/>
    <n v="17"/>
    <d v="2023-10-26T00:00:00"/>
    <x v="1"/>
    <s v="Asia → China → Shanghai"/>
    <s v="China-2023-10"/>
    <s v="China"/>
    <s v="Shanghai"/>
    <s v="Consumer"/>
    <s v="Marketplace"/>
    <x v="0"/>
    <s v="Components"/>
    <s v="CMP-2096"/>
    <n v="1132.03"/>
    <n v="2137.21"/>
    <s v="Valid"/>
    <n v="2137.21"/>
    <s v="High"/>
    <n v="0.35699999999999998"/>
    <s v="High Discount"/>
    <n v="0.3"/>
    <n v="35"/>
    <n v="52361.645000000004"/>
    <n v="39621.049999999996"/>
    <n v="12740.595000000008"/>
    <n v="0.24331922727026639"/>
    <n v="0"/>
    <n v="1"/>
  </r>
  <r>
    <s v="ORD-2024-251426"/>
    <d v="2024-03-09T00:00:00"/>
    <x v="0"/>
    <s v="Q1-2024"/>
    <d v="2024-03-26T00:00:00"/>
    <s v="Valid"/>
    <n v="17"/>
    <d v="2024-03-26T00:00:00"/>
    <x v="2"/>
    <s v="Americas → USA → San Francisco"/>
    <s v="USA-2024-03"/>
    <s v="USA"/>
    <s v="San Francisco"/>
    <s v="Education"/>
    <s v="Direct"/>
    <x v="2"/>
    <s v="Phones"/>
    <s v="PHN-3398"/>
    <n v="1137.4100000000001"/>
    <n v="1680.93"/>
    <s v="Valid"/>
    <n v="1680.93"/>
    <s v="Medium"/>
    <n v="0.254"/>
    <s v="Valid"/>
    <n v="0.254"/>
    <n v="9"/>
    <n v="11285.764020000001"/>
    <n v="10236.69"/>
    <n v="1049.07402"/>
    <n v="9.2955516183121464E-2"/>
    <n v="0"/>
    <n v="1"/>
  </r>
  <r>
    <s v="ORD-2023-927385"/>
    <d v="2023-05-29T00:00:00"/>
    <x v="15"/>
    <s v="Q2-2023"/>
    <d v="2023-06-20T00:00:00"/>
    <s v="Valid"/>
    <n v="22"/>
    <d v="2023-06-20T00:00:00"/>
    <x v="3"/>
    <s v="Europe → United Kingdom → London"/>
    <s v="United Kingdom-2023-05"/>
    <s v="United Kingdom"/>
    <s v="London"/>
    <s v="Small Business"/>
    <s v="Direct"/>
    <x v="11"/>
    <s v="Components"/>
    <s v="CMP-8545"/>
    <n v="1295.3900000000001"/>
    <n v="2905.06"/>
    <s v="Valid"/>
    <n v="2905.06"/>
    <s v="High"/>
    <n v="0.14799999999999999"/>
    <s v="Valid"/>
    <n v="0.14799999999999999"/>
    <n v="8"/>
    <n v="19800.88896"/>
    <n v="10363.120000000001"/>
    <n v="9437.7689599999994"/>
    <n v="0.47663359857556614"/>
    <n v="0"/>
    <n v="0"/>
  </r>
  <r>
    <s v="ORD-2025-486350"/>
    <d v="2025-05-27T00:00:00"/>
    <x v="8"/>
    <s v="Q2-2025"/>
    <d v="2025-06-08T00:00:00"/>
    <s v="Valid"/>
    <n v="12"/>
    <d v="2025-06-08T00:00:00"/>
    <x v="1"/>
    <s v="Asia → Japan → Osaka"/>
    <s v="Japan-2025-05"/>
    <s v="Japan"/>
    <s v="Osaka"/>
    <s v="Corporate"/>
    <s v="Retail"/>
    <x v="10"/>
    <s v="Accessories"/>
    <s v="ACC-1249"/>
    <n v="653.6"/>
    <n v="842.09"/>
    <s v="Valid"/>
    <n v="842.09"/>
    <s v="Medium"/>
    <n v="9.8000000000000004E-2"/>
    <s v="Valid"/>
    <n v="9.8000000000000004E-2"/>
    <n v="19"/>
    <n v="14431.738420000001"/>
    <n v="12418.4"/>
    <n v="2013.3384200000019"/>
    <n v="0.13950768517324622"/>
    <n v="0"/>
    <n v="0"/>
  </r>
  <r>
    <s v="ORD-2025-677880"/>
    <d v="2025-08-21T00:00:00"/>
    <x v="28"/>
    <s v="Q3-2025"/>
    <d v="2025-09-14T00:00:00"/>
    <s v="Valid"/>
    <n v="24"/>
    <d v="2025-09-14T00:00:00"/>
    <x v="3"/>
    <s v="Europe → Germany → Berlin"/>
    <s v="Germany-2025-08"/>
    <s v="Germany"/>
    <s v="Berlin"/>
    <s v="Non-Profit"/>
    <s v="Online"/>
    <x v="8"/>
    <s v="Monitors"/>
    <s v="MON-9662"/>
    <n v="1397.67"/>
    <n v="3131.37"/>
    <s v="Valid"/>
    <n v="3131.37"/>
    <s v="High"/>
    <n v="0.10299999999999999"/>
    <s v="Valid"/>
    <n v="0.10299999999999999"/>
    <n v="20"/>
    <n v="56176.777799999996"/>
    <n v="27953.4"/>
    <n v="28223.377799999995"/>
    <n v="0.50240293062874808"/>
    <n v="0"/>
    <n v="0"/>
  </r>
  <r>
    <s v="ORD-2024-102866"/>
    <d v="2024-12-12T00:00:00"/>
    <x v="6"/>
    <s v="Q4-2024"/>
    <d v="2024-12-20T00:00:00"/>
    <s v="Valid"/>
    <n v="8"/>
    <d v="2024-12-20T00:00:00"/>
    <x v="1"/>
    <s v="Asia → Japan → Tokyo"/>
    <s v="Japan-2024-12"/>
    <s v="Japan"/>
    <s v="Tokyo"/>
    <s v="Corporate"/>
    <s v="Retail"/>
    <x v="5"/>
    <s v="Laptops"/>
    <s v="LAP-8347"/>
    <n v="1202.47"/>
    <n v="1444.72"/>
    <s v="Valid"/>
    <n v="1444.72"/>
    <s v="Medium"/>
    <n v="0.24099999999999999"/>
    <s v="Valid"/>
    <n v="0.24099999999999999"/>
    <n v="17"/>
    <n v="18641.222160000001"/>
    <n v="20441.990000000002"/>
    <n v="-1800.7678400000004"/>
    <n v="-9.6601382921343834E-2"/>
    <n v="0"/>
    <n v="1"/>
  </r>
  <r>
    <s v="ORD-2025-588029"/>
    <d v="2025-09-14T00:00:00"/>
    <x v="11"/>
    <s v="Q3-2025"/>
    <d v="2025-09-23T00:00:00"/>
    <s v="Valid"/>
    <n v="9"/>
    <d v="2025-09-23T00:00:00"/>
    <x v="0"/>
    <s v="Africa → South Africa → Durban"/>
    <s v="South Africa-2025-09"/>
    <s v="South Africa"/>
    <s v="Durban"/>
    <s v="Non-Profit"/>
    <s v="Online"/>
    <x v="14"/>
    <s v="Components"/>
    <s v="CMP-6898"/>
    <n v="1310.3"/>
    <n v="2875.8"/>
    <s v="Valid"/>
    <n v="2875.8"/>
    <s v="High"/>
    <n v="8.3000000000000004E-2"/>
    <s v="Valid"/>
    <n v="8.3000000000000004E-2"/>
    <n v="5"/>
    <n v="13185.543"/>
    <n v="6551.5"/>
    <n v="6634.0429999999997"/>
    <n v="0.50313005691157353"/>
    <n v="0"/>
    <n v="0"/>
  </r>
  <r>
    <s v="ORD-2024-972999"/>
    <d v="2024-09-06T00:00:00"/>
    <x v="29"/>
    <s v="Q3-2024"/>
    <d v="2024-10-04T00:00:00"/>
    <s v="Valid"/>
    <n v="28"/>
    <d v="2024-10-04T00:00:00"/>
    <x v="0"/>
    <s v="Africa → South Africa → Cape Town"/>
    <s v="South Africa-2024-09"/>
    <s v="South Africa"/>
    <s v="Cape Town"/>
    <s v="Corporate"/>
    <s v="Marketplace"/>
    <x v="14"/>
    <s v="Monitors"/>
    <s v="MON-3504"/>
    <n v="1174.17"/>
    <n v="1641.61"/>
    <s v="Valid"/>
    <n v="1641.61"/>
    <s v="Medium"/>
    <n v="0.122"/>
    <s v="Valid"/>
    <n v="0.122"/>
    <n v="9"/>
    <n v="12972.00222"/>
    <n v="10567.53"/>
    <n v="2404.4722199999997"/>
    <n v="0.18535860380079394"/>
    <n v="0"/>
    <n v="0"/>
  </r>
  <r>
    <s v="ORD-2025-608069"/>
    <d v="2025-04-12T00:00:00"/>
    <x v="19"/>
    <s v="Q2-2025"/>
    <d v="2025-04-30T00:00:00"/>
    <s v="Valid"/>
    <n v="18"/>
    <d v="2025-04-30T00:00:00"/>
    <x v="0"/>
    <s v="Africa → Kenya → Kisumu"/>
    <s v="Kenya-2025-04"/>
    <s v="Kenya"/>
    <s v="Kisumu"/>
    <s v="Corporate"/>
    <s v="Marketplace"/>
    <x v="9"/>
    <s v="Networking"/>
    <s v="NET-3432"/>
    <n v="1119.04"/>
    <n v="1299.02"/>
    <s v="Valid"/>
    <n v="1299.02"/>
    <s v="Medium"/>
    <n v="2.5000000000000001E-2"/>
    <s v="Valid"/>
    <n v="2.5000000000000001E-2"/>
    <n v="14"/>
    <n v="17731.623"/>
    <n v="15666.56"/>
    <n v="2065.0630000000001"/>
    <n v="0.11646215352085933"/>
    <n v="0"/>
    <n v="0"/>
  </r>
  <r>
    <s v="ORD-2024-626750"/>
    <d v="2024-08-12T00:00:00"/>
    <x v="21"/>
    <s v="Q3-2024"/>
    <d v="2024-08-15T00:00:00"/>
    <s v="Valid"/>
    <n v="3"/>
    <d v="2024-08-15T00:00:00"/>
    <x v="2"/>
    <s v="Americas → USA → Chicago"/>
    <s v="USA-2024-08"/>
    <s v="USA"/>
    <s v="Chicago"/>
    <s v="Corporate"/>
    <s v="Marketplace"/>
    <x v="14"/>
    <s v="Printers"/>
    <s v="PRN-5591"/>
    <n v="850.7"/>
    <n v="1118.56"/>
    <s v="Valid"/>
    <n v="1118.56"/>
    <s v="Medium"/>
    <n v="0.18"/>
    <s v="Valid"/>
    <n v="0.18"/>
    <n v="19"/>
    <n v="17427.164800000002"/>
    <n v="16163.300000000001"/>
    <n v="1263.8648000000012"/>
    <n v="7.2522685962090688E-2"/>
    <n v="1"/>
    <n v="0"/>
  </r>
  <r>
    <s v="ORD-2024-170021"/>
    <d v="2024-11-05T00:00:00"/>
    <x v="18"/>
    <s v="Q4-2024"/>
    <d v="2024-11-08T00:00:00"/>
    <s v="Valid"/>
    <n v="3"/>
    <d v="2024-11-08T00:00:00"/>
    <x v="2"/>
    <s v="Americas → Canada → Toronto"/>
    <s v="Canada-2024-11"/>
    <s v="Canada"/>
    <s v="Toronto"/>
    <s v="Education"/>
    <s v="Marketplace"/>
    <x v="7"/>
    <s v="Components"/>
    <s v="CMP-2015"/>
    <n v="1020.4"/>
    <n v="1184.71"/>
    <s v="Valid"/>
    <n v="1184.71"/>
    <s v="Medium"/>
    <n v="0.106"/>
    <s v="Valid"/>
    <n v="0.106"/>
    <n v="16"/>
    <n v="16946.091840000001"/>
    <n v="16326.4"/>
    <n v="619.69184000000132"/>
    <n v="3.6568422138328345E-2"/>
    <n v="1"/>
    <n v="0"/>
  </r>
  <r>
    <s v="ORD-2024-678110"/>
    <d v="2024-07-24T00:00:00"/>
    <x v="14"/>
    <s v="Q3-2024"/>
    <d v="2024-08-08T00:00:00"/>
    <s v="Valid"/>
    <n v="15"/>
    <d v="2024-08-08T00:00:00"/>
    <x v="3"/>
    <s v="Europe → France → Marseille"/>
    <s v="France-2024-07"/>
    <s v="France"/>
    <s v="Marseille"/>
    <s v="Enterprise"/>
    <s v="Marketplace"/>
    <x v="10"/>
    <s v="Laptops"/>
    <s v="LAP-9901"/>
    <n v="501.5"/>
    <n v="1201.47"/>
    <s v="Valid"/>
    <n v="1201.47"/>
    <s v="Medium"/>
    <n v="0.126"/>
    <s v="Valid"/>
    <n v="0.126"/>
    <n v="5"/>
    <n v="5250.4239000000007"/>
    <n v="2507.5"/>
    <n v="2742.9239000000007"/>
    <n v="0.52241951359394057"/>
    <n v="0"/>
    <n v="0"/>
  </r>
  <r>
    <s v="ORD-2025-909340"/>
    <d v="2025-01-20T00:00:00"/>
    <x v="10"/>
    <s v="Q1-2025"/>
    <d v="2025-02-03T00:00:00"/>
    <s v="Valid"/>
    <n v="14"/>
    <d v="2025-02-03T00:00:00"/>
    <x v="2"/>
    <s v="Americas → Brazil → Brasília"/>
    <s v="Brazil-2025-01"/>
    <s v="Brazil"/>
    <s v="Brasília"/>
    <s v="Enterprise"/>
    <s v="Marketplace"/>
    <x v="9"/>
    <s v="Components"/>
    <s v="CMP-8658"/>
    <n v="974.11"/>
    <n v="880.99"/>
    <s v="Valid"/>
    <n v="880.99"/>
    <s v="Medium"/>
    <n v="0.111"/>
    <s v="Valid"/>
    <n v="0.111"/>
    <n v="10"/>
    <n v="7832.0010999999995"/>
    <n v="9741.1"/>
    <n v="-1909.0989000000009"/>
    <n v="-0.2437562093805121"/>
    <n v="0"/>
    <n v="0"/>
  </r>
  <r>
    <s v="ORD-2023-854471"/>
    <d v="2023-03-06T00:00:00"/>
    <x v="22"/>
    <s v="Q1-2023"/>
    <d v="2023-04-04T00:00:00"/>
    <s v="Valid"/>
    <n v="29"/>
    <d v="2023-04-04T00:00:00"/>
    <x v="1"/>
    <s v="Asia → China → Beijing"/>
    <s v="China-2023-03"/>
    <s v="China"/>
    <s v="Beijing"/>
    <s v="Small Business"/>
    <s v="Direct"/>
    <x v="0"/>
    <s v="Monitors"/>
    <s v="MON-2073"/>
    <n v="1126.29"/>
    <n v="2050.87"/>
    <s v="Valid"/>
    <n v="2050.87"/>
    <s v="High"/>
    <n v="6.4000000000000001E-2"/>
    <s v="Valid"/>
    <n v="6.4000000000000001E-2"/>
    <n v="7"/>
    <n v="13437.300239999999"/>
    <n v="7884.03"/>
    <n v="5553.2702399999989"/>
    <n v="0.41327276616690373"/>
    <n v="0"/>
    <n v="0"/>
  </r>
  <r>
    <s v="ORD-2024-390951"/>
    <d v="2024-12-20T00:00:00"/>
    <x v="6"/>
    <s v="Q4-2024"/>
    <d v="2025-01-14T00:00:00"/>
    <s v="Valid"/>
    <n v="25"/>
    <d v="2025-01-14T00:00:00"/>
    <x v="1"/>
    <s v="Asia → India → Delhi"/>
    <s v="India-2024-12"/>
    <s v="India"/>
    <s v="Delhi"/>
    <s v="Small Business"/>
    <s v="Retail"/>
    <x v="12"/>
    <s v="Printers"/>
    <s v="PRN-9378"/>
    <n v="1361.34"/>
    <n v="1737.9"/>
    <s v="Valid"/>
    <n v="1737.9"/>
    <s v="Medium"/>
    <n v="7.6999999999999999E-2"/>
    <s v="Valid"/>
    <n v="7.6999999999999999E-2"/>
    <n v="14"/>
    <n v="22457.143800000002"/>
    <n v="19058.759999999998"/>
    <n v="3398.3838000000032"/>
    <n v="0.15132751654731813"/>
    <n v="0"/>
    <n v="0"/>
  </r>
  <r>
    <s v="ORD-2025-881624"/>
    <d v="2025-02-21T00:00:00"/>
    <x v="26"/>
    <s v="Q1-2025"/>
    <d v="2025-03-21T00:00:00"/>
    <s v="Valid"/>
    <n v="28"/>
    <d v="2025-03-21T00:00:00"/>
    <x v="0"/>
    <s v="Africa → Nigeria → Abuja"/>
    <s v="Nigeria-2025-02"/>
    <s v="Nigeria"/>
    <s v="Abuja"/>
    <s v="Enterprise"/>
    <s v="Marketplace"/>
    <x v="2"/>
    <s v="Phones"/>
    <s v="PHN-5887"/>
    <n v="1437.39"/>
    <n v="1388.31"/>
    <s v="Valid"/>
    <n v="1388.31"/>
    <s v="Medium"/>
    <n v="0.13800000000000001"/>
    <s v="Valid"/>
    <n v="0.13800000000000001"/>
    <n v="18"/>
    <n v="21541.017959999997"/>
    <n v="25873.02"/>
    <n v="-4332.002040000003"/>
    <n v="-0.20110479681341872"/>
    <n v="0"/>
    <n v="0"/>
  </r>
  <r>
    <s v="ORD-2025-512310"/>
    <d v="2025-03-08T00:00:00"/>
    <x v="3"/>
    <s v="Q1-2025"/>
    <d v="2025-03-15T00:00:00"/>
    <s v="Valid"/>
    <n v="7"/>
    <d v="2025-03-15T00:00:00"/>
    <x v="1"/>
    <s v="Asia → India → Bengaluru"/>
    <s v="India-2025-03"/>
    <s v="India"/>
    <s v="Bengaluru"/>
    <s v="Corporate"/>
    <s v="Distributor"/>
    <x v="11"/>
    <s v="Laptops"/>
    <s v="LAP-8119"/>
    <n v="475.66"/>
    <n v="529.14"/>
    <s v="Valid"/>
    <n v="529.14"/>
    <s v="Low"/>
    <n v="0.19600000000000001"/>
    <s v="Valid"/>
    <n v="0.19600000000000001"/>
    <n v="11"/>
    <n v="4679.7141600000004"/>
    <n v="5232.26"/>
    <n v="-552.54583999999977"/>
    <n v="-0.11807256193613323"/>
    <n v="1"/>
    <n v="0"/>
  </r>
  <r>
    <s v="ORD-2023-674887"/>
    <d v="2023-12-16T00:00:00"/>
    <x v="4"/>
    <s v="Q4-2023"/>
    <d v="2023-12-19T00:00:00"/>
    <s v="Valid"/>
    <n v="3"/>
    <d v="2023-12-19T00:00:00"/>
    <x v="1"/>
    <s v="Asia → China → Beijing"/>
    <s v="China-2023-12"/>
    <s v="China"/>
    <s v="Beijing"/>
    <s v="Education"/>
    <s v="Retail"/>
    <x v="8"/>
    <s v="Accessories"/>
    <s v="ACC-9644"/>
    <n v="1415.05"/>
    <n v="1972.38"/>
    <s v="Valid"/>
    <n v="1972.38"/>
    <s v="High"/>
    <n v="0"/>
    <s v="Valid"/>
    <n v="0"/>
    <n v="12"/>
    <n v="23668.560000000001"/>
    <n v="16980.599999999999"/>
    <n v="6687.9600000000028"/>
    <n v="0.28256725377462771"/>
    <n v="1"/>
    <n v="0"/>
  </r>
  <r>
    <s v="ORD-2024-542244"/>
    <d v="2024-08-30T00:00:00"/>
    <x v="21"/>
    <s v="Q3-2024"/>
    <d v="2024-09-05T00:00:00"/>
    <s v="Valid"/>
    <n v="6"/>
    <d v="2024-09-05T00:00:00"/>
    <x v="1"/>
    <s v="Asia → Japan → Nagoya"/>
    <s v="Japan-2024-08"/>
    <s v="Japan"/>
    <s v="Nagoya"/>
    <s v="Education"/>
    <s v="Online"/>
    <x v="13"/>
    <s v="Laptops"/>
    <s v="LAP-7009"/>
    <n v="466.16"/>
    <n v="876.81"/>
    <s v="Valid"/>
    <n v="876.81"/>
    <s v="Medium"/>
    <n v="0.24099999999999999"/>
    <s v="Valid"/>
    <n v="0.24099999999999999"/>
    <n v="8"/>
    <n v="5323.9903199999999"/>
    <n v="3729.28"/>
    <n v="1594.7103199999997"/>
    <n v="0.29953291124691594"/>
    <n v="1"/>
    <n v="1"/>
  </r>
  <r>
    <s v="ORD-2024-375848"/>
    <d v="2024-05-18T00:00:00"/>
    <x v="7"/>
    <s v="Q2-2024"/>
    <d v="2024-05-21T00:00:00"/>
    <s v="Valid"/>
    <n v="3"/>
    <d v="2024-05-21T00:00:00"/>
    <x v="3"/>
    <s v="Europe → France → Marseille"/>
    <s v="France-2024-05"/>
    <s v="France"/>
    <s v="Marseille"/>
    <s v="Non-Profit"/>
    <s v="Marketplace"/>
    <x v="14"/>
    <s v="Printers"/>
    <s v="PRN-1725"/>
    <n v="663.66"/>
    <n v="824.26"/>
    <s v="Valid"/>
    <n v="824.26"/>
    <s v="Medium"/>
    <n v="0.23899999999999999"/>
    <s v="Valid"/>
    <n v="0.23899999999999999"/>
    <n v="11"/>
    <n v="6899.8804600000003"/>
    <n v="7300.2599999999993"/>
    <n v="-400.379539999999"/>
    <n v="-5.8027025587048933E-2"/>
    <n v="1"/>
    <n v="1"/>
  </r>
  <r>
    <s v="ORD-2023-933238"/>
    <d v="2023-03-17T00:00:00"/>
    <x v="22"/>
    <s v="Q1-2023"/>
    <d v="2023-04-06T00:00:00"/>
    <s v="Valid"/>
    <n v="20"/>
    <d v="2023-04-06T00:00:00"/>
    <x v="3"/>
    <s v="Europe → Germany → Munich"/>
    <s v="Germany-2023-03"/>
    <s v="Germany"/>
    <s v="Munich"/>
    <s v="Consumer"/>
    <s v="Retail"/>
    <x v="7"/>
    <s v="Phones"/>
    <s v="PHN-8483"/>
    <n v="692.18"/>
    <n v="1159.3499999999999"/>
    <s v="Valid"/>
    <n v="1159.3499999999999"/>
    <s v="Medium"/>
    <n v="0.112"/>
    <s v="Valid"/>
    <n v="0.112"/>
    <n v="2"/>
    <n v="2059.0056"/>
    <n v="1384.36"/>
    <n v="674.64560000000006"/>
    <n v="0.32765602968734037"/>
    <n v="0"/>
    <n v="0"/>
  </r>
  <r>
    <s v="ORD-2023-732585"/>
    <d v="2023-08-25T00:00:00"/>
    <x v="25"/>
    <s v="Q3-2023"/>
    <d v="2023-09-16T00:00:00"/>
    <s v="Valid"/>
    <n v="22"/>
    <d v="2023-09-16T00:00:00"/>
    <x v="0"/>
    <s v="Africa → Nigeria → Abuja"/>
    <s v="Nigeria-2023-08"/>
    <s v="Nigeria"/>
    <s v="Abuja"/>
    <s v="Corporate"/>
    <s v="Marketplace"/>
    <x v="4"/>
    <s v="Phones"/>
    <s v="PHN-3971"/>
    <n v="1196.83"/>
    <n v="2513.5100000000002"/>
    <s v="Valid"/>
    <n v="2513.5100000000002"/>
    <s v="High"/>
    <n v="8.3000000000000004E-2"/>
    <s v="Valid"/>
    <n v="8.3000000000000004E-2"/>
    <n v="7"/>
    <n v="16134.22069"/>
    <n v="8377.81"/>
    <n v="7756.4106900000006"/>
    <n v="0.48074281609445374"/>
    <n v="0"/>
    <n v="0"/>
  </r>
  <r>
    <s v="ORD-2024-465898"/>
    <d v="2024-06-06T00:00:00"/>
    <x v="17"/>
    <s v="Q2-2024"/>
    <d v="2024-06-24T00:00:00"/>
    <s v="Valid"/>
    <n v="18"/>
    <d v="2024-06-24T00:00:00"/>
    <x v="1"/>
    <s v="Asia → India → Bengaluru"/>
    <s v="India-2024-06"/>
    <s v="India"/>
    <s v="Bengaluru"/>
    <s v="Small Business"/>
    <s v="Direct"/>
    <x v="10"/>
    <s v="Networking"/>
    <s v="NET-6578"/>
    <n v="1253.25"/>
    <n v="3087.13"/>
    <s v="Valid"/>
    <n v="3087.13"/>
    <s v="High"/>
    <n v="7.1999999999999995E-2"/>
    <s v="Valid"/>
    <n v="7.1999999999999995E-2"/>
    <n v="11"/>
    <n v="31513.423040000001"/>
    <n v="13785.75"/>
    <n v="17727.673040000001"/>
    <n v="0.562543555408064"/>
    <n v="0"/>
    <n v="0"/>
  </r>
  <r>
    <s v="ORD-2023-987081"/>
    <d v="2023-08-29T00:00:00"/>
    <x v="25"/>
    <s v="Q3-2023"/>
    <d v="2023-09-13T00:00:00"/>
    <s v="Valid"/>
    <n v="15"/>
    <d v="2023-09-13T00:00:00"/>
    <x v="2"/>
    <s v="Americas → Canada → Vancouver"/>
    <s v="Canada-2023-08"/>
    <s v="Canada"/>
    <s v="Vancouver"/>
    <s v="Small Business"/>
    <s v="Marketplace"/>
    <x v="7"/>
    <s v="Printers"/>
    <s v="PRN-9975"/>
    <n v="1287.6400000000001"/>
    <n v="2717.15"/>
    <s v="Valid"/>
    <n v="2717.15"/>
    <s v="High"/>
    <n v="3.2000000000000001E-2"/>
    <s v="Valid"/>
    <n v="3.2000000000000001E-2"/>
    <n v="7"/>
    <n v="18411.4084"/>
    <n v="9013.4800000000014"/>
    <n v="9397.9283999999989"/>
    <n v="0.51044049405802105"/>
    <n v="0"/>
    <n v="0"/>
  </r>
  <r>
    <s v="ORD-2024-655710"/>
    <d v="2024-11-30T00:00:00"/>
    <x v="18"/>
    <s v="Q4-2024"/>
    <d v="2024-12-10T00:00:00"/>
    <s v="Valid"/>
    <n v="10"/>
    <d v="2024-12-10T00:00:00"/>
    <x v="1"/>
    <s v="Asia → India → Hyderabad"/>
    <s v="India-2024-11"/>
    <s v="India"/>
    <s v="Hyderabad"/>
    <s v="Small Business"/>
    <s v="Retail"/>
    <x v="9"/>
    <s v="Accessories"/>
    <s v="ACC-1075"/>
    <n v="851.49"/>
    <n v="901.79"/>
    <s v="Valid"/>
    <n v="901.79"/>
    <s v="Medium"/>
    <n v="0.245"/>
    <s v="Valid"/>
    <n v="0.245"/>
    <n v="16"/>
    <n v="10893.6232"/>
    <n v="13623.84"/>
    <n v="-2730.2168000000001"/>
    <n v="-0.25062522816100341"/>
    <n v="0"/>
    <n v="1"/>
  </r>
  <r>
    <s v="ORD-2025-411385"/>
    <d v="2025-06-05T00:00:00"/>
    <x v="16"/>
    <s v="Q2-2025"/>
    <d v="2025-06-14T00:00:00"/>
    <s v="Valid"/>
    <n v="9"/>
    <d v="2025-06-14T00:00:00"/>
    <x v="1"/>
    <s v="Asia → India → Delhi"/>
    <s v="India-2025-06"/>
    <s v="India"/>
    <s v="Delhi"/>
    <s v="Non-Profit"/>
    <s v="Retail"/>
    <x v="8"/>
    <s v="Accessories"/>
    <s v="ACC-2902"/>
    <n v="618.69000000000005"/>
    <n v="796.15"/>
    <s v="Valid"/>
    <n v="796.15"/>
    <s v="Medium"/>
    <n v="0.09"/>
    <s v="Valid"/>
    <n v="0.09"/>
    <n v="11"/>
    <n v="7969.4615000000003"/>
    <n v="6805.59"/>
    <n v="1163.8715000000002"/>
    <n v="0.14604142325049191"/>
    <n v="0"/>
    <n v="0"/>
  </r>
  <r>
    <s v="ORD-2025-222035"/>
    <d v="2025-03-14T00:00:00"/>
    <x v="3"/>
    <s v="Q1-2025"/>
    <d v="2025-04-08T00:00:00"/>
    <s v="Valid"/>
    <n v="25"/>
    <d v="2025-04-08T00:00:00"/>
    <x v="1"/>
    <s v="Asia → China → unknown"/>
    <s v="China-2025-03"/>
    <s v="China"/>
    <s v="unknown"/>
    <s v="Corporate"/>
    <s v="Distributor"/>
    <x v="14"/>
    <s v="Printers"/>
    <s v="PRN-5815"/>
    <n v="80.59"/>
    <n v="157.82"/>
    <s v="Valid"/>
    <n v="157.82"/>
    <s v="Low"/>
    <n v="0.217"/>
    <s v="Valid"/>
    <n v="0.217"/>
    <n v="6"/>
    <n v="741.43835999999999"/>
    <n v="483.54"/>
    <n v="257.89835999999997"/>
    <n v="0.34783519967863541"/>
    <n v="0"/>
    <n v="1"/>
  </r>
  <r>
    <s v="ORD-2024-749242"/>
    <d v="2024-01-16T00:00:00"/>
    <x v="9"/>
    <s v="Q1-2024"/>
    <d v="2024-02-11T00:00:00"/>
    <s v="Valid"/>
    <n v="26"/>
    <d v="2024-02-11T00:00:00"/>
    <x v="3"/>
    <s v="Europe → Germany → Frankfurt"/>
    <s v="Germany-2024-01"/>
    <s v="Germany"/>
    <s v="Frankfurt"/>
    <s v="Non-Profit"/>
    <s v="Distributor"/>
    <x v="6"/>
    <s v="Monitors"/>
    <s v="MON-4195"/>
    <n v="504.93"/>
    <n v="819.06"/>
    <s v="Valid"/>
    <n v="819.06"/>
    <s v="Medium"/>
    <n v="0.22600000000000001"/>
    <s v="Valid"/>
    <n v="0.22600000000000001"/>
    <n v="15"/>
    <n v="9509.2865999999995"/>
    <n v="7573.95"/>
    <n v="1935.3365999999996"/>
    <n v="0.20352069312959814"/>
    <n v="0"/>
    <n v="1"/>
  </r>
  <r>
    <s v="ORD-2023-623293"/>
    <d v="2023-10-12T00:00:00"/>
    <x v="32"/>
    <s v="Q4-2023"/>
    <d v="2023-10-29T00:00:00"/>
    <s v="Valid"/>
    <n v="17"/>
    <d v="2023-10-29T00:00:00"/>
    <x v="1"/>
    <s v="Asia → Japan → Nagoya"/>
    <s v="Japan-2023-10"/>
    <s v="Japan"/>
    <s v="Nagoya"/>
    <s v="Non-Profit"/>
    <s v="Direct"/>
    <x v="10"/>
    <s v="Phones"/>
    <s v="PHN-8478"/>
    <n v="1102.19"/>
    <n v="1711.16"/>
    <s v="Valid"/>
    <n v="1711.16"/>
    <s v="Medium"/>
    <n v="0.151"/>
    <s v="Valid"/>
    <n v="0.151"/>
    <n v="10"/>
    <n v="14527.748400000002"/>
    <n v="11021.900000000001"/>
    <n v="3505.8484000000008"/>
    <n v="0.24132083675127525"/>
    <n v="0"/>
    <n v="0"/>
  </r>
  <r>
    <s v="ORD-2025-276968"/>
    <d v="2025-02-25T00:00:00"/>
    <x v="26"/>
    <s v="Q1-2025"/>
    <d v="2025-03-17T00:00:00"/>
    <s v="Valid"/>
    <n v="20"/>
    <d v="2025-03-17T00:00:00"/>
    <x v="2"/>
    <s v="Americas → USA → San Francisco"/>
    <s v="USA-2025-02"/>
    <s v="USA"/>
    <s v="San Francisco"/>
    <s v="Non-Profit"/>
    <s v="Marketplace"/>
    <x v="10"/>
    <s v="Phones"/>
    <s v="PHN-1044"/>
    <n v="1205.26"/>
    <n v="1696.35"/>
    <s v="Valid"/>
    <n v="1696.35"/>
    <s v="Medium"/>
    <n v="1.9E-2"/>
    <s v="Valid"/>
    <n v="1.9E-2"/>
    <n v="6"/>
    <n v="9984.7160999999978"/>
    <n v="7231.5599999999995"/>
    <n v="2753.1560999999983"/>
    <n v="0.27573704374028213"/>
    <n v="0"/>
    <n v="0"/>
  </r>
  <r>
    <s v="ORD-2025-650841"/>
    <d v="2025-07-03T00:00:00"/>
    <x v="13"/>
    <s v="Q3-2025"/>
    <d v="2025-07-06T00:00:00"/>
    <s v="Valid"/>
    <n v="3"/>
    <d v="2025-07-06T00:00:00"/>
    <x v="0"/>
    <s v="Africa → Nigeria → Lagos"/>
    <s v="Nigeria-2025-07"/>
    <s v="Nigeria"/>
    <s v="Lagos"/>
    <s v="Consumer"/>
    <s v="Online"/>
    <x v="15"/>
    <s v="Laptops"/>
    <s v="LAP-8910"/>
    <n v="1313.3"/>
    <n v="2884.34"/>
    <s v="Valid"/>
    <n v="2884.34"/>
    <s v="High"/>
    <n v="0.157"/>
    <s v="Valid"/>
    <n v="0.157"/>
    <n v="42"/>
    <n v="102122.94203999999"/>
    <n v="55158.6"/>
    <n v="46964.342039999996"/>
    <n v="0.45988042551305253"/>
    <n v="1"/>
    <n v="0"/>
  </r>
  <r>
    <s v="ORD-2025-831576"/>
    <d v="2025-09-15T00:00:00"/>
    <x v="11"/>
    <s v="Q3-2025"/>
    <d v="2025-09-25T00:00:00"/>
    <s v="Valid"/>
    <n v="10"/>
    <d v="2025-09-25T00:00:00"/>
    <x v="1"/>
    <s v="Asia → India → Delhi"/>
    <s v="India-2025-09"/>
    <s v="India"/>
    <s v="Delhi"/>
    <s v="Consumer"/>
    <s v="Retail"/>
    <x v="8"/>
    <s v="Phones"/>
    <s v="PHN-2859"/>
    <n v="1488.91"/>
    <n v="1483.74"/>
    <s v="Valid"/>
    <n v="1483.74"/>
    <s v="Medium"/>
    <n v="0.16800000000000001"/>
    <s v="Valid"/>
    <n v="0.16800000000000001"/>
    <n v="24"/>
    <n v="29627.320319999999"/>
    <n v="35733.840000000004"/>
    <n v="-6106.5196800000049"/>
    <n v="-0.20611110333450519"/>
    <n v="0"/>
    <n v="0"/>
  </r>
  <r>
    <s v="ORD-2024-468655"/>
    <d v="2024-02-19T00:00:00"/>
    <x v="31"/>
    <s v="Q1-2024"/>
    <d v="2024-03-06T00:00:00"/>
    <s v="Valid"/>
    <n v="16"/>
    <d v="2024-03-06T00:00:00"/>
    <x v="1"/>
    <s v="Asia → China → Beijing"/>
    <s v="China-2024-02"/>
    <s v="China"/>
    <s v="Beijing"/>
    <s v="Education"/>
    <s v="Marketplace"/>
    <x v="7"/>
    <s v="Printers"/>
    <s v="PRN-6308"/>
    <n v="1477.84"/>
    <n v="3197.47"/>
    <s v="Valid"/>
    <n v="3197.47"/>
    <s v="High"/>
    <n v="0.24299999999999999"/>
    <s v="Valid"/>
    <n v="0.24299999999999999"/>
    <n v="24"/>
    <n v="58091.634960000003"/>
    <n v="35468.159999999996"/>
    <n v="22623.474960000007"/>
    <n v="0.38944462443823091"/>
    <n v="0"/>
    <n v="1"/>
  </r>
  <r>
    <s v="ORD-2024-515105"/>
    <d v="2024-02-27T00:00:00"/>
    <x v="31"/>
    <s v="Q1-2024"/>
    <d v="2024-03-26T00:00:00"/>
    <s v="Valid"/>
    <n v="28"/>
    <d v="2024-03-26T00:00:00"/>
    <x v="1"/>
    <s v="Asia → India → Mumbai"/>
    <s v="India-2024-02"/>
    <s v="India"/>
    <s v="Mumbai"/>
    <s v="Education"/>
    <s v="Marketplace"/>
    <x v="3"/>
    <s v="Laptops"/>
    <s v="LAP-8469"/>
    <n v="1035.19"/>
    <n v="2322.6999999999998"/>
    <s v="Valid"/>
    <n v="2322.6999999999998"/>
    <s v="High"/>
    <n v="0.17299999999999999"/>
    <s v="Valid"/>
    <n v="0.17299999999999999"/>
    <n v="8"/>
    <n v="15366.983199999999"/>
    <n v="8281.52"/>
    <n v="7085.4631999999983"/>
    <n v="0.46108355217047409"/>
    <n v="0"/>
    <n v="0"/>
  </r>
  <r>
    <s v="ORD-2025-803803"/>
    <d v="2025-08-28T00:00:00"/>
    <x v="28"/>
    <s v="Q3-2025"/>
    <d v="2025-09-05T00:00:00"/>
    <s v="Valid"/>
    <n v="8"/>
    <d v="2025-09-05T00:00:00"/>
    <x v="0"/>
    <s v="Africa → Nigeria → Port Harcourt"/>
    <s v="Nigeria-2025-08"/>
    <s v="Nigeria"/>
    <s v="Port Harcourt"/>
    <s v="Small Business"/>
    <s v="Marketplace"/>
    <x v="6"/>
    <s v="Laptops"/>
    <s v="LAP-7553"/>
    <n v="1271.0999999999999"/>
    <n v="1932.42"/>
    <s v="Valid"/>
    <n v="1932.42"/>
    <s v="High"/>
    <n v="0.25"/>
    <s v="Valid"/>
    <n v="0.25"/>
    <n v="21"/>
    <n v="30435.614999999998"/>
    <n v="26693.1"/>
    <n v="3742.5149999999994"/>
    <n v="0.12296498690760807"/>
    <n v="0"/>
    <n v="1"/>
  </r>
  <r>
    <s v="ORD-2024-993481"/>
    <d v="2024-08-18T00:00:00"/>
    <x v="21"/>
    <s v="Q3-2024"/>
    <d v="2024-09-12T00:00:00"/>
    <s v="Valid"/>
    <n v="25"/>
    <d v="2024-09-12T00:00:00"/>
    <x v="1"/>
    <s v="Asia → India → Mumbai"/>
    <s v="India-2024-08"/>
    <s v="India"/>
    <s v="Mumbai"/>
    <s v="Consumer"/>
    <s v="Marketplace"/>
    <x v="0"/>
    <s v="Phones"/>
    <s v="PHN-3077"/>
    <n v="1154.03"/>
    <n v="1590.36"/>
    <s v="Valid"/>
    <n v="1590.36"/>
    <s v="Medium"/>
    <n v="0.314"/>
    <s v="High Discount"/>
    <n v="0.3"/>
    <n v="18"/>
    <n v="20038.536"/>
    <n v="20772.54"/>
    <n v="-734.00400000000081"/>
    <n v="-3.6629622044245191E-2"/>
    <n v="0"/>
    <n v="1"/>
  </r>
  <r>
    <s v="ORD-2024-811752"/>
    <d v="2024-02-25T00:00:00"/>
    <x v="31"/>
    <s v="Q1-2024"/>
    <d v="2024-03-09T00:00:00"/>
    <s v="Valid"/>
    <n v="13"/>
    <d v="2024-03-09T00:00:00"/>
    <x v="3"/>
    <s v="Europe → France → Marseille"/>
    <s v="France-2024-02"/>
    <s v="France"/>
    <s v="Marseille"/>
    <s v="Small Business"/>
    <s v="Distributor"/>
    <x v="6"/>
    <s v="Monitors"/>
    <s v="MON-3350"/>
    <n v="322.44"/>
    <n v="395.61"/>
    <s v="Valid"/>
    <n v="395.61"/>
    <s v="Low"/>
    <n v="0"/>
    <s v="Valid"/>
    <n v="0"/>
    <n v="34"/>
    <n v="13450.74"/>
    <n v="10962.96"/>
    <n v="2487.7800000000007"/>
    <n v="0.18495487980586947"/>
    <n v="0"/>
    <n v="0"/>
  </r>
  <r>
    <s v="ORD-2025-673091"/>
    <d v="2025-05-07T00:00:00"/>
    <x v="8"/>
    <s v="Q2-2025"/>
    <d v="2025-05-13T00:00:00"/>
    <s v="Valid"/>
    <n v="6"/>
    <d v="2025-05-13T00:00:00"/>
    <x v="1"/>
    <s v="Asia → India → Bengaluru"/>
    <s v="India-2025-05"/>
    <s v="India"/>
    <s v="Bengaluru"/>
    <s v="Enterprise"/>
    <s v="Direct"/>
    <x v="1"/>
    <s v="Phones"/>
    <s v="PHN-5683"/>
    <n v="935.98"/>
    <n v="2077.69"/>
    <s v="Valid"/>
    <n v="2077.69"/>
    <s v="High"/>
    <n v="0.17499999999999999"/>
    <s v="Valid"/>
    <n v="0.17499999999999999"/>
    <n v="24"/>
    <n v="41138.261999999995"/>
    <n v="22463.52"/>
    <n v="18674.741999999995"/>
    <n v="0.45395067978321491"/>
    <n v="1"/>
    <n v="0"/>
  </r>
  <r>
    <s v="ORD-2024-381197"/>
    <d v="2024-11-01T00:00:00"/>
    <x v="18"/>
    <s v="Q4-2024"/>
    <d v="2024-11-12T00:00:00"/>
    <s v="Valid"/>
    <n v="11"/>
    <d v="2024-11-12T00:00:00"/>
    <x v="3"/>
    <s v="Europe → Germany → Frankfurt"/>
    <s v="Germany-2024-11"/>
    <s v="Germany"/>
    <s v="Frankfurt"/>
    <s v="Consumer"/>
    <s v="Online"/>
    <x v="5"/>
    <s v="Printers"/>
    <s v="PRN-2409"/>
    <n v="599.84"/>
    <n v="1330.85"/>
    <s v="Valid"/>
    <n v="1330.85"/>
    <s v="Medium"/>
    <n v="0.115"/>
    <s v="Valid"/>
    <n v="0.115"/>
    <n v="11"/>
    <n v="12955.824749999998"/>
    <n v="6598.2400000000007"/>
    <n v="6357.5847499999973"/>
    <n v="0.49071246892252063"/>
    <n v="0"/>
    <n v="0"/>
  </r>
  <r>
    <s v="ORD-2024-651852"/>
    <d v="2024-12-28T00:00:00"/>
    <x v="6"/>
    <s v="Q4-2024"/>
    <d v="2025-01-08T00:00:00"/>
    <s v="Valid"/>
    <n v="11"/>
    <d v="2025-01-08T00:00:00"/>
    <x v="1"/>
    <s v="Asia → China → Shenzhen"/>
    <s v="China-2024-12"/>
    <s v="China"/>
    <s v="Shenzhen"/>
    <s v="Enterprise"/>
    <s v="Online"/>
    <x v="11"/>
    <s v="Laptops"/>
    <s v="LAP-8825"/>
    <n v="1201.31"/>
    <n v="2764.65"/>
    <s v="Valid"/>
    <n v="2764.65"/>
    <s v="High"/>
    <n v="0"/>
    <s v="Valid"/>
    <n v="0"/>
    <n v="21"/>
    <n v="58057.65"/>
    <n v="25227.51"/>
    <n v="32830.14"/>
    <n v="0.56547483406579491"/>
    <n v="0"/>
    <n v="0"/>
  </r>
  <r>
    <s v="ORD-2023-659070"/>
    <d v="2023-10-21T00:00:00"/>
    <x v="32"/>
    <s v="Q4-2023"/>
    <d v="2023-10-21T00:00:00"/>
    <s v="Valid"/>
    <n v="0"/>
    <d v="2023-10-21T00:00:00"/>
    <x v="3"/>
    <s v="Europe → United Kingdom → Manchester"/>
    <s v="United Kingdom-2023-10"/>
    <s v="United Kingdom"/>
    <s v="Manchester"/>
    <s v="Enterprise"/>
    <s v="Distributor"/>
    <x v="1"/>
    <s v="Monitors"/>
    <s v="MON-8697"/>
    <n v="384.19"/>
    <n v="278.35000000000002"/>
    <s v="Valid"/>
    <n v="278.35000000000002"/>
    <s v="Low"/>
    <n v="5.6000000000000001E-2"/>
    <s v="Valid"/>
    <n v="5.6000000000000001E-2"/>
    <n v="10"/>
    <n v="2627.6239999999998"/>
    <n v="3841.9"/>
    <n v="-1214.2760000000003"/>
    <n v="-0.46211938998882657"/>
    <n v="1"/>
    <n v="0"/>
  </r>
  <r>
    <s v="ORD-2024-837651"/>
    <d v="2024-12-10T00:00:00"/>
    <x v="6"/>
    <s v="Q4-2024"/>
    <d v="2024-12-19T00:00:00"/>
    <s v="Valid"/>
    <n v="9"/>
    <d v="2024-12-19T00:00:00"/>
    <x v="0"/>
    <s v="Africa → Nigeria → Lagos"/>
    <s v="Nigeria-2024-12"/>
    <s v="Nigeria"/>
    <s v="Lagos"/>
    <s v="Corporate"/>
    <s v="Retail"/>
    <x v="7"/>
    <s v="Monitors"/>
    <s v="MON-4789"/>
    <n v="488.68"/>
    <n v="984.36"/>
    <s v="Valid"/>
    <n v="984.36"/>
    <s v="Medium"/>
    <n v="5.8999999999999997E-2"/>
    <s v="Valid"/>
    <n v="5.8999999999999997E-2"/>
    <n v="14"/>
    <n v="12967.958640000001"/>
    <n v="6841.52"/>
    <n v="6126.4386400000003"/>
    <n v="0.47242891576649876"/>
    <n v="0"/>
    <n v="0"/>
  </r>
  <r>
    <s v="ORD-2024-581530"/>
    <d v="2024-09-07T00:00:00"/>
    <x v="29"/>
    <s v="Q3-2024"/>
    <d v="2024-09-18T00:00:00"/>
    <s v="Valid"/>
    <n v="11"/>
    <d v="2024-09-18T00:00:00"/>
    <x v="1"/>
    <s v="Asia → China → Beijing"/>
    <s v="China-2024-09"/>
    <s v="China"/>
    <s v="Beijing"/>
    <s v="Consumer"/>
    <s v="Distributor"/>
    <x v="7"/>
    <s v="Networking"/>
    <s v="NET-7998"/>
    <n v="181.74"/>
    <n v="190.84"/>
    <s v="Valid"/>
    <n v="190.84"/>
    <s v="Low"/>
    <n v="0.214"/>
    <s v="Valid"/>
    <n v="0.214"/>
    <n v="13"/>
    <n v="1950.0031200000001"/>
    <n v="2362.62"/>
    <n v="-412.61687999999981"/>
    <n v="-0.21159806144310159"/>
    <n v="0"/>
    <n v="1"/>
  </r>
  <r>
    <s v="ORD-2023-378104"/>
    <d v="2023-10-18T00:00:00"/>
    <x v="32"/>
    <s v="Q4-2023"/>
    <d v="2023-10-20T00:00:00"/>
    <s v="Valid"/>
    <n v="2"/>
    <d v="2023-10-20T00:00:00"/>
    <x v="0"/>
    <s v="Africa → Kenya → Kisumu"/>
    <s v="Kenya-2023-10"/>
    <s v="Kenya"/>
    <s v="Kisumu"/>
    <s v="Consumer"/>
    <s v="Retail"/>
    <x v="1"/>
    <s v="Phones"/>
    <s v="PHN-8891"/>
    <n v="774.12"/>
    <n v="908.3"/>
    <s v="Valid"/>
    <n v="908.3"/>
    <s v="Medium"/>
    <n v="0"/>
    <s v="Valid"/>
    <n v="0"/>
    <n v="30"/>
    <n v="27249"/>
    <n v="23223.599999999999"/>
    <n v="4025.4000000000015"/>
    <n v="0.14772652207420461"/>
    <n v="1"/>
    <n v="0"/>
  </r>
  <r>
    <s v="ORD-2024-972318"/>
    <d v="2024-12-24T00:00:00"/>
    <x v="6"/>
    <s v="Q4-2024"/>
    <d v="2025-01-13T00:00:00"/>
    <s v="Valid"/>
    <n v="20"/>
    <d v="2025-01-13T00:00:00"/>
    <x v="1"/>
    <s v="Asia → India → Bengaluru"/>
    <s v="India-2024-12"/>
    <s v="India"/>
    <s v="Bengaluru"/>
    <s v="Corporate"/>
    <s v="Marketplace"/>
    <x v="14"/>
    <s v="Networking"/>
    <s v="NET-9832"/>
    <n v="126.15"/>
    <n v="284.23"/>
    <s v="Valid"/>
    <n v="284.23"/>
    <s v="Low"/>
    <n v="0.113"/>
    <s v="Valid"/>
    <n v="0.113"/>
    <n v="22"/>
    <n v="5546.4642200000008"/>
    <n v="2775.3"/>
    <n v="2771.1642200000006"/>
    <n v="0.49962716968541088"/>
    <n v="0"/>
    <n v="0"/>
  </r>
  <r>
    <s v="ORD-2023-752962"/>
    <d v="2023-04-21T00:00:00"/>
    <x v="12"/>
    <s v="Q2-2023"/>
    <d v="2023-04-19T00:00:00"/>
    <s v="Invalid RequiredDate"/>
    <n v="-2"/>
    <d v="2023-05-17T00:00:00"/>
    <x v="1"/>
    <s v="Asia → Japan → Nagoya"/>
    <s v="Japan-2023-04"/>
    <s v="Japan"/>
    <s v="Nagoya"/>
    <s v="Small Business"/>
    <s v="Direct"/>
    <x v="12"/>
    <s v="Components"/>
    <s v="CMP-8604"/>
    <n v="607.04"/>
    <n v="1229.3399999999999"/>
    <s v="Valid"/>
    <n v="1229.3399999999999"/>
    <s v="Medium"/>
    <n v="0.14699999999999999"/>
    <s v="Valid"/>
    <n v="0.14699999999999999"/>
    <n v="7"/>
    <n v="7340.3891399999993"/>
    <n v="4249.28"/>
    <n v="3091.1091399999996"/>
    <n v="0.42110970972310058"/>
    <n v="1"/>
    <n v="0"/>
  </r>
  <r>
    <s v="ORD-2023-808024"/>
    <d v="2023-12-30T00:00:00"/>
    <x v="4"/>
    <s v="Q4-2023"/>
    <d v="2024-01-08T00:00:00"/>
    <s v="Valid"/>
    <n v="9"/>
    <d v="2024-01-08T00:00:00"/>
    <x v="3"/>
    <s v="Europe → France → Marseille"/>
    <s v="France-2023-12"/>
    <s v="France"/>
    <s v="Marseille"/>
    <s v="Consumer"/>
    <s v="Marketplace"/>
    <x v="4"/>
    <s v="Accessories"/>
    <s v="ACC-6594"/>
    <n v="861.1"/>
    <n v="1224.72"/>
    <s v="Valid"/>
    <n v="1224.72"/>
    <s v="Medium"/>
    <n v="0.17399999999999999"/>
    <s v="Valid"/>
    <n v="0.17399999999999999"/>
    <n v="24"/>
    <n v="24278.849280000002"/>
    <n v="20666.400000000001"/>
    <n v="3612.4492800000007"/>
    <n v="0.14878997098827909"/>
    <n v="0"/>
    <n v="0"/>
  </r>
  <r>
    <s v="ORD-2023-156396"/>
    <d v="2023-02-21T00:00:00"/>
    <x v="2"/>
    <s v="Q1-2023"/>
    <d v="2023-03-12T00:00:00"/>
    <s v="Valid"/>
    <n v="19"/>
    <d v="2023-03-12T00:00:00"/>
    <x v="0"/>
    <s v="Africa → Kenya → Nakuru"/>
    <s v="Kenya-2023-02"/>
    <s v="Kenya"/>
    <s v="Nakuru"/>
    <s v="Corporate"/>
    <s v="Online"/>
    <x v="9"/>
    <s v="Networking"/>
    <s v="NET-2499"/>
    <n v="352.65"/>
    <n v="485.86"/>
    <s v="Valid"/>
    <n v="485.86"/>
    <s v="Low"/>
    <n v="4.1000000000000002E-2"/>
    <s v="Valid"/>
    <n v="4.1000000000000002E-2"/>
    <n v="6"/>
    <n v="2795.6384399999997"/>
    <n v="2115.8999999999996"/>
    <n v="679.73844000000008"/>
    <n v="0.24314247159943908"/>
    <n v="0"/>
    <n v="0"/>
  </r>
  <r>
    <s v="ORD-2023-184577"/>
    <d v="2023-05-17T00:00:00"/>
    <x v="15"/>
    <s v="Q2-2023"/>
    <d v="2023-06-03T00:00:00"/>
    <s v="Valid"/>
    <n v="17"/>
    <d v="2023-06-03T00:00:00"/>
    <x v="1"/>
    <s v="Asia → China → Beijing"/>
    <s v="China-2023-05"/>
    <s v="China"/>
    <s v="Beijing"/>
    <s v="Non-Profit"/>
    <s v="Distributor"/>
    <x v="12"/>
    <s v="Printers"/>
    <s v="PRN-1923"/>
    <n v="979.59"/>
    <n v="2210.94"/>
    <s v="Valid"/>
    <n v="2210.94"/>
    <s v="High"/>
    <n v="0.15"/>
    <s v="Valid"/>
    <n v="0.15"/>
    <n v="11"/>
    <n v="20672.289000000001"/>
    <n v="10775.49"/>
    <n v="9896.7990000000009"/>
    <n v="0.47874712858358359"/>
    <n v="0"/>
    <n v="0"/>
  </r>
  <r>
    <s v="ORD-2024-446030"/>
    <d v="2024-03-23T00:00:00"/>
    <x v="0"/>
    <s v="Q1-2024"/>
    <d v="2024-03-26T00:00:00"/>
    <s v="Valid"/>
    <n v="3"/>
    <d v="2024-03-26T00:00:00"/>
    <x v="1"/>
    <s v="Asia → India → Bengaluru"/>
    <s v="India-2024-03"/>
    <s v="India"/>
    <s v="Bengaluru"/>
    <s v="Education"/>
    <s v="Direct"/>
    <x v="3"/>
    <s v="Phones"/>
    <s v="PHN-4346"/>
    <n v="382.21"/>
    <n v="571.89"/>
    <s v="Valid"/>
    <n v="571.89"/>
    <s v="Low"/>
    <n v="0.14799999999999999"/>
    <s v="Valid"/>
    <n v="0.14799999999999999"/>
    <n v="26"/>
    <n v="12668.50728"/>
    <n v="9937.4599999999991"/>
    <n v="2731.0472800000007"/>
    <n v="0.2155776698578809"/>
    <n v="1"/>
    <n v="0"/>
  </r>
  <r>
    <s v="ORD-2023-842820"/>
    <d v="2023-09-20T00:00:00"/>
    <x v="27"/>
    <s v="Q3-2023"/>
    <d v="2023-09-28T00:00:00"/>
    <s v="Valid"/>
    <n v="8"/>
    <d v="2023-09-28T00:00:00"/>
    <x v="1"/>
    <s v="Asia → India → unknown"/>
    <s v="India-2023-09"/>
    <s v="India"/>
    <s v="unknown"/>
    <s v="Corporate"/>
    <s v="Unknown"/>
    <x v="5"/>
    <s v="Accessories"/>
    <s v="ACC-1375"/>
    <n v="1362.06"/>
    <n v="3398.37"/>
    <s v="Valid"/>
    <n v="3398.37"/>
    <s v="High"/>
    <n v="0.157"/>
    <s v="Valid"/>
    <n v="0.157"/>
    <n v="11"/>
    <n v="31513.085009999999"/>
    <n v="14982.66"/>
    <n v="16530.425009999999"/>
    <n v="0.52455749745714919"/>
    <n v="0"/>
    <n v="0"/>
  </r>
  <r>
    <s v="ORD-2024-745424"/>
    <d v="2024-08-22T00:00:00"/>
    <x v="21"/>
    <s v="Q3-2024"/>
    <d v="2024-09-04T00:00:00"/>
    <s v="Valid"/>
    <n v="13"/>
    <d v="2024-09-04T00:00:00"/>
    <x v="3"/>
    <s v="Europe → Germany → Frankfurt"/>
    <s v="Germany-2024-08"/>
    <s v="Germany"/>
    <s v="Frankfurt"/>
    <s v="Non-Profit"/>
    <s v="Retail"/>
    <x v="4"/>
    <s v="Printers"/>
    <s v="PRN-4892"/>
    <n v="90.04"/>
    <n v="194.62"/>
    <s v="Valid"/>
    <n v="194.62"/>
    <s v="Low"/>
    <n v="4.2999999999999997E-2"/>
    <s v="Valid"/>
    <n v="4.2999999999999997E-2"/>
    <n v="32"/>
    <n v="5960.04288"/>
    <n v="2881.28"/>
    <n v="3078.7628799999998"/>
    <n v="0.51656723650954672"/>
    <n v="0"/>
    <n v="0"/>
  </r>
  <r>
    <s v="ORD-2024-510520"/>
    <d v="2024-09-25T00:00:00"/>
    <x v="29"/>
    <s v="Q3-2024"/>
    <d v="2024-10-03T00:00:00"/>
    <s v="Valid"/>
    <n v="8"/>
    <d v="2024-10-03T00:00:00"/>
    <x v="2"/>
    <s v="Americas → Canada → Toronto"/>
    <s v="Canada-2024-09"/>
    <s v="Canada"/>
    <s v="Toronto"/>
    <s v="Consumer"/>
    <s v="Online"/>
    <x v="6"/>
    <s v="Printers"/>
    <s v="PRN-9557"/>
    <n v="558.19000000000005"/>
    <n v="1031.6400000000001"/>
    <s v="Valid"/>
    <n v="1031.6400000000001"/>
    <s v="Medium"/>
    <n v="0"/>
    <s v="Valid"/>
    <n v="0"/>
    <n v="21"/>
    <n v="21664.440000000002"/>
    <n v="11721.990000000002"/>
    <n v="9942.4500000000007"/>
    <n v="0.45892947152107322"/>
    <n v="0"/>
    <n v="0"/>
  </r>
  <r>
    <s v="ORD-2023-769774"/>
    <d v="2023-06-13T00:00:00"/>
    <x v="23"/>
    <s v="Q2-2023"/>
    <d v="2023-06-24T00:00:00"/>
    <s v="Valid"/>
    <n v="11"/>
    <d v="2023-06-24T00:00:00"/>
    <x v="2"/>
    <s v="Americas → Canada → Toronto"/>
    <s v="Canada-2023-06"/>
    <s v="Canada"/>
    <s v="Toronto"/>
    <s v="Corporate"/>
    <s v="Online"/>
    <x v="0"/>
    <s v="Printers"/>
    <s v="PRN-8008"/>
    <n v="247.07"/>
    <n v="495.19"/>
    <s v="Valid"/>
    <n v="495.19"/>
    <s v="Low"/>
    <n v="2.8000000000000001E-2"/>
    <s v="Valid"/>
    <n v="2.8000000000000001E-2"/>
    <n v="4"/>
    <n v="1925.29872"/>
    <n v="988.28"/>
    <n v="937.01872000000003"/>
    <n v="0.48668744764968214"/>
    <n v="0"/>
    <n v="0"/>
  </r>
  <r>
    <s v="ORD-2023-580751"/>
    <d v="2023-12-24T00:00:00"/>
    <x v="4"/>
    <s v="Q4-2023"/>
    <d v="2024-01-13T00:00:00"/>
    <s v="Valid"/>
    <n v="20"/>
    <d v="2024-01-13T00:00:00"/>
    <x v="1"/>
    <s v="Asia → Japan → Nagoya"/>
    <s v="Japan-2023-12"/>
    <s v="Japan"/>
    <s v="Nagoya"/>
    <s v="Education"/>
    <s v="Direct"/>
    <x v="5"/>
    <s v="Laptops"/>
    <s v="LAP-1946"/>
    <n v="625.37"/>
    <n v="1319.04"/>
    <s v="Valid"/>
    <n v="1319.04"/>
    <s v="Medium"/>
    <n v="7.3999999999999996E-2"/>
    <s v="Valid"/>
    <n v="7.3999999999999996E-2"/>
    <n v="8"/>
    <n v="9771.4483199999995"/>
    <n v="5002.96"/>
    <n v="4768.4883199999995"/>
    <n v="0.48800220436513547"/>
    <n v="0"/>
    <n v="0"/>
  </r>
  <r>
    <s v="ORD-2025-473192"/>
    <d v="2025-03-30T00:00:00"/>
    <x v="3"/>
    <s v="Q1-2025"/>
    <d v="2025-04-29T00:00:00"/>
    <s v="Valid"/>
    <n v="30"/>
    <d v="2025-04-29T00:00:00"/>
    <x v="0"/>
    <s v="Africa → South Africa → Durban"/>
    <s v="South Africa-2025-03"/>
    <s v="South Africa"/>
    <s v="Durban"/>
    <s v="Consumer"/>
    <s v="Marketplace"/>
    <x v="1"/>
    <s v="Monitors"/>
    <s v="MON-7106"/>
    <n v="194.6"/>
    <n v="314.87"/>
    <s v="Valid"/>
    <n v="314.87"/>
    <s v="Low"/>
    <n v="0.29299999999999998"/>
    <s v="Valid"/>
    <n v="0.29299999999999998"/>
    <n v="25"/>
    <n v="5565.3272500000003"/>
    <n v="4865"/>
    <n v="700.32725000000028"/>
    <n v="0.1258375686712763"/>
    <n v="0"/>
    <n v="1"/>
  </r>
  <r>
    <s v="ORD-2024-886939"/>
    <d v="2024-06-03T00:00:00"/>
    <x v="17"/>
    <s v="Q2-2024"/>
    <d v="2024-06-24T00:00:00"/>
    <s v="Valid"/>
    <n v="21"/>
    <d v="2024-06-24T00:00:00"/>
    <x v="2"/>
    <s v="Americas → Canada → Toronto"/>
    <s v="Canada-2024-06"/>
    <s v="Canada"/>
    <s v="Toronto"/>
    <s v="Small Business"/>
    <s v="Direct"/>
    <x v="3"/>
    <s v="Monitors"/>
    <s v="MON-5386"/>
    <n v="1205.5"/>
    <n v="2210.17"/>
    <s v="Valid"/>
    <n v="2210.17"/>
    <s v="High"/>
    <n v="0.104"/>
    <s v="Valid"/>
    <n v="0.104"/>
    <n v="23"/>
    <n v="45547.183360000003"/>
    <n v="27726.5"/>
    <n v="17820.683360000003"/>
    <n v="0.39125763758314652"/>
    <n v="0"/>
    <n v="0"/>
  </r>
  <r>
    <s v="ORD-2024-566589"/>
    <d v="2024-06-11T00:00:00"/>
    <x v="17"/>
    <s v="Q2-2024"/>
    <d v="2024-07-09T00:00:00"/>
    <s v="Valid"/>
    <n v="28"/>
    <d v="2024-07-09T00:00:00"/>
    <x v="0"/>
    <s v="Africa → Nigeria → Port Harcourt"/>
    <s v="Nigeria-2024-06"/>
    <s v="Nigeria"/>
    <s v="Port Harcourt"/>
    <s v="Corporate"/>
    <s v="Marketplace"/>
    <x v="2"/>
    <s v="Phones"/>
    <s v="PHN-2436"/>
    <n v="895.54"/>
    <n v="1045"/>
    <s v="Valid"/>
    <n v="1045"/>
    <s v="Medium"/>
    <n v="0.216"/>
    <s v="Valid"/>
    <n v="0.216"/>
    <n v="15"/>
    <n v="12289.2"/>
    <n v="13433.099999999999"/>
    <n v="-1143.8999999999978"/>
    <n v="-9.3081730299775234E-2"/>
    <n v="0"/>
    <n v="1"/>
  </r>
  <r>
    <s v="ORD-2023-109927"/>
    <d v="2023-07-22T00:00:00"/>
    <x v="24"/>
    <s v="Q3-2023"/>
    <d v="2023-07-21T00:00:00"/>
    <s v="Invalid RequiredDate"/>
    <n v="-1"/>
    <d v="2023-08-17T00:00:00"/>
    <x v="1"/>
    <s v="Asia → India → Delhi"/>
    <s v="India-2023-07"/>
    <s v="India"/>
    <s v="Delhi"/>
    <s v="Small Business"/>
    <s v="Distributor"/>
    <x v="6"/>
    <s v="Printers"/>
    <s v="PRN-2301"/>
    <n v="946.99"/>
    <n v="2132.19"/>
    <s v="Valid"/>
    <n v="2132.19"/>
    <s v="High"/>
    <n v="0.16500000000000001"/>
    <s v="Valid"/>
    <n v="0.16500000000000001"/>
    <n v="7"/>
    <n v="12462.65055"/>
    <n v="6628.93"/>
    <n v="5833.72055"/>
    <n v="0.46809629513362228"/>
    <n v="1"/>
    <n v="0"/>
  </r>
  <r>
    <s v="ORD-2023-780206"/>
    <d v="2023-01-19T00:00:00"/>
    <x v="5"/>
    <s v="Q1-2023"/>
    <d v="2023-02-03T00:00:00"/>
    <s v="Valid"/>
    <n v="15"/>
    <d v="2023-02-03T00:00:00"/>
    <x v="3"/>
    <s v="Europe → United Kingdom → London"/>
    <s v="United Kingdom-2023-01"/>
    <s v="United Kingdom"/>
    <s v="London"/>
    <s v="Enterprise"/>
    <s v="Distributor"/>
    <x v="3"/>
    <s v="Accessories"/>
    <s v="ACC-3645"/>
    <n v="873.06"/>
    <n v="2101.5500000000002"/>
    <s v="Valid"/>
    <n v="2101.5500000000002"/>
    <s v="High"/>
    <n v="6.6000000000000003E-2"/>
    <s v="Valid"/>
    <n v="6.6000000000000003E-2"/>
    <n v="10"/>
    <n v="19628.476999999999"/>
    <n v="8730.5999999999985"/>
    <n v="10897.877"/>
    <n v="0.55520746719167269"/>
    <n v="0"/>
    <n v="0"/>
  </r>
  <r>
    <s v="ORD-2024-851993"/>
    <d v="2024-05-01T00:00:00"/>
    <x v="7"/>
    <s v="Q2-2024"/>
    <d v="2024-05-16T00:00:00"/>
    <s v="Valid"/>
    <n v="15"/>
    <d v="2024-05-16T00:00:00"/>
    <x v="1"/>
    <s v="Asia → India → Bengaluru"/>
    <s v="India-2024-05"/>
    <s v="India"/>
    <s v="Bengaluru"/>
    <s v="Small Business"/>
    <s v="Retail"/>
    <x v="4"/>
    <s v="Components"/>
    <s v="CMP-6811"/>
    <n v="901.19"/>
    <n v="2125.44"/>
    <s v="Valid"/>
    <n v="2125.44"/>
    <s v="High"/>
    <n v="7.0999999999999994E-2"/>
    <s v="Valid"/>
    <n v="7.0999999999999994E-2"/>
    <n v="12"/>
    <n v="23694.405119999999"/>
    <n v="10814.28"/>
    <n v="12880.125119999999"/>
    <n v="0.54359352154100415"/>
    <n v="0"/>
    <n v="0"/>
  </r>
  <r>
    <s v="ORD-2025-417942"/>
    <d v="2025-06-09T00:00:00"/>
    <x v="16"/>
    <s v="Q2-2025"/>
    <d v="2025-06-24T00:00:00"/>
    <s v="Valid"/>
    <n v="15"/>
    <d v="2025-06-24T00:00:00"/>
    <x v="1"/>
    <s v="Asia → Japan → Nagoya"/>
    <s v="Japan-2025-06"/>
    <s v="Japan"/>
    <s v="Nagoya"/>
    <s v="Corporate"/>
    <s v="Direct"/>
    <x v="5"/>
    <s v="Phones"/>
    <s v="PHN-5675"/>
    <n v="400.39"/>
    <n v="712.75"/>
    <s v="Valid"/>
    <n v="712.75"/>
    <s v="Medium"/>
    <n v="0.115"/>
    <s v="Valid"/>
    <n v="0.115"/>
    <n v="19"/>
    <n v="11984.891250000001"/>
    <n v="7607.41"/>
    <n v="4377.4812500000007"/>
    <n v="0.36524997671547504"/>
    <n v="0"/>
    <n v="0"/>
  </r>
  <r>
    <s v="ORD-2023-172095"/>
    <d v="2023-05-24T00:00:00"/>
    <x v="15"/>
    <s v="Q2-2023"/>
    <d v="2023-06-21T00:00:00"/>
    <s v="Valid"/>
    <n v="28"/>
    <d v="2023-06-21T00:00:00"/>
    <x v="2"/>
    <s v="Americas → USA → Austin"/>
    <s v="USA-2023-05"/>
    <s v="USA"/>
    <s v="Austin"/>
    <s v="Small Business"/>
    <s v="Marketplace"/>
    <x v="3"/>
    <s v="Monitors"/>
    <s v="MON-6882"/>
    <n v="813.97"/>
    <n v="1568.83"/>
    <s v="Valid"/>
    <n v="1568.83"/>
    <s v="Medium"/>
    <n v="1.7000000000000001E-2"/>
    <s v="Valid"/>
    <n v="1.7000000000000001E-2"/>
    <n v="15"/>
    <n v="23132.398349999996"/>
    <n v="12209.550000000001"/>
    <n v="10922.848349999995"/>
    <n v="0.4721883215364911"/>
    <n v="0"/>
    <n v="0"/>
  </r>
  <r>
    <s v="ORD-2024-257550"/>
    <d v="2024-12-27T00:00:00"/>
    <x v="6"/>
    <s v="Q4-2024"/>
    <d v="2024-12-29T00:00:00"/>
    <s v="Valid"/>
    <n v="2"/>
    <d v="2024-12-29T00:00:00"/>
    <x v="2"/>
    <s v="Americas → Canada → Vancouver"/>
    <s v="Canada-2024-12"/>
    <s v="Canada"/>
    <s v="Vancouver"/>
    <s v="Enterprise"/>
    <s v="Marketplace"/>
    <x v="0"/>
    <s v="Accessories"/>
    <s v="ACC-8620"/>
    <n v="1146.72"/>
    <n v="2074.34"/>
    <s v="Valid"/>
    <n v="2074.34"/>
    <s v="High"/>
    <n v="0.111"/>
    <s v="Valid"/>
    <n v="0.111"/>
    <n v="8"/>
    <n v="14752.706080000002"/>
    <n v="9173.76"/>
    <n v="5578.9460800000015"/>
    <n v="0.37816425337472737"/>
    <n v="1"/>
    <n v="0"/>
  </r>
  <r>
    <s v="ORD-2023-581799"/>
    <d v="2023-12-05T00:00:00"/>
    <x v="4"/>
    <s v="Q4-2023"/>
    <d v="2023-12-12T00:00:00"/>
    <s v="Valid"/>
    <n v="7"/>
    <d v="2023-12-12T00:00:00"/>
    <x v="2"/>
    <s v="Americas → Brazil → Brasília"/>
    <s v="Brazil-2023-12"/>
    <s v="Brazil"/>
    <s v="Brasília"/>
    <s v="Corporate"/>
    <s v="Direct"/>
    <x v="9"/>
    <s v="Phones"/>
    <s v="PHN-6506"/>
    <n v="307.43"/>
    <n v="495.19"/>
    <s v="Valid"/>
    <n v="495.19"/>
    <s v="Low"/>
    <n v="0"/>
    <s v="Valid"/>
    <n v="0"/>
    <n v="42"/>
    <n v="20797.98"/>
    <n v="12912.06"/>
    <n v="7885.92"/>
    <n v="0.37916759223732305"/>
    <n v="1"/>
    <n v="0"/>
  </r>
  <r>
    <s v="ORD-2023-880296"/>
    <d v="2023-05-02T00:00:00"/>
    <x v="15"/>
    <s v="Q2-2023"/>
    <d v="2023-05-19T00:00:00"/>
    <s v="Valid"/>
    <n v="17"/>
    <d v="2023-05-19T00:00:00"/>
    <x v="1"/>
    <s v="Asia → China → Shanghai"/>
    <s v="China-2023-05"/>
    <s v="China"/>
    <s v="Shanghai"/>
    <s v="Non-Profit"/>
    <s v="Direct"/>
    <x v="1"/>
    <s v="Monitors"/>
    <s v="MON-5086"/>
    <n v="714.28"/>
    <n v="757.59"/>
    <s v="Valid"/>
    <n v="757.59"/>
    <s v="Medium"/>
    <n v="0.13600000000000001"/>
    <s v="Valid"/>
    <n v="0.13600000000000001"/>
    <n v="12"/>
    <n v="7854.6931199999999"/>
    <n v="8571.36"/>
    <n v="-716.66688000000067"/>
    <n v="-9.1240595787910383E-2"/>
    <n v="0"/>
    <n v="0"/>
  </r>
  <r>
    <s v="ORD-2023-191563"/>
    <d v="2023-11-30T00:00:00"/>
    <x v="30"/>
    <s v="Q4-2023"/>
    <d v="2023-12-10T00:00:00"/>
    <s v="Valid"/>
    <n v="10"/>
    <d v="2023-12-10T00:00:00"/>
    <x v="3"/>
    <s v="Europe → Germany → Munich"/>
    <s v="Germany-2023-11"/>
    <s v="Germany"/>
    <s v="Munich"/>
    <s v="Small Business"/>
    <s v="Direct"/>
    <x v="9"/>
    <s v="Laptops"/>
    <s v="LAP-4899"/>
    <n v="174.74"/>
    <n v="415.96"/>
    <s v="Valid"/>
    <n v="415.96"/>
    <s v="Low"/>
    <n v="0.125"/>
    <s v="Valid"/>
    <n v="0.125"/>
    <n v="21"/>
    <n v="7643.2649999999994"/>
    <n v="3669.54"/>
    <n v="3973.7249999999995"/>
    <n v="0.51989889137691803"/>
    <n v="0"/>
    <n v="0"/>
  </r>
  <r>
    <s v="ORD-2024-202166"/>
    <d v="2024-05-05T00:00:00"/>
    <x v="7"/>
    <s v="Q2-2024"/>
    <d v="2024-05-18T00:00:00"/>
    <s v="Valid"/>
    <n v="13"/>
    <d v="2024-05-18T00:00:00"/>
    <x v="3"/>
    <s v="Europe → France → Marseille"/>
    <s v="France-2024-05"/>
    <s v="France"/>
    <s v="Marseille"/>
    <s v="Corporate"/>
    <s v="Marketplace"/>
    <x v="8"/>
    <s v="Components"/>
    <s v="CMP-3313"/>
    <n v="1264.04"/>
    <n v="1870.89"/>
    <s v="Valid"/>
    <n v="1870.89"/>
    <s v="Medium"/>
    <n v="0"/>
    <s v="Valid"/>
    <n v="0"/>
    <n v="13"/>
    <n v="24321.57"/>
    <n v="16432.52"/>
    <n v="7889.0499999999993"/>
    <n v="0.32436433996653996"/>
    <n v="0"/>
    <n v="0"/>
  </r>
  <r>
    <s v="ORD-2023-539967"/>
    <d v="2023-07-09T00:00:00"/>
    <x v="24"/>
    <s v="Q3-2023"/>
    <d v="2023-07-19T00:00:00"/>
    <s v="Valid"/>
    <n v="10"/>
    <d v="2023-07-19T00:00:00"/>
    <x v="1"/>
    <s v="Asia → Japan → Tokyo"/>
    <s v="Japan-2023-07"/>
    <s v="Japan"/>
    <s v="Tokyo"/>
    <s v="Enterprise"/>
    <s v="Distributor"/>
    <x v="13"/>
    <s v="Components"/>
    <s v="CMP-6649"/>
    <n v="141.26"/>
    <n v="206.88"/>
    <s v="Valid"/>
    <n v="206.88"/>
    <s v="Low"/>
    <n v="0.107"/>
    <s v="Valid"/>
    <n v="0.107"/>
    <n v="9"/>
    <n v="1662.6945600000001"/>
    <n v="1271.3399999999999"/>
    <n v="391.35456000000022"/>
    <n v="0.23537369365062469"/>
    <n v="0"/>
    <n v="0"/>
  </r>
  <r>
    <s v="ORD-2023-704111"/>
    <d v="2023-05-17T00:00:00"/>
    <x v="15"/>
    <s v="Q2-2023"/>
    <d v="2023-06-15T00:00:00"/>
    <s v="Valid"/>
    <n v="29"/>
    <d v="2023-06-15T00:00:00"/>
    <x v="0"/>
    <s v="Africa → South Africa → Durban"/>
    <s v="South Africa-2023-05"/>
    <s v="South Africa"/>
    <s v="Durban"/>
    <s v="Enterprise"/>
    <s v="Retail"/>
    <x v="11"/>
    <s v="Accessories"/>
    <s v="ACC-5206"/>
    <n v="40.89"/>
    <n v="62.82"/>
    <s v="Valid"/>
    <n v="62.82"/>
    <s v="Low"/>
    <n v="0.129"/>
    <s v="Valid"/>
    <n v="0.129"/>
    <n v="17"/>
    <n v="930.17574000000002"/>
    <n v="695.13"/>
    <n v="235.04574000000002"/>
    <n v="0.25268960465470752"/>
    <n v="0"/>
    <n v="0"/>
  </r>
  <r>
    <s v="ORD-2024-356812"/>
    <d v="2024-03-07T00:00:00"/>
    <x v="0"/>
    <s v="Q1-2024"/>
    <d v="2024-04-03T00:00:00"/>
    <s v="Valid"/>
    <n v="27"/>
    <d v="2024-04-03T00:00:00"/>
    <x v="3"/>
    <s v="Europe → Germany → Frankfurt"/>
    <s v="Germany-2024-03"/>
    <s v="Germany"/>
    <s v="Frankfurt"/>
    <s v="Corporate"/>
    <s v="Direct"/>
    <x v="12"/>
    <s v="Printers"/>
    <s v="PRN-6911"/>
    <n v="738.16"/>
    <n v="956.49"/>
    <s v="Valid"/>
    <n v="956.49"/>
    <s v="Medium"/>
    <n v="0.152"/>
    <s v="Valid"/>
    <n v="0.152"/>
    <n v="5"/>
    <n v="4055.5175999999997"/>
    <n v="3690.7999999999997"/>
    <n v="364.71759999999995"/>
    <n v="8.9931208780847108E-2"/>
    <n v="0"/>
    <n v="0"/>
  </r>
  <r>
    <s v="ORD-2025-306251"/>
    <d v="2025-04-10T00:00:00"/>
    <x v="19"/>
    <s v="Q2-2025"/>
    <d v="2025-04-19T00:00:00"/>
    <s v="Valid"/>
    <n v="9"/>
    <d v="2025-04-19T00:00:00"/>
    <x v="0"/>
    <s v="Africa → South Africa → Durban"/>
    <s v="South Africa-2025-04"/>
    <s v="South Africa"/>
    <s v="Durban"/>
    <s v="Enterprise"/>
    <s v="Unknown"/>
    <x v="3"/>
    <s v="Networking"/>
    <s v="NET-5270"/>
    <n v="113.74"/>
    <n v="165.7"/>
    <s v="Valid"/>
    <n v="165.7"/>
    <s v="Low"/>
    <n v="0.124"/>
    <s v="Valid"/>
    <n v="0.124"/>
    <n v="13"/>
    <n v="1886.9915999999998"/>
    <n v="1478.62"/>
    <n v="408.37159999999994"/>
    <n v="0.21641410592394794"/>
    <n v="0"/>
    <n v="0"/>
  </r>
  <r>
    <s v="ORD-2025-496178"/>
    <d v="2025-07-27T00:00:00"/>
    <x v="13"/>
    <s v="Q3-2025"/>
    <d v="2025-08-15T00:00:00"/>
    <s v="Valid"/>
    <n v="19"/>
    <d v="2025-08-15T00:00:00"/>
    <x v="1"/>
    <s v="Asia → Japan → Tokyo"/>
    <s v="Japan-2025-07"/>
    <s v="Japan"/>
    <s v="Tokyo"/>
    <s v="Small Business"/>
    <s v="Marketplace"/>
    <x v="1"/>
    <s v="Components"/>
    <s v="CMP-5658"/>
    <n v="275.43"/>
    <n v="608.36"/>
    <s v="Valid"/>
    <n v="608.36"/>
    <s v="Low"/>
    <n v="0.25700000000000001"/>
    <s v="Valid"/>
    <n v="0.25700000000000001"/>
    <n v="4"/>
    <n v="1808.04592"/>
    <n v="1101.72"/>
    <n v="706.32592"/>
    <n v="0.39065706915231446"/>
    <n v="0"/>
    <n v="1"/>
  </r>
  <r>
    <s v="ORD-2024-508213"/>
    <d v="2024-11-22T00:00:00"/>
    <x v="18"/>
    <s v="Q4-2024"/>
    <d v="2024-12-15T00:00:00"/>
    <s v="Valid"/>
    <n v="23"/>
    <d v="2024-12-15T00:00:00"/>
    <x v="0"/>
    <s v="Africa → Kenya → Mombasa"/>
    <s v="Kenya-2024-11"/>
    <s v="Kenya"/>
    <s v="Mombasa"/>
    <s v="Non-Profit"/>
    <s v="Distributor"/>
    <x v="0"/>
    <s v="Components"/>
    <s v="CMP-3938"/>
    <n v="1335.76"/>
    <n v="2665.91"/>
    <s v="Valid"/>
    <n v="2665.91"/>
    <s v="High"/>
    <n v="0.21099999999999999"/>
    <s v="Valid"/>
    <n v="0.21099999999999999"/>
    <n v="40"/>
    <n v="84136.119600000005"/>
    <n v="53430.400000000001"/>
    <n v="30705.719600000004"/>
    <n v="0.36495288522909253"/>
    <n v="0"/>
    <n v="1"/>
  </r>
  <r>
    <s v="ORD-2024-787018"/>
    <d v="2024-06-23T00:00:00"/>
    <x v="17"/>
    <s v="Q2-2024"/>
    <d v="2024-06-28T00:00:00"/>
    <s v="Valid"/>
    <n v="5"/>
    <d v="2024-06-28T00:00:00"/>
    <x v="0"/>
    <s v="Africa → Nigeria → Port Harcourt"/>
    <s v="Nigeria-2024-06"/>
    <s v="Nigeria"/>
    <s v="Port Harcourt"/>
    <s v="Non-Profit"/>
    <s v="Direct"/>
    <x v="12"/>
    <s v="Accessories"/>
    <s v="ACC-7671"/>
    <n v="242.31"/>
    <n v="587.95000000000005"/>
    <s v="Valid"/>
    <n v="587.95000000000005"/>
    <s v="Low"/>
    <n v="0.22900000000000001"/>
    <s v="Valid"/>
    <n v="0.22900000000000001"/>
    <n v="6"/>
    <n v="2719.8567000000003"/>
    <n v="1453.8600000000001"/>
    <n v="1265.9967000000001"/>
    <n v="0.46546448568411714"/>
    <n v="1"/>
    <n v="1"/>
  </r>
  <r>
    <s v="ORD-2023-728177"/>
    <d v="2023-12-18T00:00:00"/>
    <x v="4"/>
    <s v="Q4-2023"/>
    <d v="2024-01-14T00:00:00"/>
    <s v="Valid"/>
    <n v="27"/>
    <d v="2024-01-14T00:00:00"/>
    <x v="1"/>
    <s v="Asia → India → Mumbai"/>
    <s v="India-2023-12"/>
    <s v="India"/>
    <s v="Mumbai"/>
    <s v="Consumer"/>
    <s v="Distributor"/>
    <x v="14"/>
    <s v="Networking"/>
    <s v="NET-6014"/>
    <n v="1408.3"/>
    <n v="2193.13"/>
    <s v="Valid"/>
    <n v="2193.13"/>
    <s v="High"/>
    <n v="7.0999999999999994E-2"/>
    <s v="Valid"/>
    <n v="7.0999999999999994E-2"/>
    <n v="7"/>
    <n v="14261.92439"/>
    <n v="9858.1"/>
    <n v="4403.8243899999998"/>
    <n v="0.30878191957656281"/>
    <n v="0"/>
    <n v="0"/>
  </r>
  <r>
    <s v="ORD-2025-795385"/>
    <d v="2025-06-01T00:00:00"/>
    <x v="16"/>
    <s v="Q2-2025"/>
    <d v="2025-06-05T00:00:00"/>
    <s v="Valid"/>
    <n v="4"/>
    <d v="2025-06-05T00:00:00"/>
    <x v="3"/>
    <s v="Europe → Germany → Munich"/>
    <s v="Germany-2025-06"/>
    <s v="Germany"/>
    <s v="Munich"/>
    <s v="Enterprise"/>
    <s v="Direct"/>
    <x v="12"/>
    <s v="Components"/>
    <s v="CMP-4159"/>
    <n v="1171.42"/>
    <n v="2187.8000000000002"/>
    <s v="Valid"/>
    <n v="2187.8000000000002"/>
    <s v="High"/>
    <n v="0.23"/>
    <s v="Valid"/>
    <n v="0.23"/>
    <n v="15"/>
    <n v="25269.09"/>
    <n v="17571.300000000003"/>
    <n v="7697.7899999999972"/>
    <n v="0.30463265594447592"/>
    <n v="1"/>
    <n v="1"/>
  </r>
  <r>
    <s v="ORD-2025-947929"/>
    <d v="2025-03-23T00:00:00"/>
    <x v="3"/>
    <s v="Q1-2025"/>
    <d v="2025-04-02T00:00:00"/>
    <s v="Valid"/>
    <n v="10"/>
    <d v="2025-04-02T00:00:00"/>
    <x v="3"/>
    <s v="Europe → Germany → Berlin"/>
    <s v="Germany-2025-03"/>
    <s v="Germany"/>
    <s v="Berlin"/>
    <s v="Enterprise"/>
    <s v="Online"/>
    <x v="6"/>
    <s v="Printers"/>
    <s v="PRN-3159"/>
    <n v="663.61"/>
    <n v="1002.11"/>
    <s v="Valid"/>
    <n v="1002.11"/>
    <s v="Medium"/>
    <n v="4.5999999999999999E-2"/>
    <s v="Valid"/>
    <n v="4.5999999999999999E-2"/>
    <n v="17"/>
    <n v="16252.219979999998"/>
    <n v="11281.37"/>
    <n v="4970.8499799999972"/>
    <n v="0.30585667595670812"/>
    <n v="0"/>
    <n v="0"/>
  </r>
  <r>
    <s v="ORD-2023-931633"/>
    <d v="2023-05-14T00:00:00"/>
    <x v="15"/>
    <s v="Q2-2023"/>
    <d v="2023-05-22T00:00:00"/>
    <s v="Valid"/>
    <n v="8"/>
    <d v="2023-05-22T00:00:00"/>
    <x v="0"/>
    <s v="Africa → Kenya → Mombasa"/>
    <s v="Kenya-2023-05"/>
    <s v="Kenya"/>
    <s v="Mombasa"/>
    <s v="Small Business"/>
    <s v="Distributor"/>
    <x v="9"/>
    <s v="Printers"/>
    <s v="PRN-9488"/>
    <n v="432.01"/>
    <n v="913.78"/>
    <s v="Valid"/>
    <n v="913.78"/>
    <s v="Medium"/>
    <n v="4.9000000000000002E-2"/>
    <s v="Valid"/>
    <n v="4.9000000000000002E-2"/>
    <n v="12"/>
    <n v="10428.057360000001"/>
    <n v="5184.12"/>
    <n v="5243.9373600000008"/>
    <n v="0.50286809699711899"/>
    <n v="0"/>
    <n v="0"/>
  </r>
  <r>
    <s v="ORD-2023-243704"/>
    <d v="2023-08-29T00:00:00"/>
    <x v="25"/>
    <s v="Q3-2023"/>
    <d v="2023-09-19T00:00:00"/>
    <s v="Valid"/>
    <n v="21"/>
    <d v="2023-09-19T00:00:00"/>
    <x v="3"/>
    <s v="Europe → France → Lyon"/>
    <s v="France-2023-08"/>
    <s v="France"/>
    <s v="Lyon"/>
    <s v="Small Business"/>
    <s v="Direct"/>
    <x v="5"/>
    <s v="Printers"/>
    <s v="PRN-7079"/>
    <n v="784.46"/>
    <n v="1843.51"/>
    <s v="Valid"/>
    <n v="1843.51"/>
    <s v="Medium"/>
    <n v="0.13800000000000001"/>
    <s v="Valid"/>
    <n v="0.13800000000000001"/>
    <n v="23"/>
    <n v="36549.429260000004"/>
    <n v="18042.580000000002"/>
    <n v="18506.849260000003"/>
    <n v="0.50635125184441798"/>
    <n v="0"/>
    <n v="0"/>
  </r>
  <r>
    <s v="ORD-2025-779659"/>
    <d v="2025-07-03T00:00:00"/>
    <x v="13"/>
    <s v="Q3-2025"/>
    <d v="2025-07-23T00:00:00"/>
    <s v="Valid"/>
    <n v="20"/>
    <d v="2025-07-23T00:00:00"/>
    <x v="1"/>
    <s v="Asia → China → Beijing"/>
    <s v="China-2025-07"/>
    <s v="China"/>
    <s v="Beijing"/>
    <s v="Small Business"/>
    <s v="Online"/>
    <x v="12"/>
    <s v="Components"/>
    <s v="CMP-1220"/>
    <n v="647.36"/>
    <n v="1383.6"/>
    <s v="Valid"/>
    <n v="1383.6"/>
    <s v="Medium"/>
    <n v="7.3999999999999996E-2"/>
    <s v="Valid"/>
    <n v="7.3999999999999996E-2"/>
    <n v="12"/>
    <n v="15374.563199999999"/>
    <n v="7768.32"/>
    <n v="7606.243199999999"/>
    <n v="0.49472906000997802"/>
    <n v="0"/>
    <n v="0"/>
  </r>
  <r>
    <s v="ORD-2024-647571"/>
    <d v="2024-02-06T00:00:00"/>
    <x v="31"/>
    <s v="Q1-2024"/>
    <d v="2024-02-28T00:00:00"/>
    <s v="Valid"/>
    <n v="22"/>
    <d v="2024-02-28T00:00:00"/>
    <x v="0"/>
    <s v="Africa → Kenya → Kisumu"/>
    <s v="Kenya-2024-02"/>
    <s v="Kenya"/>
    <s v="Kisumu"/>
    <s v="Non-Profit"/>
    <s v="Online"/>
    <x v="11"/>
    <s v="Monitors"/>
    <s v="MON-2462"/>
    <n v="834.93"/>
    <n v="1588.53"/>
    <s v="Valid"/>
    <n v="1588.53"/>
    <s v="Medium"/>
    <n v="0.126"/>
    <s v="Valid"/>
    <n v="0.126"/>
    <n v="6"/>
    <n v="8330.2513199999994"/>
    <n v="5009.58"/>
    <n v="3320.6713199999995"/>
    <n v="0.39862798761274343"/>
    <n v="0"/>
    <n v="0"/>
  </r>
  <r>
    <s v="ORD-2025-683043"/>
    <d v="2025-08-13T00:00:00"/>
    <x v="28"/>
    <s v="Q3-2025"/>
    <d v="2025-09-03T00:00:00"/>
    <s v="Valid"/>
    <n v="21"/>
    <d v="2025-09-03T00:00:00"/>
    <x v="3"/>
    <s v="Europe → France → Paris"/>
    <s v="France-2025-08"/>
    <s v="France"/>
    <s v="Paris"/>
    <s v="Education"/>
    <s v="Retail"/>
    <x v="2"/>
    <s v="Phones"/>
    <s v="PHN-9465"/>
    <n v="603.47"/>
    <n v="1344.05"/>
    <s v="Valid"/>
    <n v="1344.05"/>
    <s v="Medium"/>
    <n v="0.20499999999999999"/>
    <s v="Valid"/>
    <n v="0.20499999999999999"/>
    <n v="18"/>
    <n v="19233.355499999998"/>
    <n v="10862.460000000001"/>
    <n v="8370.8954999999969"/>
    <n v="0.43522803392262976"/>
    <n v="0"/>
    <n v="1"/>
  </r>
  <r>
    <s v="ORD-2023-588455"/>
    <d v="2023-05-23T00:00:00"/>
    <x v="15"/>
    <s v="Q2-2023"/>
    <d v="2023-05-25T00:00:00"/>
    <s v="Valid"/>
    <n v="2"/>
    <d v="2023-05-25T00:00:00"/>
    <x v="2"/>
    <s v="Americas → Brazil → Rio de Janeiro"/>
    <s v="Brazil-2023-05"/>
    <s v="Brazil"/>
    <s v="Rio de Janeiro"/>
    <s v="Enterprise"/>
    <s v="Retail"/>
    <x v="12"/>
    <s v="Printers"/>
    <s v="PRN-1271"/>
    <n v="690.49"/>
    <n v="1290.29"/>
    <s v="Valid"/>
    <n v="1290.29"/>
    <s v="Medium"/>
    <n v="4.2000000000000003E-2"/>
    <s v="Valid"/>
    <n v="4.2000000000000003E-2"/>
    <n v="22"/>
    <n v="27194.152039999997"/>
    <n v="15190.78"/>
    <n v="12003.372039999997"/>
    <n v="0.44139534199647718"/>
    <n v="1"/>
    <n v="0"/>
  </r>
  <r>
    <s v="ORD-2024-641220"/>
    <d v="2024-05-10T00:00:00"/>
    <x v="7"/>
    <s v="Q2-2024"/>
    <d v="2024-05-16T00:00:00"/>
    <s v="Valid"/>
    <n v="6"/>
    <d v="2024-05-16T00:00:00"/>
    <x v="3"/>
    <s v="Europe → United Kingdom → Birmingham"/>
    <s v="United Kingdom-2024-05"/>
    <s v="United Kingdom"/>
    <s v="Birmingham"/>
    <s v="Non-Profit"/>
    <s v="Direct"/>
    <x v="3"/>
    <s v="Laptops"/>
    <s v="LAP-1066"/>
    <n v="210.76"/>
    <n v="221.58"/>
    <s v="Valid"/>
    <n v="221.58"/>
    <s v="Low"/>
    <n v="8.8999999999999996E-2"/>
    <s v="Valid"/>
    <n v="8.8999999999999996E-2"/>
    <n v="5"/>
    <n v="1009.2969000000002"/>
    <n v="1053.8"/>
    <n v="-44.50309999999979"/>
    <n v="-4.4093170205912434E-2"/>
    <n v="1"/>
    <n v="0"/>
  </r>
  <r>
    <s v="ORD-2023-799597"/>
    <d v="2023-03-14T00:00:00"/>
    <x v="22"/>
    <s v="Q1-2023"/>
    <d v="2023-03-18T00:00:00"/>
    <s v="Valid"/>
    <n v="4"/>
    <d v="2023-03-18T00:00:00"/>
    <x v="3"/>
    <s v="Europe → Germany → Frankfurt"/>
    <s v="Germany-2023-03"/>
    <s v="Germany"/>
    <s v="Frankfurt"/>
    <s v="Enterprise"/>
    <s v="Direct"/>
    <x v="8"/>
    <s v="Components"/>
    <s v="CMP-8675"/>
    <n v="472.33"/>
    <n v="360.34"/>
    <s v="Valid"/>
    <n v="360.34"/>
    <s v="Low"/>
    <n v="0.16500000000000001"/>
    <s v="Valid"/>
    <n v="0.16500000000000001"/>
    <n v="14"/>
    <n v="4212.3745999999992"/>
    <n v="6612.62"/>
    <n v="-2400.2454000000007"/>
    <n v="-0.56980815523861561"/>
    <n v="1"/>
    <n v="0"/>
  </r>
  <r>
    <s v="ORD-2023-569862"/>
    <d v="2023-07-16T00:00:00"/>
    <x v="24"/>
    <s v="Q3-2023"/>
    <d v="2023-08-13T00:00:00"/>
    <s v="Valid"/>
    <n v="28"/>
    <d v="2023-08-13T00:00:00"/>
    <x v="3"/>
    <s v="Europe → United Kingdom → Manchester"/>
    <s v="United Kingdom-2023-07"/>
    <s v="United Kingdom"/>
    <s v="Manchester"/>
    <s v="Non-Profit"/>
    <s v="Online"/>
    <x v="1"/>
    <s v="Laptops"/>
    <s v="LAP-1178"/>
    <n v="1039.03"/>
    <n v="2545.81"/>
    <s v="Valid"/>
    <n v="2545.81"/>
    <s v="High"/>
    <n v="0.216"/>
    <s v="Valid"/>
    <n v="0.216"/>
    <n v="21"/>
    <n v="41914.215840000004"/>
    <n v="21819.63"/>
    <n v="20094.585840000003"/>
    <n v="0.47942172929364774"/>
    <n v="0"/>
    <n v="1"/>
  </r>
  <r>
    <s v="ORD-2023-609394"/>
    <d v="2023-04-16T00:00:00"/>
    <x v="12"/>
    <s v="Q2-2023"/>
    <d v="2023-04-19T00:00:00"/>
    <s v="Valid"/>
    <n v="3"/>
    <d v="2023-04-19T00:00:00"/>
    <x v="3"/>
    <s v="Europe → Germany → Munich"/>
    <s v="Germany-2023-04"/>
    <s v="Germany"/>
    <s v="Munich"/>
    <s v="Corporate"/>
    <s v="Direct"/>
    <x v="5"/>
    <s v="Accessories"/>
    <s v="ACC-1731"/>
    <n v="553.61"/>
    <n v="699.47"/>
    <s v="Valid"/>
    <n v="699.47"/>
    <s v="Medium"/>
    <n v="0.02"/>
    <s v="Valid"/>
    <n v="0.02"/>
    <n v="33"/>
    <n v="22620.859800000002"/>
    <n v="18269.13"/>
    <n v="4351.729800000001"/>
    <n v="0.19237685209472014"/>
    <n v="1"/>
    <n v="0"/>
  </r>
  <r>
    <s v="ORD-2024-105586"/>
    <d v="2024-01-02T00:00:00"/>
    <x v="9"/>
    <s v="Q1-2024"/>
    <d v="2024-01-15T00:00:00"/>
    <s v="Valid"/>
    <n v="13"/>
    <d v="2024-01-15T00:00:00"/>
    <x v="1"/>
    <s v="Asia → Japan → Nagoya"/>
    <s v="Japan-2024-01"/>
    <s v="Japan"/>
    <s v="Nagoya"/>
    <s v="Small Business"/>
    <s v="Marketplace"/>
    <x v="3"/>
    <s v="Networking"/>
    <s v="NET-1893"/>
    <n v="1219.06"/>
    <n v="2738.69"/>
    <s v="Valid"/>
    <n v="2738.69"/>
    <s v="High"/>
    <n v="7.5999999999999998E-2"/>
    <s v="Valid"/>
    <n v="7.5999999999999998E-2"/>
    <n v="16"/>
    <n v="40488.792960000006"/>
    <n v="19504.96"/>
    <n v="20983.832960000007"/>
    <n v="0.51826274447673737"/>
    <n v="0"/>
    <n v="0"/>
  </r>
  <r>
    <s v="ORD-2024-207792"/>
    <d v="2024-09-03T00:00:00"/>
    <x v="29"/>
    <s v="Q3-2024"/>
    <d v="2024-09-07T00:00:00"/>
    <s v="Valid"/>
    <n v="4"/>
    <d v="2024-09-07T00:00:00"/>
    <x v="1"/>
    <s v="Asia → Japan → Tokyo"/>
    <s v="Japan-2024-09"/>
    <s v="Japan"/>
    <s v="Tokyo"/>
    <s v="Small Business"/>
    <s v="Distributor"/>
    <x v="13"/>
    <s v="Printers"/>
    <s v="PRN-3917"/>
    <n v="43.23"/>
    <n v="94.78"/>
    <s v="Valid"/>
    <n v="94.78"/>
    <s v="Low"/>
    <n v="9.0999999999999998E-2"/>
    <s v="Valid"/>
    <n v="9.0999999999999998E-2"/>
    <n v="55"/>
    <n v="4738.5261"/>
    <n v="2377.6499999999996"/>
    <n v="2360.8761000000004"/>
    <n v="0.49823005090127082"/>
    <n v="1"/>
    <n v="0"/>
  </r>
  <r>
    <s v="ORD-2025-417336"/>
    <d v="2025-08-30T00:00:00"/>
    <x v="28"/>
    <s v="Q3-2025"/>
    <d v="2025-09-03T00:00:00"/>
    <s v="Valid"/>
    <n v="4"/>
    <d v="2025-09-03T00:00:00"/>
    <x v="3"/>
    <s v="Europe → France → Marseille"/>
    <s v="France-2025-08"/>
    <s v="France"/>
    <s v="Marseille"/>
    <s v="Small Business"/>
    <s v="Marketplace"/>
    <x v="1"/>
    <s v="Laptops"/>
    <s v="LAP-3220"/>
    <n v="1286.56"/>
    <n v="2777.35"/>
    <s v="Valid"/>
    <n v="2777.35"/>
    <s v="High"/>
    <n v="0.13200000000000001"/>
    <s v="Valid"/>
    <n v="0.13200000000000001"/>
    <n v="15"/>
    <n v="36161.097000000002"/>
    <n v="19298.399999999998"/>
    <n v="16862.697000000004"/>
    <n v="0.46632150014696744"/>
    <n v="1"/>
    <n v="0"/>
  </r>
  <r>
    <s v="ORD-2025-252117"/>
    <d v="2025-04-28T00:00:00"/>
    <x v="19"/>
    <s v="Q2-2025"/>
    <d v="2025-05-19T00:00:00"/>
    <s v="Valid"/>
    <n v="21"/>
    <d v="2025-05-19T00:00:00"/>
    <x v="3"/>
    <s v="Europe → Germany → Berlin"/>
    <s v="Germany-2025-04"/>
    <s v="Germany"/>
    <s v="Berlin"/>
    <s v="Corporate"/>
    <s v="Distributor"/>
    <x v="5"/>
    <s v="Phones"/>
    <s v="PHN-2462"/>
    <n v="350.76"/>
    <n v="492.18"/>
    <s v="Valid"/>
    <n v="492.18"/>
    <s v="Low"/>
    <n v="5.2999999999999999E-2"/>
    <s v="Valid"/>
    <n v="5.2999999999999999E-2"/>
    <n v="11"/>
    <n v="5127.0390600000001"/>
    <n v="3858.3599999999997"/>
    <n v="1268.6790600000004"/>
    <n v="0.24744868239798437"/>
    <n v="0"/>
    <n v="0"/>
  </r>
  <r>
    <s v="ORD-2023-867175"/>
    <d v="2023-08-10T00:00:00"/>
    <x v="25"/>
    <s v="Q3-2023"/>
    <d v="2023-08-15T00:00:00"/>
    <s v="Valid"/>
    <n v="5"/>
    <d v="2023-08-15T00:00:00"/>
    <x v="2"/>
    <s v="Americas → Brazil → São Paulo"/>
    <s v="Brazil-2023-08"/>
    <s v="Brazil"/>
    <s v="São Paulo"/>
    <s v="Education"/>
    <s v="Direct"/>
    <x v="3"/>
    <s v="Networking"/>
    <s v="NET-2894"/>
    <n v="1307.52"/>
    <n v="1921.65"/>
    <s v="Valid"/>
    <n v="1921.65"/>
    <s v="High"/>
    <n v="0.123"/>
    <s v="Valid"/>
    <n v="0.123"/>
    <n v="13"/>
    <n v="21908.731650000002"/>
    <n v="16997.759999999998"/>
    <n v="4910.9716500000031"/>
    <n v="0.22415590863289445"/>
    <n v="1"/>
    <n v="0"/>
  </r>
  <r>
    <s v="ORD-2024-382152"/>
    <d v="2024-12-08T00:00:00"/>
    <x v="6"/>
    <s v="Q4-2024"/>
    <d v="2024-12-08T00:00:00"/>
    <s v="Valid"/>
    <n v="0"/>
    <d v="2024-12-08T00:00:00"/>
    <x v="3"/>
    <s v="Europe → France → Lyon"/>
    <s v="France-2024-12"/>
    <s v="France"/>
    <s v="Lyon"/>
    <s v="Enterprise"/>
    <s v="Retail"/>
    <x v="10"/>
    <s v="Components"/>
    <s v="CMP-2335"/>
    <n v="257.44"/>
    <n v="290.33"/>
    <s v="Valid"/>
    <n v="290.33"/>
    <s v="Low"/>
    <n v="9.1999999999999998E-2"/>
    <s v="Valid"/>
    <n v="9.1999999999999998E-2"/>
    <n v="23"/>
    <n v="6063.2517199999993"/>
    <n v="5921.12"/>
    <n v="142.1317199999994"/>
    <n v="2.3441500792581216E-2"/>
    <n v="1"/>
    <n v="0"/>
  </r>
  <r>
    <s v="ORD-2023-597666"/>
    <d v="2023-10-25T00:00:00"/>
    <x v="32"/>
    <s v="Q4-2023"/>
    <d v="2023-11-24T00:00:00"/>
    <s v="Valid"/>
    <n v="30"/>
    <d v="2023-11-24T00:00:00"/>
    <x v="3"/>
    <s v="Europe → France → Paris"/>
    <s v="France-2023-10"/>
    <s v="France"/>
    <s v="Paris"/>
    <s v="Enterprise"/>
    <s v="Distributor"/>
    <x v="0"/>
    <s v="Phones"/>
    <s v="PHN-5938"/>
    <n v="287.85000000000002"/>
    <n v="602.91999999999996"/>
    <s v="Valid"/>
    <n v="602.91999999999996"/>
    <s v="Low"/>
    <n v="0.222"/>
    <s v="Valid"/>
    <n v="0.222"/>
    <n v="11"/>
    <n v="5159.7893599999998"/>
    <n v="3166.3500000000004"/>
    <n v="1993.4393599999994"/>
    <n v="0.38634122847216373"/>
    <n v="0"/>
    <n v="1"/>
  </r>
  <r>
    <s v="ORD-2024-371409"/>
    <d v="2024-11-17T00:00:00"/>
    <x v="18"/>
    <s v="Q4-2024"/>
    <d v="2024-11-28T00:00:00"/>
    <s v="Valid"/>
    <n v="11"/>
    <d v="2024-11-28T00:00:00"/>
    <x v="2"/>
    <s v="Americas → Canada → unknown"/>
    <s v="Canada-2024-11"/>
    <s v="Canada"/>
    <s v="unknown"/>
    <s v="Consumer"/>
    <s v="Distributor"/>
    <x v="8"/>
    <s v="Printers"/>
    <s v="PRN-1371"/>
    <n v="1008.16"/>
    <n v="2077.5"/>
    <s v="Valid"/>
    <n v="2077.5"/>
    <s v="High"/>
    <n v="7.3999999999999996E-2"/>
    <s v="Valid"/>
    <n v="7.3999999999999996E-2"/>
    <n v="15"/>
    <n v="28856.475000000002"/>
    <n v="15122.4"/>
    <n v="13734.075000000003"/>
    <n v="0.47594430712691005"/>
    <n v="0"/>
    <n v="0"/>
  </r>
  <r>
    <s v="ORD-2024-973420"/>
    <d v="2024-05-12T00:00:00"/>
    <x v="7"/>
    <s v="Q2-2024"/>
    <d v="2024-05-24T00:00:00"/>
    <s v="Valid"/>
    <n v="12"/>
    <d v="2024-05-24T00:00:00"/>
    <x v="3"/>
    <s v="Europe → United Kingdom → Manchester"/>
    <s v="United Kingdom-2024-05"/>
    <s v="United Kingdom"/>
    <s v="Manchester"/>
    <s v="Education"/>
    <s v="Marketplace"/>
    <x v="11"/>
    <s v="Printers"/>
    <s v="PRN-5813"/>
    <n v="111.02"/>
    <n v="172.88"/>
    <s v="Valid"/>
    <n v="172.88"/>
    <s v="Low"/>
    <n v="0.19700000000000001"/>
    <s v="Valid"/>
    <n v="0.19700000000000001"/>
    <n v="29"/>
    <n v="4025.8565599999993"/>
    <n v="3219.58"/>
    <n v="806.27655999999934"/>
    <n v="0.20027453735212053"/>
    <n v="0"/>
    <n v="0"/>
  </r>
  <r>
    <s v="ORD-2025-254721"/>
    <d v="2025-05-15T00:00:00"/>
    <x v="8"/>
    <s v="Q2-2025"/>
    <d v="2025-06-05T00:00:00"/>
    <s v="Valid"/>
    <n v="21"/>
    <d v="2025-06-05T00:00:00"/>
    <x v="1"/>
    <s v="Asia → Japan → Osaka"/>
    <s v="Japan-2025-05"/>
    <s v="Japan"/>
    <s v="Osaka"/>
    <s v="Enterprise"/>
    <s v="Direct"/>
    <x v="10"/>
    <s v="Phones"/>
    <s v="PHN-6480"/>
    <n v="1466.5"/>
    <n v="2778.74"/>
    <s v="Valid"/>
    <n v="2778.74"/>
    <s v="High"/>
    <n v="0.13500000000000001"/>
    <s v="Valid"/>
    <n v="0.13500000000000001"/>
    <n v="4"/>
    <n v="9614.4403999999995"/>
    <n v="5866"/>
    <n v="3748.4403999999995"/>
    <n v="0.38987608680792279"/>
    <n v="0"/>
    <n v="0"/>
  </r>
  <r>
    <s v="ORD-2024-247032"/>
    <d v="2024-04-21T00:00:00"/>
    <x v="20"/>
    <s v="Q2-2024"/>
    <d v="2024-05-19T00:00:00"/>
    <s v="Valid"/>
    <n v="28"/>
    <d v="2024-05-19T00:00:00"/>
    <x v="0"/>
    <s v="Africa → Nigeria → Lagos"/>
    <s v="Nigeria-2024-04"/>
    <s v="Nigeria"/>
    <s v="Lagos"/>
    <s v="Corporate"/>
    <s v="Distributor"/>
    <x v="8"/>
    <s v="Accessories"/>
    <s v="ACC-2990"/>
    <n v="187.22"/>
    <n v="309.47000000000003"/>
    <s v="Valid"/>
    <n v="309.47000000000003"/>
    <s v="Low"/>
    <n v="0"/>
    <s v="Valid"/>
    <n v="0"/>
    <n v="5"/>
    <n v="1547.3500000000001"/>
    <n v="936.1"/>
    <n v="611.25000000000011"/>
    <n v="0.39503021294471197"/>
    <n v="0"/>
    <n v="0"/>
  </r>
  <r>
    <s v="ORD-2024-792353"/>
    <d v="2024-08-19T00:00:00"/>
    <x v="21"/>
    <s v="Q3-2024"/>
    <d v="2024-09-07T00:00:00"/>
    <s v="Valid"/>
    <n v="19"/>
    <d v="2024-09-07T00:00:00"/>
    <x v="3"/>
    <s v="Europe → France → Lyon"/>
    <s v="France-2024-08"/>
    <s v="France"/>
    <s v="Lyon"/>
    <s v="Corporate"/>
    <s v="Direct"/>
    <x v="1"/>
    <s v="Components"/>
    <s v="CMP-5435"/>
    <n v="297.58999999999997"/>
    <n v="666.41"/>
    <s v="Valid"/>
    <n v="666.41"/>
    <s v="Medium"/>
    <n v="0"/>
    <s v="Valid"/>
    <n v="0"/>
    <n v="10"/>
    <n v="6664.0999999999995"/>
    <n v="2975.8999999999996"/>
    <n v="3688.2"/>
    <n v="0.55344307558409989"/>
    <n v="0"/>
    <n v="0"/>
  </r>
  <r>
    <s v="ORD-2025-703623"/>
    <d v="2025-07-23T00:00:00"/>
    <x v="13"/>
    <s v="Q3-2025"/>
    <d v="2025-08-19T00:00:00"/>
    <s v="Valid"/>
    <n v="27"/>
    <d v="2025-08-19T00:00:00"/>
    <x v="1"/>
    <s v="Asia → Japan → Nagoya"/>
    <s v="Japan-2025-07"/>
    <s v="Japan"/>
    <s v="Nagoya"/>
    <s v="Consumer"/>
    <s v="Marketplace"/>
    <x v="5"/>
    <s v="Accessories"/>
    <s v="ACC-1596"/>
    <n v="896.09"/>
    <n v="744.27"/>
    <s v="Valid"/>
    <n v="744.27"/>
    <s v="Medium"/>
    <n v="8.3000000000000004E-2"/>
    <s v="Valid"/>
    <n v="8.3000000000000004E-2"/>
    <n v="11"/>
    <n v="7507.4514899999995"/>
    <n v="9856.99"/>
    <n v="-2349.5385100000003"/>
    <n v="-0.31296086469950679"/>
    <n v="0"/>
    <n v="0"/>
  </r>
  <r>
    <s v="ORD-2024-516704"/>
    <d v="2024-03-01T00:00:00"/>
    <x v="0"/>
    <s v="Q1-2024"/>
    <d v="2024-02-29T00:00:00"/>
    <s v="Invalid RequiredDate"/>
    <n v="-1"/>
    <d v="2024-03-27T00:00:00"/>
    <x v="2"/>
    <s v="Americas → Brazil → São Paulo"/>
    <s v="Brazil-2024-03"/>
    <s v="Brazil"/>
    <s v="São Paulo"/>
    <s v="Non-Profit"/>
    <s v="Direct"/>
    <x v="2"/>
    <s v="Phones"/>
    <s v="PHN-7852"/>
    <n v="5.34"/>
    <n v="12.69"/>
    <s v="Valid"/>
    <n v="12.69"/>
    <s v="Low"/>
    <n v="0.13200000000000001"/>
    <s v="Valid"/>
    <n v="0.13200000000000001"/>
    <n v="10"/>
    <n v="110.14919999999999"/>
    <n v="53.4"/>
    <n v="56.749199999999995"/>
    <n v="0.51520301554618642"/>
    <n v="1"/>
    <n v="0"/>
  </r>
  <r>
    <s v="ORD-2024-578646"/>
    <d v="2024-05-27T00:00:00"/>
    <x v="7"/>
    <s v="Q2-2024"/>
    <d v="2024-06-17T00:00:00"/>
    <s v="Valid"/>
    <n v="21"/>
    <d v="2024-06-17T00:00:00"/>
    <x v="1"/>
    <s v="Asia → India → Delhi"/>
    <s v="India-2024-05"/>
    <s v="India"/>
    <s v="Delhi"/>
    <s v="Small Business"/>
    <s v="Online"/>
    <x v="10"/>
    <s v="Accessories"/>
    <s v="ACC-7240"/>
    <n v="465.02"/>
    <n v="651.55999999999995"/>
    <s v="Valid"/>
    <n v="651.55999999999995"/>
    <s v="Medium"/>
    <n v="4.2000000000000003E-2"/>
    <s v="Valid"/>
    <n v="4.2000000000000003E-2"/>
    <n v="19"/>
    <n v="11859.695119999998"/>
    <n v="8835.3799999999992"/>
    <n v="3024.3151199999993"/>
    <n v="0.25500783025187918"/>
    <n v="0"/>
    <n v="0"/>
  </r>
  <r>
    <s v="ORD-2024-433936"/>
    <d v="2024-08-04T00:00:00"/>
    <x v="21"/>
    <s v="Q3-2024"/>
    <d v="2024-08-17T00:00:00"/>
    <s v="Valid"/>
    <n v="13"/>
    <d v="2024-08-17T00:00:00"/>
    <x v="2"/>
    <s v="Americas → USA → Austin"/>
    <s v="USA-2024-08"/>
    <s v="USA"/>
    <s v="Austin"/>
    <s v="Consumer"/>
    <s v="Retail"/>
    <x v="14"/>
    <s v="Monitors"/>
    <s v="MON-8867"/>
    <n v="352.79"/>
    <n v="754.22"/>
    <s v="Valid"/>
    <n v="754.22"/>
    <s v="Medium"/>
    <n v="0.113"/>
    <s v="Valid"/>
    <n v="0.113"/>
    <n v="7"/>
    <n v="4682.9519799999998"/>
    <n v="2469.5300000000002"/>
    <n v="2213.4219799999996"/>
    <n v="0.47265528014233443"/>
    <n v="0"/>
    <n v="0"/>
  </r>
  <r>
    <s v="ORD-2023-434071"/>
    <d v="2023-06-20T00:00:00"/>
    <x v="23"/>
    <s v="Q2-2023"/>
    <d v="2023-07-04T00:00:00"/>
    <s v="Valid"/>
    <n v="14"/>
    <d v="2023-07-04T00:00:00"/>
    <x v="2"/>
    <s v="Americas → Brazil → Brasília"/>
    <s v="Brazil-2023-06"/>
    <s v="Brazil"/>
    <s v="Brasília"/>
    <s v="Non-Profit"/>
    <s v="Direct"/>
    <x v="0"/>
    <s v="Networking"/>
    <s v="NET-1228"/>
    <n v="1292.8599999999999"/>
    <n v="2981.01"/>
    <s v="Valid"/>
    <n v="2981.01"/>
    <s v="High"/>
    <n v="0.14199999999999999"/>
    <s v="Valid"/>
    <n v="0.14199999999999999"/>
    <n v="12"/>
    <n v="30692.47896"/>
    <n v="15514.32"/>
    <n v="15178.158960000001"/>
    <n v="0.49452372288927687"/>
    <n v="0"/>
    <n v="0"/>
  </r>
  <r>
    <s v="ORD-2024-728474"/>
    <d v="2024-09-09T00:00:00"/>
    <x v="29"/>
    <s v="Q3-2024"/>
    <d v="2024-09-13T00:00:00"/>
    <s v="Valid"/>
    <n v="4"/>
    <d v="2024-09-13T00:00:00"/>
    <x v="3"/>
    <s v="Europe → United Kingdom → London"/>
    <s v="United Kingdom-2024-09"/>
    <s v="United Kingdom"/>
    <s v="London"/>
    <s v="Consumer"/>
    <s v="Marketplace"/>
    <x v="9"/>
    <s v="Networking"/>
    <s v="NET-1145"/>
    <n v="1133.08"/>
    <n v="976.17"/>
    <s v="Valid"/>
    <n v="976.17"/>
    <s v="Medium"/>
    <n v="4.2000000000000003E-2"/>
    <s v="Valid"/>
    <n v="4.2000000000000003E-2"/>
    <n v="27"/>
    <n v="25249.613219999999"/>
    <n v="30593.159999999996"/>
    <n v="-5343.5467799999969"/>
    <n v="-0.21162885678452373"/>
    <n v="1"/>
    <n v="0"/>
  </r>
  <r>
    <s v="ORD-2023-406606"/>
    <d v="2023-10-25T00:00:00"/>
    <x v="32"/>
    <s v="Q4-2023"/>
    <d v="2023-10-28T00:00:00"/>
    <s v="Valid"/>
    <n v="3"/>
    <d v="2023-10-28T00:00:00"/>
    <x v="2"/>
    <s v="Americas → Brazil → Brasília"/>
    <s v="Brazil-2023-10"/>
    <s v="Brazil"/>
    <s v="Brasília"/>
    <s v="Corporate"/>
    <s v="Distributor"/>
    <x v="4"/>
    <s v="Accessories"/>
    <s v="ACC-2867"/>
    <n v="509.31"/>
    <n v="1145.9000000000001"/>
    <s v="Valid"/>
    <n v="1145.9000000000001"/>
    <s v="Medium"/>
    <n v="5.7000000000000002E-2"/>
    <s v="Valid"/>
    <n v="5.7000000000000002E-2"/>
    <n v="8"/>
    <n v="8644.6696000000011"/>
    <n v="4074.48"/>
    <n v="4570.1896000000015"/>
    <n v="0.52867140231709964"/>
    <n v="1"/>
    <n v="0"/>
  </r>
  <r>
    <s v="ORD-2025-823055"/>
    <d v="2025-09-08T00:00:00"/>
    <x v="11"/>
    <s v="Q3-2025"/>
    <d v="2025-10-05T00:00:00"/>
    <s v="Valid"/>
    <n v="27"/>
    <d v="2025-10-05T00:00:00"/>
    <x v="2"/>
    <s v="Americas → Brazil → Rio de Janeiro"/>
    <s v="Brazil-2025-09"/>
    <s v="Brazil"/>
    <s v="Rio de Janeiro"/>
    <s v="Education"/>
    <s v="Online"/>
    <x v="0"/>
    <s v="Monitors"/>
    <s v="MON-9274"/>
    <n v="660.78"/>
    <n v="1630.39"/>
    <s v="Valid"/>
    <n v="1630.39"/>
    <s v="Medium"/>
    <n v="0.218"/>
    <s v="Valid"/>
    <n v="0.218"/>
    <n v="13"/>
    <n v="16574.544740000001"/>
    <n v="8590.14"/>
    <n v="7984.4047400000018"/>
    <n v="0.48172694123724097"/>
    <n v="0"/>
    <n v="1"/>
  </r>
  <r>
    <s v="ORD-2023-573656"/>
    <d v="2023-05-02T00:00:00"/>
    <x v="15"/>
    <s v="Q2-2023"/>
    <d v="2023-05-16T00:00:00"/>
    <s v="Valid"/>
    <n v="14"/>
    <d v="2023-05-16T00:00:00"/>
    <x v="1"/>
    <s v="Asia → India → Bengaluru"/>
    <s v="India-2023-05"/>
    <s v="India"/>
    <s v="Bengaluru"/>
    <s v="Non-Profit"/>
    <s v="Retail"/>
    <x v="4"/>
    <s v="Monitors"/>
    <s v="MON-4830"/>
    <n v="475.37"/>
    <n v="963.73"/>
    <s v="Valid"/>
    <n v="963.73"/>
    <s v="Medium"/>
    <n v="4.1000000000000002E-2"/>
    <s v="Valid"/>
    <n v="4.1000000000000002E-2"/>
    <n v="22"/>
    <n v="20332.775539999999"/>
    <n v="10458.14"/>
    <n v="9874.6355399999993"/>
    <n v="0.48565113604750881"/>
    <n v="0"/>
    <n v="0"/>
  </r>
  <r>
    <s v="ORD-2024-567435"/>
    <d v="2024-04-26T00:00:00"/>
    <x v="20"/>
    <s v="Q2-2024"/>
    <d v="2024-04-24T00:00:00"/>
    <s v="Invalid RequiredDate"/>
    <n v="-2"/>
    <d v="2024-05-22T00:00:00"/>
    <x v="3"/>
    <s v="Europe → United Kingdom → London"/>
    <s v="United Kingdom-2024-04"/>
    <s v="United Kingdom"/>
    <s v="London"/>
    <s v="Non-Profit"/>
    <s v="Distributor"/>
    <x v="13"/>
    <s v="Phones"/>
    <s v="PHN-9107"/>
    <n v="1232.77"/>
    <n v="891.73"/>
    <s v="Valid"/>
    <n v="891.73"/>
    <s v="Medium"/>
    <n v="0.16700000000000001"/>
    <s v="Valid"/>
    <n v="0.16700000000000001"/>
    <n v="10"/>
    <n v="7428.1108999999988"/>
    <n v="12327.7"/>
    <n v="-4899.589100000002"/>
    <n v="-0.65960096260813805"/>
    <n v="1"/>
    <n v="0"/>
  </r>
  <r>
    <s v="ORD-2023-744942"/>
    <d v="2023-02-23T00:00:00"/>
    <x v="2"/>
    <s v="Q1-2023"/>
    <d v="2023-03-18T00:00:00"/>
    <s v="Valid"/>
    <n v="23"/>
    <d v="2023-03-18T00:00:00"/>
    <x v="1"/>
    <s v="Asia → China → Beijing"/>
    <s v="China-2023-02"/>
    <s v="China"/>
    <s v="Beijing"/>
    <s v="Education"/>
    <s v="Distributor"/>
    <x v="11"/>
    <s v="Printers"/>
    <s v="PRN-1060"/>
    <n v="770.11"/>
    <n v="1667.82"/>
    <s v="Valid"/>
    <n v="1667.82"/>
    <s v="Medium"/>
    <n v="6.9000000000000006E-2"/>
    <s v="Valid"/>
    <n v="6.9000000000000006E-2"/>
    <n v="7"/>
    <n v="10869.182940000001"/>
    <n v="5390.77"/>
    <n v="5478.4129400000002"/>
    <n v="0.50403171703355287"/>
    <n v="0"/>
    <n v="0"/>
  </r>
  <r>
    <s v="ORD-2025-331237"/>
    <d v="2025-03-24T00:00:00"/>
    <x v="3"/>
    <s v="Q1-2025"/>
    <d v="2025-03-25T00:00:00"/>
    <s v="Valid"/>
    <n v="1"/>
    <d v="2025-03-25T00:00:00"/>
    <x v="1"/>
    <s v="Asia → China → Beijing"/>
    <s v="China-2025-03"/>
    <s v="China"/>
    <s v="Beijing"/>
    <s v="Non-Profit"/>
    <s v="Online"/>
    <x v="3"/>
    <s v="Networking"/>
    <s v="NET-8329"/>
    <n v="1133.03"/>
    <n v="1921.51"/>
    <s v="Valid"/>
    <n v="1921.51"/>
    <s v="High"/>
    <n v="0.10100000000000001"/>
    <s v="Valid"/>
    <n v="0.10100000000000001"/>
    <n v="5"/>
    <n v="8637.1874499999994"/>
    <n v="5665.15"/>
    <n v="2972.0374499999998"/>
    <n v="0.3440978289755654"/>
    <n v="1"/>
    <n v="0"/>
  </r>
  <r>
    <s v="ORD-2025-680118"/>
    <d v="2025-03-10T00:00:00"/>
    <x v="3"/>
    <s v="Q1-2025"/>
    <d v="2025-03-27T00:00:00"/>
    <s v="Valid"/>
    <n v="17"/>
    <d v="2025-03-27T00:00:00"/>
    <x v="2"/>
    <s v="Americas → Brazil → Rio de Janeiro"/>
    <s v="Brazil-2025-03"/>
    <s v="Brazil"/>
    <s v="Rio de Janeiro"/>
    <s v="Enterprise"/>
    <s v="Direct"/>
    <x v="9"/>
    <s v="Networking"/>
    <s v="NET-6269"/>
    <n v="996.73"/>
    <n v="1217.43"/>
    <s v="Valid"/>
    <n v="1217.43"/>
    <s v="Medium"/>
    <n v="7.0000000000000007E-2"/>
    <s v="Valid"/>
    <n v="7.0000000000000007E-2"/>
    <n v="9"/>
    <n v="10189.8891"/>
    <n v="8970.57"/>
    <n v="1219.3191000000006"/>
    <n v="0.11965970267527255"/>
    <n v="0"/>
    <n v="0"/>
  </r>
  <r>
    <s v="ORD-2024-310809"/>
    <d v="2024-04-05T00:00:00"/>
    <x v="20"/>
    <s v="Q2-2024"/>
    <d v="2024-04-09T00:00:00"/>
    <s v="Valid"/>
    <n v="4"/>
    <d v="2024-04-09T00:00:00"/>
    <x v="0"/>
    <s v="Africa → Nigeria → Lagos"/>
    <s v="Nigeria-2024-04"/>
    <s v="Nigeria"/>
    <s v="Lagos"/>
    <s v="Non-Profit"/>
    <s v="Direct"/>
    <x v="11"/>
    <s v="Components"/>
    <s v="CMP-6529"/>
    <n v="395.07"/>
    <n v="970.27"/>
    <s v="Valid"/>
    <n v="970.27"/>
    <s v="Medium"/>
    <n v="0.123"/>
    <s v="Valid"/>
    <n v="0.123"/>
    <n v="38"/>
    <n v="32335.21802"/>
    <n v="15012.66"/>
    <n v="17322.55802"/>
    <n v="0.53571799049833657"/>
    <n v="1"/>
    <n v="0"/>
  </r>
  <r>
    <s v="ORD-2025-474368"/>
    <d v="2025-04-27T00:00:00"/>
    <x v="19"/>
    <s v="Q2-2025"/>
    <d v="2025-05-17T00:00:00"/>
    <s v="Valid"/>
    <n v="20"/>
    <d v="2025-05-17T00:00:00"/>
    <x v="2"/>
    <s v="Americas → USA → Austin"/>
    <s v="USA-2025-04"/>
    <s v="USA"/>
    <s v="Austin"/>
    <s v="Corporate"/>
    <s v="Direct"/>
    <x v="13"/>
    <s v="Phones"/>
    <s v="PHN-8776"/>
    <n v="932.26"/>
    <n v="1624.67"/>
    <s v="Valid"/>
    <n v="1624.67"/>
    <s v="Medium"/>
    <n v="0.23499999999999999"/>
    <s v="Valid"/>
    <n v="0.23499999999999999"/>
    <n v="28"/>
    <n v="34800.431400000001"/>
    <n v="26103.279999999999"/>
    <n v="8697.1514000000025"/>
    <n v="0.24991504559337163"/>
    <n v="0"/>
    <n v="1"/>
  </r>
  <r>
    <s v="ORD-2024-732543"/>
    <d v="2024-10-24T00:00:00"/>
    <x v="1"/>
    <s v="Q4-2024"/>
    <d v="2024-10-28T00:00:00"/>
    <s v="Valid"/>
    <n v="4"/>
    <d v="2024-10-28T00:00:00"/>
    <x v="1"/>
    <s v="Asia → China → Shanghai"/>
    <s v="China-2024-10"/>
    <s v="China"/>
    <s v="Shanghai"/>
    <s v="Small Business"/>
    <s v="Distributor"/>
    <x v="2"/>
    <s v="Networking"/>
    <s v="NET-3728"/>
    <n v="1331.77"/>
    <n v="2606.11"/>
    <s v="Valid"/>
    <n v="2606.11"/>
    <s v="High"/>
    <n v="0.02"/>
    <s v="Valid"/>
    <n v="0.02"/>
    <n v="6"/>
    <n v="15323.926799999999"/>
    <n v="7990.62"/>
    <n v="7333.3067999999994"/>
    <n v="0.47855271665745619"/>
    <n v="1"/>
    <n v="0"/>
  </r>
  <r>
    <s v="ORD-2023-867166"/>
    <d v="2023-04-13T00:00:00"/>
    <x v="12"/>
    <s v="Q2-2023"/>
    <d v="2023-04-20T00:00:00"/>
    <s v="Valid"/>
    <n v="7"/>
    <d v="2023-04-20T00:00:00"/>
    <x v="3"/>
    <s v="Europe → France → Lyon"/>
    <s v="France-2023-04"/>
    <s v="France"/>
    <s v="Lyon"/>
    <s v="Small Business"/>
    <s v="Online"/>
    <x v="8"/>
    <s v="Laptops"/>
    <s v="LAP-3565"/>
    <n v="227.02"/>
    <n v="434.72"/>
    <s v="Valid"/>
    <n v="434.72"/>
    <s v="Low"/>
    <n v="9.8000000000000004E-2"/>
    <s v="Valid"/>
    <n v="9.8000000000000004E-2"/>
    <n v="10"/>
    <n v="3921.1744000000008"/>
    <n v="2270.2000000000003"/>
    <n v="1650.9744000000005"/>
    <n v="0.42104079838938052"/>
    <n v="1"/>
    <n v="0"/>
  </r>
  <r>
    <s v="ORD-2024-776337"/>
    <d v="2024-11-12T00:00:00"/>
    <x v="18"/>
    <s v="Q4-2024"/>
    <d v="2024-11-21T00:00:00"/>
    <s v="Valid"/>
    <n v="9"/>
    <d v="2024-11-21T00:00:00"/>
    <x v="1"/>
    <s v="Asia → India → Mumbai"/>
    <s v="India-2024-11"/>
    <s v="India"/>
    <s v="Mumbai"/>
    <s v="Corporate"/>
    <s v="Direct"/>
    <x v="10"/>
    <s v="Laptops"/>
    <s v="LAP-5078"/>
    <n v="903.41"/>
    <n v="1860.41"/>
    <s v="Valid"/>
    <n v="1860.41"/>
    <s v="Medium"/>
    <n v="0.108"/>
    <s v="Valid"/>
    <n v="0.108"/>
    <n v="5"/>
    <n v="8297.4286000000011"/>
    <n v="4517.05"/>
    <n v="3780.3786000000009"/>
    <n v="0.455608451996803"/>
    <n v="0"/>
    <n v="0"/>
  </r>
  <r>
    <s v="ORD-2023-913592"/>
    <d v="2023-05-10T00:00:00"/>
    <x v="15"/>
    <s v="Q2-2023"/>
    <d v="2023-05-14T00:00:00"/>
    <s v="Valid"/>
    <n v="4"/>
    <d v="2023-05-14T00:00:00"/>
    <x v="1"/>
    <s v="Asia → India → Delhi"/>
    <s v="India-2023-05"/>
    <s v="India"/>
    <s v="Delhi"/>
    <s v="Non-Profit"/>
    <s v="Distributor"/>
    <x v="0"/>
    <s v="Monitors"/>
    <s v="MON-2465"/>
    <n v="622.6"/>
    <n v="833.69"/>
    <s v="Valid"/>
    <n v="833.69"/>
    <s v="Medium"/>
    <n v="0.20899999999999999"/>
    <s v="Valid"/>
    <n v="0.20899999999999999"/>
    <n v="14"/>
    <n v="9232.2830599999998"/>
    <n v="8716.4"/>
    <n v="515.88306000000011"/>
    <n v="5.5878167582959715E-2"/>
    <n v="1"/>
    <n v="1"/>
  </r>
  <r>
    <s v="ORD-2024-961501"/>
    <d v="2024-03-02T00:00:00"/>
    <x v="0"/>
    <s v="Q1-2024"/>
    <d v="2024-03-23T00:00:00"/>
    <s v="Valid"/>
    <n v="21"/>
    <d v="2024-03-23T00:00:00"/>
    <x v="2"/>
    <s v="Americas → USA → Chicago"/>
    <s v="USA-2024-03"/>
    <s v="USA"/>
    <s v="Chicago"/>
    <s v="Small Business"/>
    <s v="Online"/>
    <x v="9"/>
    <s v="Components"/>
    <s v="CMP-3223"/>
    <n v="225.01"/>
    <n v="333.48"/>
    <s v="Valid"/>
    <n v="333.48"/>
    <s v="Low"/>
    <n v="0.11899999999999999"/>
    <s v="Valid"/>
    <n v="0.11899999999999999"/>
    <n v="12"/>
    <n v="3525.5505600000001"/>
    <n v="2700.12"/>
    <n v="825.43056000000024"/>
    <n v="0.23412813004729685"/>
    <n v="0"/>
    <n v="0"/>
  </r>
  <r>
    <s v="ORD-2024-964950"/>
    <d v="2024-10-10T00:00:00"/>
    <x v="1"/>
    <s v="Q4-2024"/>
    <d v="2024-10-11T00:00:00"/>
    <s v="Valid"/>
    <n v="1"/>
    <d v="2024-10-11T00:00:00"/>
    <x v="3"/>
    <s v="Europe → United Kingdom → Manchester"/>
    <s v="United Kingdom-2024-10"/>
    <s v="United Kingdom"/>
    <s v="Manchester"/>
    <s v="Non-Profit"/>
    <s v="Distributor"/>
    <x v="4"/>
    <s v="Components"/>
    <s v="CMP-8127"/>
    <n v="1389.46"/>
    <n v="1784.7"/>
    <s v="Valid"/>
    <n v="1784.7"/>
    <s v="Medium"/>
    <n v="0.14599999999999999"/>
    <s v="Valid"/>
    <n v="0.14599999999999999"/>
    <n v="33"/>
    <n v="50296.415399999998"/>
    <n v="45852.18"/>
    <n v="4444.2353999999978"/>
    <n v="8.8360877503011831E-2"/>
    <n v="1"/>
    <n v="0"/>
  </r>
  <r>
    <s v="ORD-2023-349264"/>
    <d v="2023-06-01T00:00:00"/>
    <x v="23"/>
    <s v="Q2-2023"/>
    <d v="2023-06-08T00:00:00"/>
    <s v="Valid"/>
    <n v="7"/>
    <d v="2023-06-08T00:00:00"/>
    <x v="3"/>
    <s v="Europe → Germany → Frankfurt"/>
    <s v="Germany-2023-06"/>
    <s v="Germany"/>
    <s v="Frankfurt"/>
    <s v="Consumer"/>
    <s v="Online"/>
    <x v="8"/>
    <s v="Phones"/>
    <s v="PHN-1924"/>
    <n v="804.17"/>
    <n v="1072.29"/>
    <s v="Valid"/>
    <n v="1072.29"/>
    <s v="Medium"/>
    <n v="3.2000000000000001E-2"/>
    <s v="Valid"/>
    <n v="3.2000000000000001E-2"/>
    <n v="5"/>
    <n v="5189.8836000000001"/>
    <n v="4020.85"/>
    <n v="1169.0336000000002"/>
    <n v="0.2252523736755869"/>
    <n v="1"/>
    <n v="0"/>
  </r>
  <r>
    <s v="ORD-2025-137394"/>
    <d v="2025-01-04T00:00:00"/>
    <x v="10"/>
    <s v="Q1-2025"/>
    <d v="2025-01-05T00:00:00"/>
    <s v="Valid"/>
    <n v="1"/>
    <d v="2025-01-05T00:00:00"/>
    <x v="1"/>
    <s v="Asia → India → Delhi"/>
    <s v="India-2025-01"/>
    <s v="India"/>
    <s v="Delhi"/>
    <s v="Education"/>
    <s v="Retail"/>
    <x v="2"/>
    <s v="Components"/>
    <s v="CMP-1156"/>
    <n v="1428.33"/>
    <n v="3028.05"/>
    <s v="Valid"/>
    <n v="3028.05"/>
    <s v="High"/>
    <n v="0"/>
    <s v="Valid"/>
    <n v="0"/>
    <n v="11"/>
    <n v="33308.550000000003"/>
    <n v="15711.63"/>
    <n v="17596.920000000006"/>
    <n v="0.52830039134096207"/>
    <n v="1"/>
    <n v="0"/>
  </r>
  <r>
    <s v="ORD-2025-635337"/>
    <d v="2025-08-05T00:00:00"/>
    <x v="28"/>
    <s v="Q3-2025"/>
    <d v="2025-08-28T00:00:00"/>
    <s v="Valid"/>
    <n v="23"/>
    <d v="2025-08-28T00:00:00"/>
    <x v="1"/>
    <s v="Asia → India → Mumbai"/>
    <s v="India-2025-08"/>
    <s v="India"/>
    <s v="Mumbai"/>
    <s v="Non-Profit"/>
    <s v="Distributor"/>
    <x v="13"/>
    <s v="Laptops"/>
    <s v="LAP-3905"/>
    <n v="638.54"/>
    <n v="987.24"/>
    <s v="Valid"/>
    <n v="987.24"/>
    <s v="Medium"/>
    <n v="0"/>
    <s v="Valid"/>
    <n v="0"/>
    <n v="11"/>
    <n v="10859.64"/>
    <n v="7023.94"/>
    <n v="3835.7"/>
    <n v="0.35320692030306716"/>
    <n v="0"/>
    <n v="0"/>
  </r>
  <r>
    <s v="ORD-2023-568013"/>
    <d v="2023-09-30T00:00:00"/>
    <x v="27"/>
    <s v="Q3-2023"/>
    <d v="2023-10-30T00:00:00"/>
    <s v="Valid"/>
    <n v="30"/>
    <d v="2023-10-30T00:00:00"/>
    <x v="1"/>
    <s v="Asia → Japan → Tokyo"/>
    <s v="Japan-2023-09"/>
    <s v="Japan"/>
    <s v="Tokyo"/>
    <s v="Enterprise"/>
    <s v="Online"/>
    <x v="14"/>
    <s v="Printers"/>
    <s v="PRN-1786"/>
    <n v="649.13"/>
    <n v="975.43"/>
    <s v="Valid"/>
    <n v="975.43"/>
    <s v="Medium"/>
    <n v="0.157"/>
    <s v="Valid"/>
    <n v="0.157"/>
    <n v="27"/>
    <n v="22201.762229999997"/>
    <n v="17526.509999999998"/>
    <n v="4675.2522299999982"/>
    <n v="0.21058023149543473"/>
    <n v="0"/>
    <n v="0"/>
  </r>
  <r>
    <s v="ORD-2025-828263"/>
    <d v="2025-05-17T00:00:00"/>
    <x v="8"/>
    <s v="Q2-2025"/>
    <d v="2025-05-30T00:00:00"/>
    <s v="Valid"/>
    <n v="13"/>
    <d v="2025-05-30T00:00:00"/>
    <x v="0"/>
    <s v="Africa → Nigeria → Lagos"/>
    <s v="Nigeria-2025-05"/>
    <s v="Nigeria"/>
    <s v="Lagos"/>
    <s v="Consumer"/>
    <s v="Distributor"/>
    <x v="9"/>
    <s v="Accessories"/>
    <s v="ACC-3349"/>
    <n v="66.400000000000006"/>
    <n v="141.43"/>
    <s v="Valid"/>
    <n v="141.43"/>
    <s v="Low"/>
    <n v="0.107"/>
    <s v="Valid"/>
    <n v="0.107"/>
    <n v="8"/>
    <n v="1010.3759200000001"/>
    <n v="531.20000000000005"/>
    <n v="479.17592000000002"/>
    <n v="0.47425508715607551"/>
    <n v="0"/>
    <n v="0"/>
  </r>
  <r>
    <s v="ORD-2024-402240"/>
    <d v="2024-05-01T00:00:00"/>
    <x v="7"/>
    <s v="Q2-2024"/>
    <d v="2024-05-26T00:00:00"/>
    <s v="Valid"/>
    <n v="25"/>
    <d v="2024-05-26T00:00:00"/>
    <x v="3"/>
    <s v="Europe → Germany → Berlin"/>
    <s v="Germany-2024-05"/>
    <s v="Germany"/>
    <s v="Berlin"/>
    <s v="Non-Profit"/>
    <s v="Retail"/>
    <x v="5"/>
    <s v="Networking"/>
    <s v="NET-4228"/>
    <n v="930.71"/>
    <n v="1625.42"/>
    <s v="Valid"/>
    <n v="1625.42"/>
    <s v="Medium"/>
    <n v="0.13800000000000001"/>
    <s v="Valid"/>
    <n v="0.13800000000000001"/>
    <n v="7"/>
    <n v="9807.7842799999999"/>
    <n v="6514.97"/>
    <n v="3292.8142799999996"/>
    <n v="0.33573477821231196"/>
    <n v="0"/>
    <n v="0"/>
  </r>
  <r>
    <s v="ORD-2023-125739"/>
    <d v="2023-05-01T00:00:00"/>
    <x v="15"/>
    <s v="Q2-2023"/>
    <d v="2023-05-18T00:00:00"/>
    <s v="Valid"/>
    <n v="17"/>
    <d v="2023-05-18T00:00:00"/>
    <x v="0"/>
    <s v="Africa → Nigeria → Port Harcourt"/>
    <s v="Nigeria-2023-05"/>
    <s v="Nigeria"/>
    <s v="Port Harcourt"/>
    <s v="Corporate"/>
    <s v="Direct"/>
    <x v="9"/>
    <s v="Components"/>
    <s v="CMP-5633"/>
    <n v="327.97"/>
    <n v="299.94"/>
    <s v="Valid"/>
    <n v="299.94"/>
    <s v="Low"/>
    <n v="4.9000000000000002E-2"/>
    <s v="Valid"/>
    <n v="4.9000000000000002E-2"/>
    <n v="3"/>
    <n v="855.72881999999993"/>
    <n v="983.91000000000008"/>
    <n v="-128.18118000000015"/>
    <n v="-0.14979182306843442"/>
    <n v="0"/>
    <n v="0"/>
  </r>
  <r>
    <s v="ORD-2024-892879"/>
    <d v="2024-07-09T00:00:00"/>
    <x v="14"/>
    <s v="Q3-2024"/>
    <d v="2024-08-08T00:00:00"/>
    <s v="Valid"/>
    <n v="30"/>
    <d v="2024-08-08T00:00:00"/>
    <x v="3"/>
    <s v="Europe → France → Marseille"/>
    <s v="France-2024-07"/>
    <s v="France"/>
    <s v="Marseille"/>
    <s v="Corporate"/>
    <s v="Direct"/>
    <x v="1"/>
    <s v="Components"/>
    <s v="CMP-5825"/>
    <n v="1062.3800000000001"/>
    <n v="1503.96"/>
    <s v="Valid"/>
    <n v="1503.96"/>
    <s v="Medium"/>
    <n v="0.18"/>
    <s v="Valid"/>
    <n v="0.18"/>
    <n v="6"/>
    <n v="7399.4832000000006"/>
    <n v="6374.2800000000007"/>
    <n v="1025.2031999999999"/>
    <n v="0.13855064905073369"/>
    <n v="0"/>
    <n v="0"/>
  </r>
  <r>
    <s v="ORD-2023-472050"/>
    <d v="2023-05-10T00:00:00"/>
    <x v="15"/>
    <s v="Q2-2023"/>
    <d v="2023-05-27T00:00:00"/>
    <s v="Valid"/>
    <n v="17"/>
    <d v="2023-05-27T00:00:00"/>
    <x v="1"/>
    <s v="Asia → India → Mumbai"/>
    <s v="India-2023-05"/>
    <s v="India"/>
    <s v="Mumbai"/>
    <s v="Consumer"/>
    <s v="Retail"/>
    <x v="12"/>
    <s v="Laptops"/>
    <s v="LAP-6499"/>
    <n v="1286.1600000000001"/>
    <n v="3101.11"/>
    <s v="Valid"/>
    <n v="3101.11"/>
    <s v="High"/>
    <n v="0.1"/>
    <s v="Valid"/>
    <n v="0.1"/>
    <n v="23"/>
    <n v="64192.976999999999"/>
    <n v="29581.68"/>
    <n v="34611.296999999999"/>
    <n v="0.53917575749758417"/>
    <n v="0"/>
    <n v="0"/>
  </r>
  <r>
    <s v="ORD-2024-468615"/>
    <d v="2024-07-09T00:00:00"/>
    <x v="14"/>
    <s v="Q3-2024"/>
    <d v="2024-07-12T00:00:00"/>
    <s v="Valid"/>
    <n v="3"/>
    <d v="2024-07-12T00:00:00"/>
    <x v="1"/>
    <s v="Asia → China → Shanghai"/>
    <s v="China-2024-07"/>
    <s v="China"/>
    <s v="Shanghai"/>
    <s v="Small Business"/>
    <s v="Retail"/>
    <x v="14"/>
    <s v="Accessories"/>
    <s v="ACC-3721"/>
    <n v="748.39"/>
    <n v="979.42"/>
    <s v="Valid"/>
    <n v="979.42"/>
    <s v="Medium"/>
    <n v="0"/>
    <s v="Valid"/>
    <n v="0"/>
    <n v="23"/>
    <n v="22526.66"/>
    <n v="17212.97"/>
    <n v="5313.6899999999987"/>
    <n v="0.23588450307324738"/>
    <n v="1"/>
    <n v="0"/>
  </r>
  <r>
    <s v="ORD-2024-833375"/>
    <d v="2024-04-24T00:00:00"/>
    <x v="20"/>
    <s v="Q2-2024"/>
    <d v="2024-05-10T00:00:00"/>
    <s v="Valid"/>
    <n v="16"/>
    <d v="2024-05-10T00:00:00"/>
    <x v="0"/>
    <s v="Africa → Kenya → Kisumu"/>
    <s v="Kenya-2024-04"/>
    <s v="Kenya"/>
    <s v="Kisumu"/>
    <s v="Non-Profit"/>
    <s v="Online"/>
    <x v="13"/>
    <s v="Monitors"/>
    <s v="MON-6190"/>
    <n v="513.30999999999995"/>
    <n v="1186.26"/>
    <s v="Valid"/>
    <n v="1186.26"/>
    <s v="Medium"/>
    <n v="9.4E-2"/>
    <s v="Valid"/>
    <n v="9.4E-2"/>
    <n v="15"/>
    <n v="16121.273400000002"/>
    <n v="7699.65"/>
    <n v="8421.6234000000022"/>
    <n v="0.52239194702820446"/>
    <n v="0"/>
    <n v="0"/>
  </r>
  <r>
    <s v="ORD-2024-206311"/>
    <d v="2024-01-13T00:00:00"/>
    <x v="9"/>
    <s v="Q1-2024"/>
    <d v="2024-01-15T00:00:00"/>
    <s v="Valid"/>
    <n v="2"/>
    <d v="2024-01-15T00:00:00"/>
    <x v="2"/>
    <s v="Americas → USA → San Francisco"/>
    <s v="USA-2024-01"/>
    <s v="USA"/>
    <s v="San Francisco"/>
    <s v="Non-Profit"/>
    <s v="Direct"/>
    <x v="6"/>
    <s v="Components"/>
    <s v="CMP-2410"/>
    <n v="1061.3699999999999"/>
    <n v="1938.33"/>
    <s v="Valid"/>
    <n v="1938.33"/>
    <s v="High"/>
    <n v="0.17"/>
    <s v="Valid"/>
    <n v="0.17"/>
    <n v="4"/>
    <n v="6435.2555999999995"/>
    <n v="4245.4799999999996"/>
    <n v="2189.7755999999999"/>
    <n v="0.34027795259600879"/>
    <n v="1"/>
    <n v="0"/>
  </r>
  <r>
    <s v="ORD-2024-364080"/>
    <d v="2024-04-16T00:00:00"/>
    <x v="20"/>
    <s v="Q2-2024"/>
    <d v="2024-04-27T00:00:00"/>
    <s v="Valid"/>
    <n v="11"/>
    <d v="2024-04-27T00:00:00"/>
    <x v="0"/>
    <s v="Africa → Kenya → Nakuru"/>
    <s v="Kenya-2024-04"/>
    <s v="Kenya"/>
    <s v="Nakuru"/>
    <s v="Enterprise"/>
    <s v="Online"/>
    <x v="14"/>
    <s v="Printers"/>
    <s v="PRN-2641"/>
    <n v="401.3"/>
    <n v="826.47"/>
    <s v="Valid"/>
    <n v="826.47"/>
    <s v="Medium"/>
    <n v="0.22500000000000001"/>
    <s v="Valid"/>
    <n v="0.22500000000000001"/>
    <n v="13"/>
    <n v="8326.6852500000005"/>
    <n v="5216.9000000000005"/>
    <n v="3109.7852499999999"/>
    <n v="0.37347217489696755"/>
    <n v="0"/>
    <n v="1"/>
  </r>
  <r>
    <s v="ORD-2025-460466"/>
    <d v="2025-02-07T00:00:00"/>
    <x v="26"/>
    <s v="Q1-2025"/>
    <d v="2025-02-16T00:00:00"/>
    <s v="Valid"/>
    <n v="9"/>
    <d v="2025-02-16T00:00:00"/>
    <x v="0"/>
    <s v="Africa → Nigeria → Lagos"/>
    <s v="Nigeria-2025-02"/>
    <s v="Nigeria"/>
    <s v="Lagos"/>
    <s v="Small Business"/>
    <s v="Distributor"/>
    <x v="0"/>
    <s v="Printers"/>
    <s v="PRN-1882"/>
    <n v="90.68"/>
    <n v="118.17"/>
    <s v="Valid"/>
    <n v="118.17"/>
    <s v="Low"/>
    <n v="0.13500000000000001"/>
    <s v="Valid"/>
    <n v="0.13500000000000001"/>
    <n v="21"/>
    <n v="2146.5580500000001"/>
    <n v="1904.2800000000002"/>
    <n v="242.27804999999989"/>
    <n v="0.11286815653552899"/>
    <n v="0"/>
    <n v="0"/>
  </r>
  <r>
    <s v="ORD-2023-700699"/>
    <d v="2023-01-12T00:00:00"/>
    <x v="5"/>
    <s v="Q1-2023"/>
    <d v="2023-01-26T00:00:00"/>
    <s v="Valid"/>
    <n v="14"/>
    <d v="2023-01-26T00:00:00"/>
    <x v="1"/>
    <s v="Asia → China → Shenzhen"/>
    <s v="China-2023-01"/>
    <s v="China"/>
    <s v="Shenzhen"/>
    <s v="Non-Profit"/>
    <s v="Retail"/>
    <x v="12"/>
    <s v="Printers"/>
    <s v="PRN-1641"/>
    <n v="1083.0899999999999"/>
    <n v="1425.87"/>
    <s v="Valid"/>
    <n v="1425.87"/>
    <s v="Medium"/>
    <n v="0"/>
    <s v="Valid"/>
    <n v="0"/>
    <n v="8"/>
    <n v="11406.96"/>
    <n v="8664.7199999999993"/>
    <n v="2742.24"/>
    <n v="0.24040059752992909"/>
    <n v="0"/>
    <n v="0"/>
  </r>
  <r>
    <s v="ORD-2024-713332"/>
    <d v="2024-06-05T00:00:00"/>
    <x v="17"/>
    <s v="Q2-2024"/>
    <d v="2024-06-23T00:00:00"/>
    <s v="Valid"/>
    <n v="18"/>
    <d v="2024-06-23T00:00:00"/>
    <x v="0"/>
    <s v="Africa → Kenya → Nairobi"/>
    <s v="Kenya-2024-06"/>
    <s v="Kenya"/>
    <s v="Nairobi"/>
    <s v="Consumer"/>
    <s v="Distributor"/>
    <x v="14"/>
    <s v="Laptops"/>
    <s v="LAP-1739"/>
    <n v="1208.74"/>
    <n v="1594.78"/>
    <s v="Valid"/>
    <n v="1594.78"/>
    <s v="Medium"/>
    <n v="5.8999999999999997E-2"/>
    <s v="Valid"/>
    <n v="5.8999999999999997E-2"/>
    <n v="39"/>
    <n v="58526.83122"/>
    <n v="47140.86"/>
    <n v="11385.971219999999"/>
    <n v="0.1945427589817838"/>
    <n v="0"/>
    <n v="0"/>
  </r>
  <r>
    <s v="ORD-2023-640022"/>
    <d v="2023-08-24T00:00:00"/>
    <x v="25"/>
    <s v="Q3-2023"/>
    <d v="2023-09-20T00:00:00"/>
    <s v="Valid"/>
    <n v="27"/>
    <d v="2023-09-20T00:00:00"/>
    <x v="0"/>
    <s v="Africa → South Africa → Durban"/>
    <s v="South Africa-2023-08"/>
    <s v="South Africa"/>
    <s v="Durban"/>
    <s v="Small Business"/>
    <s v="Marketplace"/>
    <x v="12"/>
    <s v="Printers"/>
    <s v="PRN-4732"/>
    <n v="1399.64"/>
    <n v="3342.11"/>
    <s v="Valid"/>
    <n v="3342.11"/>
    <s v="High"/>
    <n v="0"/>
    <s v="Valid"/>
    <n v="0"/>
    <n v="10"/>
    <n v="33421.1"/>
    <n v="13996.400000000001"/>
    <n v="19424.699999999997"/>
    <n v="0.58121067229983447"/>
    <n v="0"/>
    <n v="0"/>
  </r>
  <r>
    <s v="ORD-2024-532184"/>
    <d v="2024-01-25T00:00:00"/>
    <x v="9"/>
    <s v="Q1-2024"/>
    <d v="2024-02-08T00:00:00"/>
    <s v="Valid"/>
    <n v="14"/>
    <d v="2024-02-08T00:00:00"/>
    <x v="1"/>
    <s v="Asia → Japan → Osaka"/>
    <s v="Japan-2024-01"/>
    <s v="Japan"/>
    <s v="Osaka"/>
    <s v="Consumer"/>
    <s v="Marketplace"/>
    <x v="2"/>
    <s v="Networking"/>
    <s v="NET-9569"/>
    <n v="937.16"/>
    <n v="1069.77"/>
    <s v="Valid"/>
    <n v="1069.77"/>
    <s v="Medium"/>
    <n v="3.7999999999999999E-2"/>
    <s v="Valid"/>
    <n v="3.7999999999999999E-2"/>
    <n v="9"/>
    <n v="9262.0686600000008"/>
    <n v="8434.44"/>
    <n v="827.62866000000031"/>
    <n v="8.9356783066645962E-2"/>
    <n v="0"/>
    <n v="0"/>
  </r>
  <r>
    <s v="ORD-2025-926547"/>
    <d v="2025-03-11T00:00:00"/>
    <x v="3"/>
    <s v="Q1-2025"/>
    <d v="2025-03-26T00:00:00"/>
    <s v="Valid"/>
    <n v="15"/>
    <d v="2025-03-26T00:00:00"/>
    <x v="3"/>
    <s v="Europe → Germany → Berlin"/>
    <s v="Germany-2025-03"/>
    <s v="Germany"/>
    <s v="Berlin"/>
    <s v="Small Business"/>
    <s v="Online"/>
    <x v="2"/>
    <s v="Phones"/>
    <s v="PHN-3007"/>
    <n v="116.97"/>
    <n v="140.82"/>
    <s v="Valid"/>
    <n v="140.82"/>
    <s v="Low"/>
    <n v="0.122"/>
    <s v="Valid"/>
    <n v="0.122"/>
    <n v="5"/>
    <n v="618.19979999999987"/>
    <n v="584.85"/>
    <n v="33.349799999999846"/>
    <n v="5.3946636669891926E-2"/>
    <n v="0"/>
    <n v="0"/>
  </r>
  <r>
    <s v="ORD-2025-778145"/>
    <d v="2025-04-22T00:00:00"/>
    <x v="19"/>
    <s v="Q2-2025"/>
    <d v="2025-05-12T00:00:00"/>
    <s v="Valid"/>
    <n v="20"/>
    <d v="2025-05-12T00:00:00"/>
    <x v="3"/>
    <s v="Europe → France → Lyon"/>
    <s v="France-2025-04"/>
    <s v="France"/>
    <s v="Lyon"/>
    <s v="Enterprise"/>
    <s v="Marketplace"/>
    <x v="11"/>
    <s v="Monitors"/>
    <s v="MON-9216"/>
    <n v="59.51"/>
    <n v="67.040000000000006"/>
    <s v="Valid"/>
    <n v="67.040000000000006"/>
    <s v="Low"/>
    <n v="0.114"/>
    <s v="Valid"/>
    <n v="0.114"/>
    <n v="9"/>
    <n v="534.57695999999999"/>
    <n v="535.59"/>
    <n v="-1.0130400000000463"/>
    <n v="-1.8950311663264469E-3"/>
    <n v="0"/>
    <n v="0"/>
  </r>
  <r>
    <s v="ORD-2023-525643"/>
    <d v="2023-08-17T00:00:00"/>
    <x v="25"/>
    <s v="Q3-2023"/>
    <d v="2023-09-03T00:00:00"/>
    <s v="Valid"/>
    <n v="17"/>
    <d v="2023-09-03T00:00:00"/>
    <x v="0"/>
    <s v="Africa → South Africa → Durban"/>
    <s v="South Africa-2023-08"/>
    <s v="South Africa"/>
    <s v="Durban"/>
    <s v="Enterprise"/>
    <s v="Retail"/>
    <x v="8"/>
    <s v="Phones"/>
    <s v="PHN-8072"/>
    <n v="676.37"/>
    <n v="1276.67"/>
    <s v="Valid"/>
    <n v="1276.67"/>
    <s v="Medium"/>
    <n v="6.6000000000000003E-2"/>
    <s v="Valid"/>
    <n v="6.6000000000000003E-2"/>
    <n v="10"/>
    <n v="11924.0978"/>
    <n v="6763.7"/>
    <n v="5160.3977999999997"/>
    <n v="0.4327705027712872"/>
    <n v="0"/>
    <n v="0"/>
  </r>
  <r>
    <s v="ORD-2025-312803"/>
    <d v="2025-06-24T00:00:00"/>
    <x v="16"/>
    <s v="Q2-2025"/>
    <d v="2025-07-14T00:00:00"/>
    <s v="Valid"/>
    <n v="20"/>
    <d v="2025-07-14T00:00:00"/>
    <x v="0"/>
    <s v="Africa → South Africa → Johannesburg"/>
    <s v="South Africa-2025-06"/>
    <s v="South Africa"/>
    <s v="Johannesburg"/>
    <s v="Enterprise"/>
    <s v="Marketplace"/>
    <x v="1"/>
    <s v="Laptops"/>
    <s v="LAP-1308"/>
    <n v="1151.06"/>
    <n v="2821.36"/>
    <s v="Valid"/>
    <n v="2821.36"/>
    <s v="High"/>
    <n v="0.248"/>
    <s v="Valid"/>
    <n v="0.248"/>
    <n v="20"/>
    <n v="42433.254400000005"/>
    <n v="23021.199999999997"/>
    <n v="19412.054400000008"/>
    <n v="0.45747267501594235"/>
    <n v="0"/>
    <n v="1"/>
  </r>
  <r>
    <s v="ORD-2025-149156"/>
    <d v="2025-01-10T00:00:00"/>
    <x v="10"/>
    <s v="Q1-2025"/>
    <d v="2025-02-06T00:00:00"/>
    <s v="Valid"/>
    <n v="27"/>
    <d v="2025-02-06T00:00:00"/>
    <x v="2"/>
    <s v="Americas → Brazil → Brasília"/>
    <s v="Brazil-2025-01"/>
    <s v="Brazil"/>
    <s v="Brasília"/>
    <s v="Non-Profit"/>
    <s v="Retail"/>
    <x v="5"/>
    <s v="Laptops"/>
    <s v="LAP-7353"/>
    <n v="725.62"/>
    <n v="1559.19"/>
    <s v="Valid"/>
    <n v="1559.19"/>
    <s v="Medium"/>
    <n v="0.19"/>
    <s v="Valid"/>
    <n v="0.19"/>
    <n v="12"/>
    <n v="15155.326800000001"/>
    <n v="8707.44"/>
    <n v="6447.8868000000002"/>
    <n v="0.42545349797405885"/>
    <n v="0"/>
    <n v="0"/>
  </r>
  <r>
    <s v="ORD-2023-215819"/>
    <d v="2023-07-01T00:00:00"/>
    <x v="24"/>
    <s v="Q3-2023"/>
    <d v="2023-07-11T00:00:00"/>
    <s v="Valid"/>
    <n v="10"/>
    <d v="2023-07-11T00:00:00"/>
    <x v="3"/>
    <s v="Europe → France → Paris"/>
    <s v="France-2023-07"/>
    <s v="France"/>
    <s v="Paris"/>
    <s v="Corporate"/>
    <s v="Direct"/>
    <x v="9"/>
    <s v="Networking"/>
    <s v="NET-6533"/>
    <n v="479.5"/>
    <n v="656.66"/>
    <s v="Valid"/>
    <n v="656.66"/>
    <s v="Medium"/>
    <n v="0.14899999999999999"/>
    <s v="Valid"/>
    <n v="0.14899999999999999"/>
    <n v="14"/>
    <n v="7823.4472399999995"/>
    <n v="6713"/>
    <n v="1110.4472399999995"/>
    <n v="0.14193835606412289"/>
    <n v="0"/>
    <n v="0"/>
  </r>
  <r>
    <s v="ORD-2024-353078"/>
    <d v="2024-08-16T00:00:00"/>
    <x v="21"/>
    <s v="Q3-2024"/>
    <d v="2024-08-26T00:00:00"/>
    <s v="Valid"/>
    <n v="10"/>
    <d v="2024-08-26T00:00:00"/>
    <x v="2"/>
    <s v="Americas → USA → Chicago"/>
    <s v="USA-2024-08"/>
    <s v="USA"/>
    <s v="Chicago"/>
    <s v="Corporate"/>
    <s v="Distributor"/>
    <x v="4"/>
    <s v="Laptops"/>
    <s v="LAP-5763"/>
    <n v="1291.7"/>
    <n v="2657.84"/>
    <s v="Valid"/>
    <n v="2657.84"/>
    <s v="High"/>
    <n v="8.6999999999999994E-2"/>
    <s v="Valid"/>
    <n v="8.6999999999999994E-2"/>
    <n v="21"/>
    <n v="50958.766320000002"/>
    <n v="27125.7"/>
    <n v="23833.066320000002"/>
    <n v="0.46769315745083367"/>
    <n v="0"/>
    <n v="0"/>
  </r>
  <r>
    <s v="ORD-2023-621393"/>
    <d v="2023-07-07T00:00:00"/>
    <x v="24"/>
    <s v="Q3-2023"/>
    <d v="2023-07-13T00:00:00"/>
    <s v="Valid"/>
    <n v="6"/>
    <d v="2023-07-13T00:00:00"/>
    <x v="0"/>
    <s v="Africa → South Africa → Cape Town"/>
    <s v="South Africa-2023-07"/>
    <s v="South Africa"/>
    <s v="Cape Town"/>
    <s v="Small Business"/>
    <s v="Marketplace"/>
    <x v="5"/>
    <s v="Accessories"/>
    <s v="ACC-9445"/>
    <n v="612.59"/>
    <n v="1424.74"/>
    <s v="Valid"/>
    <n v="1424.74"/>
    <s v="Medium"/>
    <n v="4.3999999999999997E-2"/>
    <s v="Valid"/>
    <n v="4.3999999999999997E-2"/>
    <n v="15"/>
    <n v="20430.771599999996"/>
    <n v="9188.85"/>
    <n v="11241.921599999996"/>
    <n v="0.55024459281802152"/>
    <n v="1"/>
    <n v="0"/>
  </r>
  <r>
    <s v="ORD-2023-974506"/>
    <d v="2023-12-28T00:00:00"/>
    <x v="4"/>
    <s v="Q4-2023"/>
    <d v="2024-01-01T00:00:00"/>
    <s v="Valid"/>
    <n v="4"/>
    <d v="2024-01-01T00:00:00"/>
    <x v="0"/>
    <s v="Africa → South Africa → Cape Town"/>
    <s v="South Africa-2023-12"/>
    <s v="South Africa"/>
    <s v="Cape Town"/>
    <s v="Education"/>
    <s v="Distributor"/>
    <x v="8"/>
    <s v="Printers"/>
    <s v="PRN-1654"/>
    <n v="1141.8"/>
    <n v="2318.7399999999998"/>
    <s v="Valid"/>
    <n v="2318.7399999999998"/>
    <s v="High"/>
    <n v="0.107"/>
    <s v="Valid"/>
    <n v="0.107"/>
    <n v="32"/>
    <n v="66260.314239999992"/>
    <n v="36537.599999999999"/>
    <n v="29722.714239999994"/>
    <n v="0.44857490612468304"/>
    <n v="1"/>
    <n v="0"/>
  </r>
  <r>
    <s v="ORD-2023-811823"/>
    <d v="2023-01-26T00:00:00"/>
    <x v="5"/>
    <s v="Q1-2023"/>
    <d v="2023-02-15T00:00:00"/>
    <s v="Valid"/>
    <n v="20"/>
    <d v="2023-02-15T00:00:00"/>
    <x v="3"/>
    <s v="Europe → Germany → Berlin"/>
    <s v="Germany-2023-01"/>
    <s v="Germany"/>
    <s v="Berlin"/>
    <s v="Small Business"/>
    <s v="Online"/>
    <x v="7"/>
    <s v="Networking"/>
    <s v="NET-8787"/>
    <n v="492.62"/>
    <n v="366.7"/>
    <s v="Valid"/>
    <n v="366.7"/>
    <s v="Low"/>
    <n v="8.8999999999999996E-2"/>
    <s v="Valid"/>
    <n v="8.8999999999999996E-2"/>
    <n v="10"/>
    <n v="3340.6370000000002"/>
    <n v="4926.2"/>
    <n v="-1585.5629999999996"/>
    <n v="-0.47462894052840809"/>
    <n v="0"/>
    <n v="0"/>
  </r>
  <r>
    <s v="ORD-2023-286720"/>
    <d v="2023-07-08T00:00:00"/>
    <x v="24"/>
    <s v="Q3-2023"/>
    <d v="2023-07-09T00:00:00"/>
    <s v="Valid"/>
    <n v="1"/>
    <d v="2023-07-09T00:00:00"/>
    <x v="0"/>
    <s v="Africa → Kenya → Nairobi"/>
    <s v="Kenya-2023-07"/>
    <s v="Kenya"/>
    <s v="Nairobi"/>
    <s v="Consumer"/>
    <s v="Online"/>
    <x v="14"/>
    <s v="Laptops"/>
    <s v="LAP-1989"/>
    <n v="1258.72"/>
    <n v="2797.41"/>
    <s v="Valid"/>
    <n v="2797.41"/>
    <s v="High"/>
    <n v="0"/>
    <s v="Valid"/>
    <n v="0"/>
    <n v="7"/>
    <n v="19581.87"/>
    <n v="8811.0400000000009"/>
    <n v="10770.829999999998"/>
    <n v="0.55004093071805704"/>
    <n v="1"/>
    <n v="0"/>
  </r>
  <r>
    <s v="ORD-2024-626925"/>
    <d v="2024-06-07T00:00:00"/>
    <x v="17"/>
    <s v="Q2-2024"/>
    <d v="2024-06-09T00:00:00"/>
    <s v="Valid"/>
    <n v="2"/>
    <d v="2024-06-09T00:00:00"/>
    <x v="1"/>
    <s v="Asia → China → Shanghai"/>
    <s v="China-2024-06"/>
    <s v="China"/>
    <s v="Shanghai"/>
    <s v="Corporate"/>
    <s v="Retail"/>
    <x v="7"/>
    <s v="Monitors"/>
    <s v="MON-8688"/>
    <n v="1370.28"/>
    <n v="2209.66"/>
    <s v="Valid"/>
    <n v="2209.66"/>
    <s v="High"/>
    <n v="0.13300000000000001"/>
    <s v="Valid"/>
    <n v="0.13300000000000001"/>
    <n v="16"/>
    <n v="30652.403519999996"/>
    <n v="21924.48"/>
    <n v="8727.9235199999966"/>
    <n v="0.28473863442079589"/>
    <n v="1"/>
    <n v="0"/>
  </r>
  <r>
    <s v="ORD-2023-960380"/>
    <d v="2023-02-11T00:00:00"/>
    <x v="2"/>
    <s v="Q1-2023"/>
    <d v="2023-02-12T00:00:00"/>
    <s v="Valid"/>
    <n v="1"/>
    <d v="2023-02-12T00:00:00"/>
    <x v="0"/>
    <s v="Africa → Nigeria → Port Harcourt"/>
    <s v="Nigeria-2023-02"/>
    <s v="Nigeria"/>
    <s v="Port Harcourt"/>
    <s v="Non-Profit"/>
    <s v="Direct"/>
    <x v="14"/>
    <s v="Accessories"/>
    <s v="ACC-8242"/>
    <n v="944.61"/>
    <n v="839.04"/>
    <s v="Valid"/>
    <n v="839.04"/>
    <s v="Medium"/>
    <n v="5.8999999999999997E-2"/>
    <s v="Valid"/>
    <n v="5.8999999999999997E-2"/>
    <n v="6"/>
    <n v="4737.2198399999997"/>
    <n v="5667.66"/>
    <n v="-930.44016000000011"/>
    <n v="-0.19641059343363726"/>
    <n v="1"/>
    <n v="0"/>
  </r>
  <r>
    <s v="ORD-2023-453699"/>
    <d v="2023-07-01T00:00:00"/>
    <x v="24"/>
    <s v="Q3-2023"/>
    <d v="2023-07-08T00:00:00"/>
    <s v="Valid"/>
    <n v="7"/>
    <d v="2023-07-08T00:00:00"/>
    <x v="3"/>
    <s v="Europe → Germany → Frankfurt"/>
    <s v="Germany-2023-07"/>
    <s v="Germany"/>
    <s v="Frankfurt"/>
    <s v="Small Business"/>
    <s v="Distributor"/>
    <x v="13"/>
    <s v="Laptops"/>
    <s v="LAP-4666"/>
    <n v="460.21"/>
    <n v="1139.1500000000001"/>
    <s v="Valid"/>
    <n v="1139.1500000000001"/>
    <s v="Medium"/>
    <n v="0.115"/>
    <s v="Valid"/>
    <n v="0.115"/>
    <n v="14"/>
    <n v="14114.068500000001"/>
    <n v="6442.94"/>
    <n v="7671.1285000000016"/>
    <n v="0.54350937151821255"/>
    <n v="1"/>
    <n v="0"/>
  </r>
  <r>
    <s v="ORD-2025-960931"/>
    <d v="2025-08-20T00:00:00"/>
    <x v="28"/>
    <s v="Q3-2025"/>
    <d v="2025-08-26T00:00:00"/>
    <s v="Valid"/>
    <n v="6"/>
    <d v="2025-08-26T00:00:00"/>
    <x v="2"/>
    <s v="Americas → USA → New York"/>
    <s v="USA-2025-08"/>
    <s v="USA"/>
    <s v="New York"/>
    <s v="Corporate"/>
    <s v="Retail"/>
    <x v="12"/>
    <s v="Networking"/>
    <s v="NET-5196"/>
    <n v="1304.95"/>
    <n v="1712.03"/>
    <s v="Valid"/>
    <n v="1712.03"/>
    <s v="Medium"/>
    <n v="0.21199999999999999"/>
    <s v="Valid"/>
    <n v="0.21199999999999999"/>
    <n v="8"/>
    <n v="10792.637119999999"/>
    <n v="10439.6"/>
    <n v="353.03711999999905"/>
    <n v="3.2710922833287949E-2"/>
    <n v="1"/>
    <n v="1"/>
  </r>
  <r>
    <s v="ORD-2024-419248"/>
    <d v="2024-03-04T00:00:00"/>
    <x v="0"/>
    <s v="Q1-2024"/>
    <d v="2024-03-16T00:00:00"/>
    <s v="Valid"/>
    <n v="12"/>
    <d v="2024-03-16T00:00:00"/>
    <x v="0"/>
    <s v="Africa → South Africa → Johannesburg"/>
    <s v="South Africa-2024-03"/>
    <s v="South Africa"/>
    <s v="Johannesburg"/>
    <s v="Enterprise"/>
    <s v="Distributor"/>
    <x v="12"/>
    <s v="Monitors"/>
    <s v="MON-8422"/>
    <n v="441.08"/>
    <n v="1054.29"/>
    <s v="Valid"/>
    <n v="1054.29"/>
    <s v="Medium"/>
    <n v="0.23699999999999999"/>
    <s v="Valid"/>
    <n v="0.23699999999999999"/>
    <n v="6"/>
    <n v="4826.5396199999996"/>
    <n v="2646.48"/>
    <n v="2180.0596199999995"/>
    <n v="0.45168169985932899"/>
    <n v="0"/>
    <n v="1"/>
  </r>
  <r>
    <s v="ORD-2023-488227"/>
    <d v="2023-09-08T00:00:00"/>
    <x v="27"/>
    <s v="Q3-2023"/>
    <d v="2023-10-02T00:00:00"/>
    <s v="Valid"/>
    <n v="24"/>
    <d v="2023-10-02T00:00:00"/>
    <x v="2"/>
    <s v="Americas → Canada → Toronto"/>
    <s v="Canada-2023-09"/>
    <s v="Canada"/>
    <s v="Toronto"/>
    <s v="Education"/>
    <s v="Direct"/>
    <x v="8"/>
    <s v="Accessories"/>
    <s v="ACC-3415"/>
    <n v="1299.03"/>
    <n v="2451.2199999999998"/>
    <s v="Valid"/>
    <n v="2451.2199999999998"/>
    <s v="High"/>
    <n v="0.20799999999999999"/>
    <s v="Valid"/>
    <n v="0.20799999999999999"/>
    <n v="8"/>
    <n v="15530.929919999999"/>
    <n v="10392.24"/>
    <n v="5138.6899199999989"/>
    <n v="0.3308681416032041"/>
    <n v="0"/>
    <n v="1"/>
  </r>
  <r>
    <s v="ORD-2023-472078"/>
    <d v="2023-02-28T00:00:00"/>
    <x v="2"/>
    <s v="Q1-2023"/>
    <d v="2023-03-06T00:00:00"/>
    <s v="Valid"/>
    <n v="6"/>
    <d v="2023-03-06T00:00:00"/>
    <x v="3"/>
    <s v="Europe → Germany → Frankfurt"/>
    <s v="Germany-2023-02"/>
    <s v="Germany"/>
    <s v="Frankfurt"/>
    <s v="Small Business"/>
    <s v="Marketplace"/>
    <x v="14"/>
    <s v="Printers"/>
    <s v="PRN-9624"/>
    <n v="880.02"/>
    <n v="1251.21"/>
    <s v="Valid"/>
    <n v="1251.21"/>
    <s v="Medium"/>
    <n v="0.123"/>
    <s v="Valid"/>
    <n v="0.123"/>
    <n v="29"/>
    <n v="31822.023930000003"/>
    <n v="25520.579999999998"/>
    <n v="6301.4439300000049"/>
    <n v="0.19802146915172672"/>
    <n v="1"/>
    <n v="0"/>
  </r>
  <r>
    <s v="ORD-2024-202877"/>
    <d v="2024-07-13T00:00:00"/>
    <x v="14"/>
    <s v="Q3-2024"/>
    <d v="2024-08-03T00:00:00"/>
    <s v="Valid"/>
    <n v="21"/>
    <d v="2024-08-03T00:00:00"/>
    <x v="2"/>
    <s v="Americas → Brazil → Rio de Janeiro"/>
    <s v="Brazil-2024-07"/>
    <s v="Brazil"/>
    <s v="Rio de Janeiro"/>
    <s v="Corporate"/>
    <s v="Marketplace"/>
    <x v="12"/>
    <s v="Monitors"/>
    <s v="MON-6287"/>
    <n v="702.98"/>
    <n v="1104.8"/>
    <s v="Valid"/>
    <n v="1104.8"/>
    <s v="Medium"/>
    <n v="0.17499999999999999"/>
    <s v="Valid"/>
    <n v="0.17499999999999999"/>
    <n v="12"/>
    <n v="10937.519999999999"/>
    <n v="8435.76"/>
    <n v="2501.7599999999984"/>
    <n v="0.22873192460448061"/>
    <n v="0"/>
    <n v="0"/>
  </r>
  <r>
    <s v="ORD-2024-140633"/>
    <d v="2024-12-07T00:00:00"/>
    <x v="6"/>
    <s v="Q4-2024"/>
    <d v="2024-12-26T00:00:00"/>
    <s v="Valid"/>
    <n v="19"/>
    <d v="2024-12-26T00:00:00"/>
    <x v="3"/>
    <s v="Europe → United Kingdom → London"/>
    <s v="United Kingdom-2024-12"/>
    <s v="United Kingdom"/>
    <s v="London"/>
    <s v="Enterprise"/>
    <s v="Online"/>
    <x v="14"/>
    <s v="Networking"/>
    <s v="NET-4491"/>
    <n v="1035.24"/>
    <n v="2383.41"/>
    <s v="Valid"/>
    <n v="2383.41"/>
    <s v="High"/>
    <n v="0.17"/>
    <s v="Valid"/>
    <n v="0.17"/>
    <n v="15"/>
    <n v="29673.454499999993"/>
    <n v="15528.6"/>
    <n v="14144.854499999992"/>
    <n v="0.47668378145860962"/>
    <n v="0"/>
    <n v="0"/>
  </r>
  <r>
    <s v="ORD-2025-419532"/>
    <d v="2025-08-06T00:00:00"/>
    <x v="28"/>
    <s v="Q3-2025"/>
    <d v="2025-08-23T00:00:00"/>
    <s v="Valid"/>
    <n v="17"/>
    <d v="2025-08-23T00:00:00"/>
    <x v="2"/>
    <s v="Americas → Brazil → Brasília"/>
    <s v="Brazil-2025-08"/>
    <s v="Brazil"/>
    <s v="Brasília"/>
    <s v="Consumer"/>
    <s v="Distributor"/>
    <x v="8"/>
    <s v="Monitors"/>
    <s v="MON-4317"/>
    <n v="86.64"/>
    <n v="213.06"/>
    <s v="Valid"/>
    <n v="213.06"/>
    <s v="Low"/>
    <n v="0.21199999999999999"/>
    <s v="Valid"/>
    <n v="0.21199999999999999"/>
    <n v="11"/>
    <n v="1846.8040799999999"/>
    <n v="953.04"/>
    <n v="893.76407999999992"/>
    <n v="0.48395175735154322"/>
    <n v="0"/>
    <n v="1"/>
  </r>
  <r>
    <s v="ORD-2023-139236"/>
    <d v="2023-03-03T00:00:00"/>
    <x v="22"/>
    <s v="Q1-2023"/>
    <d v="2023-03-20T00:00:00"/>
    <s v="Valid"/>
    <n v="17"/>
    <d v="2023-03-20T00:00:00"/>
    <x v="1"/>
    <s v="Asia → Japan → Nagoya"/>
    <s v="Japan-2023-03"/>
    <s v="Japan"/>
    <s v="Nagoya"/>
    <s v="Small Business"/>
    <s v="Online"/>
    <x v="14"/>
    <s v="Networking"/>
    <s v="NET-7349"/>
    <n v="1171.17"/>
    <n v="2030.64"/>
    <s v="Valid"/>
    <n v="2030.64"/>
    <s v="High"/>
    <n v="0.157"/>
    <s v="Valid"/>
    <n v="0.157"/>
    <n v="11"/>
    <n v="18830.12472"/>
    <n v="12882.87"/>
    <n v="5947.254719999999"/>
    <n v="0.31583724528830415"/>
    <n v="0"/>
    <n v="0"/>
  </r>
  <r>
    <s v="ORD-2025-337268"/>
    <d v="2025-02-16T00:00:00"/>
    <x v="26"/>
    <s v="Q1-2025"/>
    <d v="2025-03-17T00:00:00"/>
    <s v="Valid"/>
    <n v="29"/>
    <d v="2025-03-17T00:00:00"/>
    <x v="3"/>
    <s v="Europe → Germany → Munich"/>
    <s v="Germany-2025-02"/>
    <s v="Germany"/>
    <s v="Munich"/>
    <s v="Consumer"/>
    <s v="Retail"/>
    <x v="4"/>
    <s v="Accessories"/>
    <s v="ACC-5150"/>
    <n v="730.42"/>
    <n v="956.7"/>
    <s v="Valid"/>
    <n v="956.7"/>
    <s v="Medium"/>
    <n v="4.2000000000000003E-2"/>
    <s v="Valid"/>
    <n v="4.2000000000000003E-2"/>
    <n v="22"/>
    <n v="20163.409200000002"/>
    <n v="16069.24"/>
    <n v="4094.1692000000021"/>
    <n v="0.20304945256975698"/>
    <n v="0"/>
    <n v="0"/>
  </r>
  <r>
    <s v="ORD-2025-332931"/>
    <d v="2025-02-15T00:00:00"/>
    <x v="26"/>
    <s v="Q1-2025"/>
    <d v="2025-03-01T00:00:00"/>
    <s v="Valid"/>
    <n v="14"/>
    <d v="2025-03-01T00:00:00"/>
    <x v="0"/>
    <s v="Africa → Kenya → Mombasa"/>
    <s v="Kenya-2025-02"/>
    <s v="Kenya"/>
    <s v="Mombasa"/>
    <s v="Education"/>
    <s v="Direct"/>
    <x v="4"/>
    <s v="Accessories"/>
    <s v="ACC-5144"/>
    <n v="1162.8599999999999"/>
    <n v="1447.68"/>
    <s v="Valid"/>
    <n v="1447.68"/>
    <s v="Medium"/>
    <n v="8.6999999999999994E-2"/>
    <s v="Valid"/>
    <n v="8.6999999999999994E-2"/>
    <n v="12"/>
    <n v="15860.782080000001"/>
    <n v="13954.32"/>
    <n v="1906.4620800000012"/>
    <n v="0.12019975247021369"/>
    <n v="0"/>
    <n v="0"/>
  </r>
  <r>
    <s v="ORD-2024-536442"/>
    <d v="2024-08-31T00:00:00"/>
    <x v="21"/>
    <s v="Q3-2024"/>
    <d v="2024-09-26T00:00:00"/>
    <s v="Valid"/>
    <n v="26"/>
    <d v="2024-09-26T00:00:00"/>
    <x v="1"/>
    <s v="Asia → Japan → Tokyo"/>
    <s v="Japan-2024-08"/>
    <s v="Japan"/>
    <s v="Tokyo"/>
    <s v="Education"/>
    <s v="Online"/>
    <x v="2"/>
    <s v="Phones"/>
    <s v="PHN-6111"/>
    <n v="1189.03"/>
    <n v="2949.62"/>
    <s v="Valid"/>
    <n v="2949.62"/>
    <s v="High"/>
    <n v="0.125"/>
    <s v="Valid"/>
    <n v="0.125"/>
    <n v="13"/>
    <n v="33551.927499999998"/>
    <n v="15457.39"/>
    <n v="18094.537499999999"/>
    <n v="0.53929949330034765"/>
    <n v="0"/>
    <n v="0"/>
  </r>
  <r>
    <s v="ORD-2023-957692"/>
    <d v="2023-05-07T00:00:00"/>
    <x v="15"/>
    <s v="Q2-2023"/>
    <d v="2023-05-20T00:00:00"/>
    <s v="Valid"/>
    <n v="13"/>
    <d v="2023-05-20T00:00:00"/>
    <x v="1"/>
    <s v="Asia → India → Mumbai"/>
    <s v="India-2023-05"/>
    <s v="India"/>
    <s v="Mumbai"/>
    <s v="Enterprise"/>
    <s v="Retail"/>
    <x v="14"/>
    <s v="Accessories"/>
    <s v="ACC-9283"/>
    <n v="1443.28"/>
    <n v="2580.5700000000002"/>
    <s v="Valid"/>
    <n v="2580.5700000000002"/>
    <s v="High"/>
    <n v="0"/>
    <s v="Valid"/>
    <n v="0"/>
    <n v="18"/>
    <n v="46450.26"/>
    <n v="25979.040000000001"/>
    <n v="20471.22"/>
    <n v="0.4407127107577008"/>
    <n v="0"/>
    <n v="0"/>
  </r>
  <r>
    <s v="ORD-2025-874124"/>
    <d v="2025-05-14T00:00:00"/>
    <x v="8"/>
    <s v="Q2-2025"/>
    <d v="2025-05-12T00:00:00"/>
    <s v="Invalid RequiredDate"/>
    <n v="-2"/>
    <d v="2025-06-09T00:00:00"/>
    <x v="2"/>
    <s v="Americas → Canada → Vancouver"/>
    <s v="Canada-2025-05"/>
    <s v="Canada"/>
    <s v="Vancouver"/>
    <s v="Non-Profit"/>
    <s v="Distributor"/>
    <x v="9"/>
    <s v="Printers"/>
    <s v="PRN-2407"/>
    <n v="883.5"/>
    <n v="1978.91"/>
    <s v="Valid"/>
    <n v="1978.91"/>
    <s v="High"/>
    <n v="5.3999999999999999E-2"/>
    <s v="Valid"/>
    <n v="5.3999999999999999E-2"/>
    <n v="27"/>
    <n v="50545.319219999998"/>
    <n v="23854.5"/>
    <n v="26690.819219999998"/>
    <n v="0.52805718970390547"/>
    <n v="1"/>
    <n v="0"/>
  </r>
  <r>
    <s v="ORD-2024-687073"/>
    <d v="2024-03-11T00:00:00"/>
    <x v="0"/>
    <s v="Q1-2024"/>
    <d v="2024-03-29T00:00:00"/>
    <s v="Valid"/>
    <n v="18"/>
    <d v="2024-03-29T00:00:00"/>
    <x v="2"/>
    <s v="Americas → USA → New York"/>
    <s v="USA-2024-03"/>
    <s v="USA"/>
    <s v="New York"/>
    <s v="Corporate"/>
    <s v="Retail"/>
    <x v="12"/>
    <s v="Monitors"/>
    <s v="MON-7099"/>
    <n v="710.98"/>
    <n v="1481.45"/>
    <s v="Valid"/>
    <n v="1481.45"/>
    <s v="Medium"/>
    <n v="0.21099999999999999"/>
    <s v="Valid"/>
    <n v="0.21099999999999999"/>
    <n v="9"/>
    <n v="10519.776450000001"/>
    <n v="6398.82"/>
    <n v="4120.9564500000015"/>
    <n v="0.39173422264120461"/>
    <n v="0"/>
    <n v="1"/>
  </r>
  <r>
    <s v="ORD-2024-555229"/>
    <d v="2024-05-18T00:00:00"/>
    <x v="7"/>
    <s v="Q2-2024"/>
    <d v="2024-05-22T00:00:00"/>
    <s v="Valid"/>
    <n v="4"/>
    <d v="2024-05-22T00:00:00"/>
    <x v="0"/>
    <s v="Africa → Kenya → Nairobi"/>
    <s v="Kenya-2024-05"/>
    <s v="Kenya"/>
    <s v="Nairobi"/>
    <s v="Corporate"/>
    <s v="Direct"/>
    <x v="10"/>
    <s v="Accessories"/>
    <s v="ACC-7354"/>
    <n v="857.42"/>
    <n v="1658.92"/>
    <s v="Valid"/>
    <n v="1658.92"/>
    <s v="Medium"/>
    <n v="0.122"/>
    <s v="Valid"/>
    <n v="0.122"/>
    <n v="9"/>
    <n v="13108.78584"/>
    <n v="7716.78"/>
    <n v="5392.0058400000007"/>
    <n v="0.41132763215544305"/>
    <n v="1"/>
    <n v="0"/>
  </r>
  <r>
    <s v="ORD-2024-872291"/>
    <d v="2024-01-08T00:00:00"/>
    <x v="9"/>
    <s v="Q1-2024"/>
    <d v="2024-01-12T00:00:00"/>
    <s v="Valid"/>
    <n v="4"/>
    <d v="2024-01-12T00:00:00"/>
    <x v="1"/>
    <s v="Asia → India → Bengaluru"/>
    <s v="India-2024-01"/>
    <s v="India"/>
    <s v="Bengaluru"/>
    <s v="Corporate"/>
    <s v="Direct"/>
    <x v="6"/>
    <s v="Printers"/>
    <s v="PRN-6585"/>
    <n v="802.32"/>
    <n v="602.34"/>
    <s v="Valid"/>
    <n v="602.34"/>
    <s v="Low"/>
    <n v="0.12"/>
    <s v="Valid"/>
    <n v="0.12"/>
    <n v="25"/>
    <n v="13251.48"/>
    <n v="20058"/>
    <n v="-6806.52"/>
    <n v="-0.51364224977134632"/>
    <n v="1"/>
    <n v="0"/>
  </r>
  <r>
    <s v="ORD-2024-250862"/>
    <d v="2024-10-25T00:00:00"/>
    <x v="1"/>
    <s v="Q4-2024"/>
    <d v="2024-11-05T00:00:00"/>
    <s v="Valid"/>
    <n v="11"/>
    <d v="2024-11-05T00:00:00"/>
    <x v="2"/>
    <s v="Americas → USA → New York"/>
    <s v="USA-2024-10"/>
    <s v="USA"/>
    <s v="New York"/>
    <s v="Corporate"/>
    <s v="Distributor"/>
    <x v="13"/>
    <s v="Components"/>
    <s v="CMP-9498"/>
    <n v="446.66"/>
    <n v="527.64"/>
    <s v="Valid"/>
    <n v="527.64"/>
    <s v="Low"/>
    <n v="0.14499999999999999"/>
    <s v="Valid"/>
    <n v="0.14499999999999999"/>
    <n v="15"/>
    <n v="6766.9829999999993"/>
    <n v="6699.9000000000005"/>
    <n v="67.082999999998719"/>
    <n v="9.9132804087137105E-3"/>
    <n v="0"/>
    <n v="0"/>
  </r>
  <r>
    <s v="ORD-2024-331226"/>
    <d v="2024-11-30T00:00:00"/>
    <x v="18"/>
    <s v="Q4-2024"/>
    <d v="2024-12-19T00:00:00"/>
    <s v="Valid"/>
    <n v="19"/>
    <d v="2024-12-19T00:00:00"/>
    <x v="0"/>
    <s v="Africa → Kenya → Kisumu"/>
    <s v="Kenya-2024-11"/>
    <s v="Kenya"/>
    <s v="Kisumu"/>
    <s v="Corporate"/>
    <s v="Online"/>
    <x v="4"/>
    <s v="Phones"/>
    <s v="PHN-1919"/>
    <n v="1195.98"/>
    <n v="1841.9"/>
    <s v="Valid"/>
    <n v="1841.9"/>
    <s v="Medium"/>
    <n v="5.5E-2"/>
    <s v="Valid"/>
    <n v="5.5E-2"/>
    <n v="19"/>
    <n v="33071.3145"/>
    <n v="22723.62"/>
    <n v="10347.694500000001"/>
    <n v="0.31289032977506842"/>
    <n v="0"/>
    <n v="0"/>
  </r>
  <r>
    <s v="ORD-2023-356427"/>
    <d v="2023-04-13T00:00:00"/>
    <x v="12"/>
    <s v="Q2-2023"/>
    <d v="2023-05-02T00:00:00"/>
    <s v="Valid"/>
    <n v="19"/>
    <d v="2023-05-02T00:00:00"/>
    <x v="2"/>
    <s v="Americas → Canada → Montreal"/>
    <s v="Canada-2023-04"/>
    <s v="Canada"/>
    <s v="Montreal"/>
    <s v="Consumer"/>
    <s v="Distributor"/>
    <x v="6"/>
    <s v="Monitors"/>
    <s v="MON-6053"/>
    <n v="671.05"/>
    <n v="1645.48"/>
    <s v="Valid"/>
    <n v="1645.48"/>
    <s v="Medium"/>
    <n v="0.13700000000000001"/>
    <s v="Valid"/>
    <n v="0.13700000000000001"/>
    <n v="6"/>
    <n v="8520.2954399999999"/>
    <n v="4026.2999999999997"/>
    <n v="4493.9954400000006"/>
    <n v="0.52744596377517172"/>
    <n v="0"/>
    <n v="0"/>
  </r>
  <r>
    <s v="ORD-2025-659650"/>
    <d v="2025-02-04T00:00:00"/>
    <x v="26"/>
    <s v="Q1-2025"/>
    <d v="2025-02-08T00:00:00"/>
    <s v="Valid"/>
    <n v="4"/>
    <d v="2025-02-08T00:00:00"/>
    <x v="3"/>
    <s v="Europe → United Kingdom → Manchester"/>
    <s v="United Kingdom-2025-02"/>
    <s v="United Kingdom"/>
    <s v="Manchester"/>
    <s v="Enterprise"/>
    <s v="Marketplace"/>
    <x v="4"/>
    <s v="Networking"/>
    <s v="NET-2502"/>
    <n v="586.21"/>
    <n v="727.22"/>
    <s v="Valid"/>
    <n v="727.22"/>
    <s v="Medium"/>
    <n v="6.8000000000000005E-2"/>
    <s v="Valid"/>
    <n v="6.8000000000000005E-2"/>
    <n v="15"/>
    <n v="10166.535600000001"/>
    <n v="8793.1500000000015"/>
    <n v="1373.3855999999996"/>
    <n v="0.13508884973559721"/>
    <n v="1"/>
    <n v="0"/>
  </r>
  <r>
    <s v="ORD-2024-207669"/>
    <d v="2024-01-24T00:00:00"/>
    <x v="9"/>
    <s v="Q1-2024"/>
    <d v="2024-02-04T00:00:00"/>
    <s v="Valid"/>
    <n v="11"/>
    <d v="2024-02-04T00:00:00"/>
    <x v="3"/>
    <s v="Europe → United Kingdom → Manchester"/>
    <s v="United Kingdom-2024-01"/>
    <s v="United Kingdom"/>
    <s v="Manchester"/>
    <s v="Consumer"/>
    <s v="Retail"/>
    <x v="5"/>
    <s v="Laptops"/>
    <s v="LAP-5689"/>
    <n v="525.34"/>
    <n v="1233.79"/>
    <s v="Valid"/>
    <n v="1233.79"/>
    <s v="Medium"/>
    <n v="0.14299999999999999"/>
    <s v="Valid"/>
    <n v="0.14299999999999999"/>
    <n v="4"/>
    <n v="4229.4321199999995"/>
    <n v="2101.36"/>
    <n v="2128.0721199999994"/>
    <n v="0.50315788494082736"/>
    <n v="0"/>
    <n v="0"/>
  </r>
  <r>
    <s v="ORD-2024-979401"/>
    <d v="2024-02-08T00:00:00"/>
    <x v="31"/>
    <s v="Q1-2024"/>
    <d v="2024-02-09T00:00:00"/>
    <s v="Valid"/>
    <n v="1"/>
    <d v="2024-02-09T00:00:00"/>
    <x v="0"/>
    <s v="Africa → Kenya → Mombasa"/>
    <s v="Kenya-2024-02"/>
    <s v="Kenya"/>
    <s v="Mombasa"/>
    <s v="Corporate"/>
    <s v="Direct"/>
    <x v="9"/>
    <s v="Components"/>
    <s v="CMP-5911"/>
    <n v="1233.52"/>
    <n v="1543.76"/>
    <s v="Valid"/>
    <n v="1543.76"/>
    <s v="Medium"/>
    <n v="0.126"/>
    <s v="Valid"/>
    <n v="0.126"/>
    <n v="13"/>
    <n v="17540.201120000002"/>
    <n v="16035.76"/>
    <n v="1504.4411200000013"/>
    <n v="8.5771030201277493E-2"/>
    <n v="1"/>
    <n v="0"/>
  </r>
  <r>
    <s v="ORD-2025-929414"/>
    <d v="2025-06-26T00:00:00"/>
    <x v="16"/>
    <s v="Q2-2025"/>
    <d v="2025-07-11T00:00:00"/>
    <s v="Valid"/>
    <n v="15"/>
    <d v="2025-07-11T00:00:00"/>
    <x v="0"/>
    <s v="Africa → Nigeria → Port Harcourt"/>
    <s v="Nigeria-2025-06"/>
    <s v="Nigeria"/>
    <s v="Port Harcourt"/>
    <s v="Small Business"/>
    <s v="Online"/>
    <x v="8"/>
    <s v="Laptops"/>
    <s v="LAP-7523"/>
    <n v="1170.1500000000001"/>
    <n v="2115.19"/>
    <s v="Valid"/>
    <n v="2115.19"/>
    <s v="High"/>
    <n v="9.1999999999999998E-2"/>
    <s v="Valid"/>
    <n v="9.1999999999999998E-2"/>
    <n v="23"/>
    <n v="44173.627960000005"/>
    <n v="26913.45"/>
    <n v="17260.177960000005"/>
    <n v="0.39073489674946776"/>
    <n v="0"/>
    <n v="0"/>
  </r>
  <r>
    <s v="ORD-2024-766980"/>
    <d v="2024-11-04T00:00:00"/>
    <x v="18"/>
    <s v="Q4-2024"/>
    <d v="2024-11-07T00:00:00"/>
    <s v="Valid"/>
    <n v="3"/>
    <d v="2024-11-07T00:00:00"/>
    <x v="3"/>
    <s v="Europe → France → Lyon"/>
    <s v="France-2024-11"/>
    <s v="France"/>
    <s v="Lyon"/>
    <s v="Corporate"/>
    <s v="Online"/>
    <x v="7"/>
    <s v="Monitors"/>
    <s v="MON-1118"/>
    <n v="740.68"/>
    <n v="1837.19"/>
    <s v="Valid"/>
    <n v="1837.19"/>
    <s v="Medium"/>
    <n v="0.19700000000000001"/>
    <s v="Valid"/>
    <n v="0.19700000000000001"/>
    <n v="17"/>
    <n v="25079.480689999997"/>
    <n v="12591.56"/>
    <n v="12487.920689999997"/>
    <n v="0.4979337827748298"/>
    <n v="1"/>
    <n v="0"/>
  </r>
  <r>
    <s v="ORD-2024-437164"/>
    <d v="2024-02-20T00:00:00"/>
    <x v="31"/>
    <s v="Q1-2024"/>
    <d v="2024-02-20T00:00:00"/>
    <s v="Valid"/>
    <n v="0"/>
    <d v="2024-02-20T00:00:00"/>
    <x v="2"/>
    <s v="Americas → USA → New York"/>
    <s v="USA-2024-02"/>
    <s v="USA"/>
    <s v="New York"/>
    <s v="Enterprise"/>
    <s v="Online"/>
    <x v="0"/>
    <s v="Networking"/>
    <s v="NET-9177"/>
    <n v="1407.05"/>
    <n v="2858.93"/>
    <s v="Valid"/>
    <n v="2858.93"/>
    <s v="High"/>
    <n v="0"/>
    <s v="Valid"/>
    <n v="0"/>
    <n v="12"/>
    <n v="34307.159999999996"/>
    <n v="16884.599999999999"/>
    <n v="17422.559999999998"/>
    <n v="0.50784034586366222"/>
    <n v="1"/>
    <n v="0"/>
  </r>
  <r>
    <s v="ORD-2025-169093"/>
    <d v="2025-04-13T00:00:00"/>
    <x v="19"/>
    <s v="Q2-2025"/>
    <d v="2025-04-14T00:00:00"/>
    <s v="Valid"/>
    <n v="1"/>
    <d v="2025-04-14T00:00:00"/>
    <x v="1"/>
    <s v="Asia → Japan → Osaka"/>
    <s v="Japan-2025-04"/>
    <s v="Japan"/>
    <s v="Osaka"/>
    <s v="Enterprise"/>
    <s v="Online"/>
    <x v="3"/>
    <s v="Components"/>
    <s v="CMP-6495"/>
    <n v="138.9"/>
    <n v="289.92"/>
    <s v="Valid"/>
    <n v="289.92"/>
    <s v="Low"/>
    <n v="2.9000000000000001E-2"/>
    <s v="Valid"/>
    <n v="2.9000000000000001E-2"/>
    <n v="12"/>
    <n v="3378.1478400000001"/>
    <n v="1666.8000000000002"/>
    <n v="1711.3478399999999"/>
    <n v="0.50659353025828491"/>
    <n v="1"/>
    <n v="0"/>
  </r>
  <r>
    <s v="ORD-2023-868460"/>
    <d v="2023-06-01T00:00:00"/>
    <x v="23"/>
    <s v="Q2-2023"/>
    <d v="2023-06-01T00:00:00"/>
    <s v="Valid"/>
    <n v="0"/>
    <d v="2023-06-01T00:00:00"/>
    <x v="1"/>
    <s v="Asia → India → Bengaluru"/>
    <s v="India-2023-06"/>
    <s v="India"/>
    <s v="Bengaluru"/>
    <s v="Corporate"/>
    <s v="Retail"/>
    <x v="6"/>
    <s v="Accessories"/>
    <s v="ACC-4587"/>
    <n v="669.37"/>
    <n v="997.2"/>
    <s v="Valid"/>
    <n v="997.2"/>
    <s v="Medium"/>
    <n v="8.2000000000000003E-2"/>
    <s v="Valid"/>
    <n v="8.2000000000000003E-2"/>
    <n v="5"/>
    <n v="4577.1480000000001"/>
    <n v="3346.85"/>
    <n v="1230.2980000000002"/>
    <n v="0.26879139586484863"/>
    <n v="1"/>
    <n v="0"/>
  </r>
  <r>
    <s v="ORD-2025-177994"/>
    <d v="2025-03-24T00:00:00"/>
    <x v="3"/>
    <s v="Q1-2025"/>
    <d v="2025-04-04T00:00:00"/>
    <s v="Valid"/>
    <n v="11"/>
    <d v="2025-04-04T00:00:00"/>
    <x v="1"/>
    <s v="Asia → India → Mumbai"/>
    <s v="India-2025-03"/>
    <s v="India"/>
    <s v="Mumbai"/>
    <s v="Education"/>
    <s v="Marketplace"/>
    <x v="1"/>
    <s v="Phones"/>
    <s v="PHN-4395"/>
    <n v="23.83"/>
    <n v="47.29"/>
    <s v="Valid"/>
    <n v="47.29"/>
    <s v="Low"/>
    <n v="6.4000000000000001E-2"/>
    <s v="Valid"/>
    <n v="6.4000000000000001E-2"/>
    <n v="19"/>
    <n v="841.00536"/>
    <n v="452.77"/>
    <n v="388.23536000000001"/>
    <n v="0.46163244429262618"/>
    <n v="0"/>
    <n v="0"/>
  </r>
  <r>
    <s v="ORD-2024-355095"/>
    <d v="2024-01-02T00:00:00"/>
    <x v="9"/>
    <s v="Q1-2024"/>
    <d v="2024-01-02T00:00:00"/>
    <s v="Valid"/>
    <n v="0"/>
    <d v="2024-01-02T00:00:00"/>
    <x v="2"/>
    <s v="Americas → Canada → Vancouver"/>
    <s v="Canada-2024-01"/>
    <s v="Canada"/>
    <s v="Vancouver"/>
    <s v="Education"/>
    <s v="Direct"/>
    <x v="8"/>
    <s v="Laptops"/>
    <s v="LAP-3581"/>
    <n v="444.41"/>
    <n v="754.24"/>
    <s v="Valid"/>
    <n v="754.24"/>
    <s v="Medium"/>
    <n v="0.20699999999999999"/>
    <s v="Valid"/>
    <n v="0.20699999999999999"/>
    <n v="32"/>
    <n v="19139.594240000002"/>
    <n v="14221.12"/>
    <n v="4918.4742400000014"/>
    <n v="0.25697902360546598"/>
    <n v="1"/>
    <n v="1"/>
  </r>
  <r>
    <s v="ORD-2023-126505"/>
    <d v="2023-12-19T00:00:00"/>
    <x v="4"/>
    <s v="Q4-2023"/>
    <d v="2024-01-01T00:00:00"/>
    <s v="Valid"/>
    <n v="13"/>
    <d v="2024-01-01T00:00:00"/>
    <x v="2"/>
    <s v="Americas → Canada → Toronto"/>
    <s v="Canada-2023-12"/>
    <s v="Canada"/>
    <s v="Toronto"/>
    <s v="Enterprise"/>
    <s v="Retail"/>
    <x v="11"/>
    <s v="Monitors"/>
    <s v="MON-6065"/>
    <n v="856.1"/>
    <n v="901.48"/>
    <s v="Valid"/>
    <n v="901.48"/>
    <s v="Medium"/>
    <n v="5.6000000000000001E-2"/>
    <s v="Valid"/>
    <n v="5.6000000000000001E-2"/>
    <n v="17"/>
    <n v="14466.95104"/>
    <n v="14553.7"/>
    <n v="-86.748960000000807"/>
    <n v="-5.9963540182134192E-3"/>
    <n v="0"/>
    <n v="0"/>
  </r>
  <r>
    <s v="ORD-2023-340056"/>
    <d v="2023-04-26T00:00:00"/>
    <x v="12"/>
    <s v="Q2-2023"/>
    <d v="2023-04-26T00:00:00"/>
    <s v="Valid"/>
    <n v="0"/>
    <d v="2023-04-26T00:00:00"/>
    <x v="3"/>
    <s v="Europe → France → Marseille"/>
    <s v="France-2023-04"/>
    <s v="France"/>
    <s v="Marseille"/>
    <s v="Consumer"/>
    <s v="Direct"/>
    <x v="12"/>
    <s v="Components"/>
    <s v="CMP-4945"/>
    <n v="81.489999999999995"/>
    <n v="113.08"/>
    <s v="Valid"/>
    <n v="113.08"/>
    <s v="Low"/>
    <n v="0.121"/>
    <s v="Valid"/>
    <n v="0.121"/>
    <n v="5"/>
    <n v="496.98660000000001"/>
    <n v="407.45"/>
    <n v="89.536600000000021"/>
    <n v="0.18015898215364362"/>
    <n v="1"/>
    <n v="0"/>
  </r>
  <r>
    <s v="ORD-2025-281413"/>
    <d v="2025-08-03T00:00:00"/>
    <x v="28"/>
    <s v="Q3-2025"/>
    <d v="2025-08-16T00:00:00"/>
    <s v="Valid"/>
    <n v="13"/>
    <d v="2025-08-16T00:00:00"/>
    <x v="2"/>
    <s v="Americas → Canada → Montreal"/>
    <s v="Canada-2025-08"/>
    <s v="Canada"/>
    <s v="Montreal"/>
    <s v="Enterprise"/>
    <s v="Distributor"/>
    <x v="7"/>
    <s v="Networking"/>
    <s v="NET-3785"/>
    <n v="698.66"/>
    <n v="868.62"/>
    <s v="Valid"/>
    <n v="868.62"/>
    <s v="Medium"/>
    <n v="7.1999999999999995E-2"/>
    <s v="Valid"/>
    <n v="7.1999999999999995E-2"/>
    <n v="15"/>
    <n v="12091.190399999999"/>
    <n v="10479.9"/>
    <n v="1611.2903999999999"/>
    <n v="0.13326151906432637"/>
    <n v="0"/>
    <n v="0"/>
  </r>
  <r>
    <s v="ORD-2023-713614"/>
    <d v="2023-08-02T00:00:00"/>
    <x v="25"/>
    <s v="Q3-2023"/>
    <d v="2023-08-19T00:00:00"/>
    <s v="Valid"/>
    <n v="17"/>
    <d v="2023-08-19T00:00:00"/>
    <x v="2"/>
    <s v="Americas → Canada → Vancouver"/>
    <s v="Canada-2023-08"/>
    <s v="Canada"/>
    <s v="Vancouver"/>
    <s v="Corporate"/>
    <s v="Online"/>
    <x v="9"/>
    <s v="Networking"/>
    <s v="NET-3689"/>
    <n v="175.38"/>
    <n v="347.9"/>
    <s v="Valid"/>
    <n v="347.9"/>
    <s v="Low"/>
    <n v="7.1999999999999995E-2"/>
    <s v="Valid"/>
    <n v="7.1999999999999995E-2"/>
    <n v="43"/>
    <n v="13882.6016"/>
    <n v="7541.34"/>
    <n v="6341.2615999999998"/>
    <n v="0.45677761148169804"/>
    <n v="0"/>
    <n v="0"/>
  </r>
  <r>
    <s v="ORD-2023-173313"/>
    <d v="2023-06-15T00:00:00"/>
    <x v="23"/>
    <s v="Q2-2023"/>
    <d v="2023-07-12T00:00:00"/>
    <s v="Valid"/>
    <n v="27"/>
    <d v="2023-07-12T00:00:00"/>
    <x v="3"/>
    <s v="Europe → United Kingdom → Manchester"/>
    <s v="United Kingdom-2023-06"/>
    <s v="United Kingdom"/>
    <s v="Manchester"/>
    <s v="Consumer"/>
    <s v="Direct"/>
    <x v="2"/>
    <s v="Accessories"/>
    <s v="ACC-3833"/>
    <n v="751.28"/>
    <n v="1111.8800000000001"/>
    <s v="Valid"/>
    <n v="1111.8800000000001"/>
    <s v="Medium"/>
    <n v="0.13500000000000001"/>
    <s v="Valid"/>
    <n v="0.13500000000000001"/>
    <n v="7"/>
    <n v="6732.4334000000008"/>
    <n v="5258.96"/>
    <n v="1473.4734000000008"/>
    <n v="0.21886193482433863"/>
    <n v="0"/>
    <n v="0"/>
  </r>
  <r>
    <s v="ORD-2024-496601"/>
    <d v="2024-11-11T00:00:00"/>
    <x v="18"/>
    <s v="Q4-2024"/>
    <d v="2024-11-24T00:00:00"/>
    <s v="Valid"/>
    <n v="13"/>
    <d v="2024-11-24T00:00:00"/>
    <x v="3"/>
    <s v="Europe → United Kingdom → London"/>
    <s v="United Kingdom-2024-11"/>
    <s v="United Kingdom"/>
    <s v="London"/>
    <s v="Corporate"/>
    <s v="Retail"/>
    <x v="6"/>
    <s v="Networking"/>
    <s v="NET-2932"/>
    <n v="164.53"/>
    <n v="327.72"/>
    <s v="Valid"/>
    <n v="327.72"/>
    <s v="Low"/>
    <n v="6.7000000000000004E-2"/>
    <s v="Valid"/>
    <n v="6.7000000000000004E-2"/>
    <n v="14"/>
    <n v="4280.6786400000001"/>
    <n v="2303.42"/>
    <n v="1977.25864"/>
    <n v="0.46190307805960412"/>
    <n v="0"/>
    <n v="0"/>
  </r>
  <r>
    <s v="ORD-2025-155182"/>
    <d v="2025-07-11T00:00:00"/>
    <x v="13"/>
    <s v="Q3-2025"/>
    <d v="2025-08-03T00:00:00"/>
    <s v="Valid"/>
    <n v="23"/>
    <d v="2025-08-03T00:00:00"/>
    <x v="0"/>
    <s v="Africa → Kenya → Nakuru"/>
    <s v="Kenya-2025-07"/>
    <s v="Kenya"/>
    <s v="Nakuru"/>
    <s v="Small Business"/>
    <s v="Retail"/>
    <x v="0"/>
    <s v="Phones"/>
    <s v="PHN-7636"/>
    <n v="389.93"/>
    <n v="486.13"/>
    <s v="Valid"/>
    <n v="486.13"/>
    <s v="Low"/>
    <n v="0.13200000000000001"/>
    <s v="Valid"/>
    <n v="0.13200000000000001"/>
    <n v="17"/>
    <n v="7173.3342799999991"/>
    <n v="6628.81"/>
    <n v="544.52427999999873"/>
    <n v="7.5909508569562828E-2"/>
    <n v="0"/>
    <n v="0"/>
  </r>
  <r>
    <s v="ORD-2023-244375"/>
    <d v="2023-06-03T00:00:00"/>
    <x v="23"/>
    <s v="Q2-2023"/>
    <d v="2023-07-01T00:00:00"/>
    <s v="Valid"/>
    <n v="28"/>
    <d v="2023-07-01T00:00:00"/>
    <x v="2"/>
    <s v="Americas → Brazil → Brasília"/>
    <s v="Brazil-2023-06"/>
    <s v="Brazil"/>
    <s v="Brasília"/>
    <s v="Small Business"/>
    <s v="Marketplace"/>
    <x v="8"/>
    <s v="Components"/>
    <s v="CMP-1223"/>
    <n v="860.4"/>
    <n v="2066.6"/>
    <s v="Valid"/>
    <n v="2066.6"/>
    <s v="High"/>
    <n v="0.01"/>
    <s v="Valid"/>
    <n v="0.01"/>
    <n v="3"/>
    <n v="6137.8019999999988"/>
    <n v="2581.1999999999998"/>
    <n v="3556.601999999999"/>
    <n v="0.57945857491004105"/>
    <n v="0"/>
    <n v="0"/>
  </r>
  <r>
    <s v="ORD-2023-856322"/>
    <d v="2023-01-29T00:00:00"/>
    <x v="5"/>
    <s v="Q1-2023"/>
    <d v="2023-02-06T00:00:00"/>
    <s v="Valid"/>
    <n v="8"/>
    <d v="2023-02-06T00:00:00"/>
    <x v="2"/>
    <s v="Americas → Brazil → Brasília"/>
    <s v="Brazil-2023-01"/>
    <s v="Brazil"/>
    <s v="Brasília"/>
    <s v="Corporate"/>
    <s v="Marketplace"/>
    <x v="14"/>
    <s v="Monitors"/>
    <s v="MON-7207"/>
    <n v="41.84"/>
    <n v="86.2"/>
    <s v="Valid"/>
    <n v="86.2"/>
    <s v="Low"/>
    <n v="0.22600000000000001"/>
    <s v="Valid"/>
    <n v="0.22600000000000001"/>
    <n v="27"/>
    <n v="1801.4076000000002"/>
    <n v="1129.68"/>
    <n v="671.72760000000017"/>
    <n v="0.37289039970742882"/>
    <n v="0"/>
    <n v="1"/>
  </r>
  <r>
    <s v="ORD-2024-594527"/>
    <d v="2024-09-06T00:00:00"/>
    <x v="29"/>
    <s v="Q3-2024"/>
    <d v="2024-09-04T00:00:00"/>
    <s v="Invalid RequiredDate"/>
    <n v="-2"/>
    <d v="2024-10-02T00:00:00"/>
    <x v="1"/>
    <s v="Asia → Japan → Osaka"/>
    <s v="Japan-2024-09"/>
    <s v="Japan"/>
    <s v="Osaka"/>
    <s v="Corporate"/>
    <s v="Direct"/>
    <x v="8"/>
    <s v="Laptops"/>
    <s v="LAP-4483"/>
    <n v="1368.17"/>
    <n v="2307.75"/>
    <s v="Valid"/>
    <n v="2307.75"/>
    <s v="High"/>
    <n v="0.16300000000000001"/>
    <s v="Valid"/>
    <n v="0.16300000000000001"/>
    <n v="21"/>
    <n v="40563.321749999996"/>
    <n v="28731.57"/>
    <n v="11831.751749999996"/>
    <n v="0.29168596750831921"/>
    <n v="1"/>
    <n v="0"/>
  </r>
  <r>
    <s v="ORD-2024-689872"/>
    <d v="2024-08-03T00:00:00"/>
    <x v="21"/>
    <s v="Q3-2024"/>
    <d v="2024-08-09T00:00:00"/>
    <s v="Valid"/>
    <n v="6"/>
    <d v="2024-08-09T00:00:00"/>
    <x v="0"/>
    <s v="Africa → Kenya → Mombasa"/>
    <s v="Kenya-2024-08"/>
    <s v="Kenya"/>
    <s v="Mombasa"/>
    <s v="Consumer"/>
    <s v="Marketplace"/>
    <x v="10"/>
    <s v="Laptops"/>
    <s v="LAP-1969"/>
    <n v="643.21"/>
    <n v="1112.81"/>
    <s v="Valid"/>
    <n v="1112.81"/>
    <s v="Medium"/>
    <n v="0.14099999999999999"/>
    <s v="Valid"/>
    <n v="0.14099999999999999"/>
    <n v="4"/>
    <n v="3823.6151599999998"/>
    <n v="2572.84"/>
    <n v="1250.7751599999997"/>
    <n v="0.32711847496702562"/>
    <n v="1"/>
    <n v="0"/>
  </r>
  <r>
    <s v="ORD-2025-246692"/>
    <d v="2025-04-17T00:00:00"/>
    <x v="19"/>
    <s v="Q2-2025"/>
    <d v="2025-04-17T00:00:00"/>
    <s v="Valid"/>
    <n v="0"/>
    <d v="2025-04-17T00:00:00"/>
    <x v="2"/>
    <s v="Americas → Brazil → São Paulo"/>
    <s v="Brazil-2025-04"/>
    <s v="Brazil"/>
    <s v="São Paulo"/>
    <s v="Corporate"/>
    <s v="Distributor"/>
    <x v="4"/>
    <s v="Phones"/>
    <s v="PHN-4566"/>
    <n v="719.41"/>
    <n v="1125.99"/>
    <s v="Valid"/>
    <n v="1125.99"/>
    <s v="Medium"/>
    <n v="4.1000000000000002E-2"/>
    <s v="Valid"/>
    <n v="4.1000000000000002E-2"/>
    <n v="21"/>
    <n v="22676.312610000001"/>
    <n v="15107.609999999999"/>
    <n v="7568.7026100000021"/>
    <n v="0.33377131194876403"/>
    <n v="1"/>
    <n v="0"/>
  </r>
  <r>
    <s v="ORD-2023-378676"/>
    <d v="2023-05-03T00:00:00"/>
    <x v="15"/>
    <s v="Q2-2023"/>
    <d v="2023-05-16T00:00:00"/>
    <s v="Valid"/>
    <n v="13"/>
    <d v="2023-05-16T00:00:00"/>
    <x v="2"/>
    <s v="Americas → USA → New York"/>
    <s v="USA-2023-05"/>
    <s v="USA"/>
    <s v="New York"/>
    <s v="Corporate"/>
    <s v="Marketplace"/>
    <x v="4"/>
    <s v="Phones"/>
    <s v="PHN-5366"/>
    <n v="64.5"/>
    <n v="123.62"/>
    <s v="Valid"/>
    <n v="123.62"/>
    <s v="Low"/>
    <n v="0"/>
    <s v="Valid"/>
    <n v="0"/>
    <n v="3"/>
    <n v="370.86"/>
    <n v="193.5"/>
    <n v="177.36"/>
    <n v="0.47823976702798904"/>
    <n v="0"/>
    <n v="0"/>
  </r>
  <r>
    <s v="ORD-2024-243988"/>
    <d v="2024-03-13T00:00:00"/>
    <x v="0"/>
    <s v="Q1-2024"/>
    <d v="2024-04-06T00:00:00"/>
    <s v="Valid"/>
    <n v="24"/>
    <d v="2024-04-06T00:00:00"/>
    <x v="0"/>
    <s v="Africa → Nigeria → Abuja"/>
    <s v="Nigeria-2024-03"/>
    <s v="Nigeria"/>
    <s v="Abuja"/>
    <s v="Consumer"/>
    <s v="Distributor"/>
    <x v="4"/>
    <s v="Components"/>
    <s v="CMP-9001"/>
    <n v="1232.78"/>
    <n v="1731.75"/>
    <s v="Valid"/>
    <n v="1731.75"/>
    <s v="Medium"/>
    <n v="9.2999999999999999E-2"/>
    <s v="Valid"/>
    <n v="9.2999999999999999E-2"/>
    <n v="16"/>
    <n v="25131.155999999999"/>
    <n v="19724.48"/>
    <n v="5406.6759999999995"/>
    <n v="0.21513837246484005"/>
    <n v="0"/>
    <n v="0"/>
  </r>
  <r>
    <s v="ORD-2024-572312"/>
    <d v="2024-06-16T00:00:00"/>
    <x v="17"/>
    <s v="Q2-2024"/>
    <d v="2024-06-21T00:00:00"/>
    <s v="Valid"/>
    <n v="5"/>
    <d v="2024-06-21T00:00:00"/>
    <x v="1"/>
    <s v="Asia → Japan → Tokyo"/>
    <s v="Japan-2024-06"/>
    <s v="Japan"/>
    <s v="Tokyo"/>
    <s v="Small Business"/>
    <s v="Distributor"/>
    <x v="9"/>
    <s v="Phones"/>
    <s v="PHN-9677"/>
    <n v="1367.13"/>
    <n v="3062.01"/>
    <s v="Valid"/>
    <n v="3062.01"/>
    <s v="High"/>
    <n v="0.10299999999999999"/>
    <s v="Valid"/>
    <n v="0.10299999999999999"/>
    <n v="25"/>
    <n v="68665.574250000005"/>
    <n v="34178.25"/>
    <n v="34487.324250000005"/>
    <n v="0.50225057645971705"/>
    <n v="1"/>
    <n v="0"/>
  </r>
  <r>
    <s v="ORD-2025-281062"/>
    <d v="2025-02-15T00:00:00"/>
    <x v="26"/>
    <s v="Q1-2025"/>
    <d v="2025-02-27T00:00:00"/>
    <s v="Valid"/>
    <n v="12"/>
    <d v="2025-02-27T00:00:00"/>
    <x v="3"/>
    <s v="Europe → France → Lyon"/>
    <s v="France-2025-02"/>
    <s v="France"/>
    <s v="Lyon"/>
    <s v="Non-Profit"/>
    <s v="Direct"/>
    <x v="11"/>
    <s v="Accessories"/>
    <s v="ACC-1604"/>
    <n v="1027.26"/>
    <n v="2200.41"/>
    <s v="Valid"/>
    <n v="2200.41"/>
    <s v="High"/>
    <n v="8.7999999999999995E-2"/>
    <s v="Valid"/>
    <n v="8.7999999999999995E-2"/>
    <n v="6"/>
    <n v="12040.64352"/>
    <n v="6163.5599999999995"/>
    <n v="5877.0835200000001"/>
    <n v="0.48810377204822358"/>
    <n v="0"/>
    <n v="0"/>
  </r>
  <r>
    <s v="ORD-2023-727290"/>
    <d v="2023-04-03T00:00:00"/>
    <x v="12"/>
    <s v="Q2-2023"/>
    <d v="2023-04-16T00:00:00"/>
    <s v="Valid"/>
    <n v="13"/>
    <d v="2023-04-16T00:00:00"/>
    <x v="3"/>
    <s v="Europe → France → Marseille"/>
    <s v="France-2023-04"/>
    <s v="France"/>
    <s v="Marseille"/>
    <s v="Non-Profit"/>
    <s v="Marketplace"/>
    <x v="12"/>
    <s v="Accessories"/>
    <s v="ACC-4815"/>
    <n v="790.54"/>
    <n v="601.49"/>
    <s v="Valid"/>
    <n v="601.49"/>
    <s v="Low"/>
    <n v="0"/>
    <s v="Valid"/>
    <n v="0"/>
    <n v="15"/>
    <n v="9022.35"/>
    <n v="11858.099999999999"/>
    <n v="-2835.7499999999982"/>
    <n v="-0.31430281467688553"/>
    <n v="0"/>
    <n v="0"/>
  </r>
  <r>
    <s v="ORD-2025-993993"/>
    <d v="2025-08-30T00:00:00"/>
    <x v="28"/>
    <s v="Q3-2025"/>
    <d v="2025-09-22T00:00:00"/>
    <s v="Valid"/>
    <n v="23"/>
    <d v="2025-09-22T00:00:00"/>
    <x v="3"/>
    <s v="Europe → France → Marseille"/>
    <s v="France-2025-08"/>
    <s v="France"/>
    <s v="Marseille"/>
    <s v="Corporate"/>
    <s v="Direct"/>
    <x v="6"/>
    <s v="Components"/>
    <s v="CMP-5311"/>
    <n v="663.9"/>
    <n v="947.77"/>
    <s v="Valid"/>
    <n v="947.77"/>
    <s v="Medium"/>
    <n v="0.17399999999999999"/>
    <s v="Valid"/>
    <n v="0.17399999999999999"/>
    <n v="15"/>
    <n v="11742.8703"/>
    <n v="9958.5"/>
    <n v="1784.3703000000005"/>
    <n v="0.1519535049280073"/>
    <n v="0"/>
    <n v="0"/>
  </r>
  <r>
    <s v="ORD-2023-619493"/>
    <d v="2023-02-27T00:00:00"/>
    <x v="2"/>
    <s v="Q1-2023"/>
    <d v="2023-02-26T00:00:00"/>
    <s v="Invalid RequiredDate"/>
    <n v="-1"/>
    <d v="2023-03-25T00:00:00"/>
    <x v="2"/>
    <s v="Americas → USA → San Francisco"/>
    <s v="USA-2023-02"/>
    <s v="USA"/>
    <s v="San Francisco"/>
    <s v="Non-Profit"/>
    <s v="Online"/>
    <x v="4"/>
    <s v="Networking"/>
    <s v="NET-1282"/>
    <n v="1015.91"/>
    <n v="2331.48"/>
    <s v="Valid"/>
    <n v="2331.48"/>
    <s v="High"/>
    <n v="0.14599999999999999"/>
    <s v="Valid"/>
    <n v="0.14599999999999999"/>
    <n v="26"/>
    <n v="51768.181920000003"/>
    <n v="26413.66"/>
    <n v="25354.521920000003"/>
    <n v="0.48977037592669626"/>
    <n v="1"/>
    <n v="0"/>
  </r>
  <r>
    <s v="ORD-2024-947056"/>
    <d v="2024-07-31T00:00:00"/>
    <x v="14"/>
    <s v="Q3-2024"/>
    <d v="2024-08-15T00:00:00"/>
    <s v="Valid"/>
    <n v="15"/>
    <d v="2024-08-15T00:00:00"/>
    <x v="1"/>
    <s v="Asia → Japan → Tokyo"/>
    <s v="Japan-2024-07"/>
    <s v="Japan"/>
    <s v="Tokyo"/>
    <s v="Corporate"/>
    <s v="Marketplace"/>
    <x v="9"/>
    <s v="Monitors"/>
    <s v="MON-1564"/>
    <n v="1252.52"/>
    <n v="1417.24"/>
    <s v="Valid"/>
    <n v="1417.24"/>
    <s v="Medium"/>
    <n v="0.192"/>
    <s v="Valid"/>
    <n v="0.192"/>
    <n v="5"/>
    <n v="5725.6496000000006"/>
    <n v="6262.6"/>
    <n v="-536.95039999999972"/>
    <n v="-9.3779821943696953E-2"/>
    <n v="0"/>
    <n v="0"/>
  </r>
  <r>
    <s v="ORD-2025-856556"/>
    <d v="2025-06-15T00:00:00"/>
    <x v="16"/>
    <s v="Q2-2025"/>
    <d v="2025-07-12T00:00:00"/>
    <s v="Valid"/>
    <n v="27"/>
    <d v="2025-07-12T00:00:00"/>
    <x v="3"/>
    <s v="Europe → France → Marseille"/>
    <s v="France-2025-06"/>
    <s v="France"/>
    <s v="Marseille"/>
    <s v="Consumer"/>
    <s v="Direct"/>
    <x v="0"/>
    <s v="Accessories"/>
    <s v="ACC-7906"/>
    <n v="318.83"/>
    <n v="699.5"/>
    <s v="Valid"/>
    <n v="699.5"/>
    <s v="Medium"/>
    <n v="0.08"/>
    <s v="Valid"/>
    <n v="0.08"/>
    <n v="13"/>
    <n v="8366.02"/>
    <n v="4144.79"/>
    <n v="4221.2300000000005"/>
    <n v="0.50456848059172699"/>
    <n v="0"/>
    <n v="0"/>
  </r>
  <r>
    <s v="ORD-2024-442776"/>
    <d v="2024-06-30T00:00:00"/>
    <x v="17"/>
    <s v="Q2-2024"/>
    <d v="2024-07-21T00:00:00"/>
    <s v="Valid"/>
    <n v="21"/>
    <d v="2024-07-21T00:00:00"/>
    <x v="0"/>
    <s v="Africa → Kenya → Kisumu"/>
    <s v="Kenya-2024-06"/>
    <s v="Kenya"/>
    <s v="Kisumu"/>
    <s v="Small Business"/>
    <s v="Retail"/>
    <x v="11"/>
    <s v="Laptops"/>
    <s v="LAP-6577"/>
    <n v="753.43"/>
    <n v="1787.2"/>
    <s v="Valid"/>
    <n v="1787.2"/>
    <s v="Medium"/>
    <n v="7.2999999999999995E-2"/>
    <s v="Valid"/>
    <n v="7.2999999999999995E-2"/>
    <n v="9"/>
    <n v="14910.609600000002"/>
    <n v="6780.87"/>
    <n v="8129.7396000000017"/>
    <n v="0.54523187301476939"/>
    <n v="0"/>
    <n v="0"/>
  </r>
  <r>
    <s v="ORD-2025-705398"/>
    <d v="2025-02-17T00:00:00"/>
    <x v="26"/>
    <s v="Q1-2025"/>
    <d v="2025-02-15T00:00:00"/>
    <s v="Invalid RequiredDate"/>
    <n v="-2"/>
    <d v="2025-03-15T00:00:00"/>
    <x v="2"/>
    <s v="Americas → Canada → Toronto"/>
    <s v="Canada-2025-02"/>
    <s v="Canada"/>
    <s v="Toronto"/>
    <s v="Small Business"/>
    <s v="Retail"/>
    <x v="14"/>
    <s v="Components"/>
    <s v="CMP-5065"/>
    <n v="1133.47"/>
    <n v="1698.75"/>
    <s v="Valid"/>
    <n v="1698.75"/>
    <s v="Medium"/>
    <n v="4.2999999999999997E-2"/>
    <s v="Valid"/>
    <n v="4.2999999999999997E-2"/>
    <n v="5"/>
    <n v="8128.5187499999993"/>
    <n v="5667.35"/>
    <n v="2461.1687499999989"/>
    <n v="0.30278194904821976"/>
    <n v="1"/>
    <n v="0"/>
  </r>
  <r>
    <s v="ORD-2023-689428"/>
    <d v="2023-01-07T00:00:00"/>
    <x v="5"/>
    <s v="Q1-2023"/>
    <d v="2023-01-30T00:00:00"/>
    <s v="Valid"/>
    <n v="23"/>
    <d v="2023-01-30T00:00:00"/>
    <x v="0"/>
    <s v="Africa → South Africa → Cape Town"/>
    <s v="South Africa-2023-01"/>
    <s v="South Africa"/>
    <s v="Cape Town"/>
    <s v="Consumer"/>
    <s v="Online"/>
    <x v="8"/>
    <s v="Printers"/>
    <s v="PRN-4787"/>
    <n v="299.02"/>
    <n v="724.7"/>
    <s v="Valid"/>
    <n v="724.7"/>
    <s v="Medium"/>
    <n v="0.14000000000000001"/>
    <s v="Valid"/>
    <n v="0.14000000000000001"/>
    <n v="5"/>
    <n v="3116.21"/>
    <n v="1495.1"/>
    <n v="1621.1100000000001"/>
    <n v="0.52021847051386139"/>
    <n v="0"/>
    <n v="0"/>
  </r>
  <r>
    <s v="ORD-2025-683247"/>
    <d v="2025-03-10T00:00:00"/>
    <x v="3"/>
    <s v="Q1-2025"/>
    <d v="2025-04-04T00:00:00"/>
    <s v="Valid"/>
    <n v="25"/>
    <d v="2025-04-04T00:00:00"/>
    <x v="1"/>
    <s v="Asia → Japan → Osaka"/>
    <s v="Japan-2025-03"/>
    <s v="Japan"/>
    <s v="Osaka"/>
    <s v="Corporate"/>
    <s v="Direct"/>
    <x v="10"/>
    <s v="Printers"/>
    <s v="PRN-9867"/>
    <n v="783.72"/>
    <n v="1355.94"/>
    <s v="Valid"/>
    <n v="1355.94"/>
    <s v="Medium"/>
    <n v="0.187"/>
    <s v="Valid"/>
    <n v="0.187"/>
    <n v="4"/>
    <n v="4409.5168800000001"/>
    <n v="3134.88"/>
    <n v="1274.63688"/>
    <n v="0.28906497348525856"/>
    <n v="0"/>
    <n v="0"/>
  </r>
  <r>
    <s v="ORD-2024-585443"/>
    <d v="2024-08-17T00:00:00"/>
    <x v="21"/>
    <s v="Q3-2024"/>
    <d v="2024-08-15T00:00:00"/>
    <s v="Invalid RequiredDate"/>
    <n v="-2"/>
    <d v="2024-09-12T00:00:00"/>
    <x v="2"/>
    <s v="Americas → Brazil → Rio de Janeiro"/>
    <s v="Brazil-2024-08"/>
    <s v="Brazil"/>
    <s v="Rio de Janeiro"/>
    <s v="Consumer"/>
    <s v="Direct"/>
    <x v="12"/>
    <s v="Monitors"/>
    <s v="MON-2849"/>
    <n v="165.3"/>
    <n v="275.07"/>
    <s v="Valid"/>
    <n v="275.07"/>
    <s v="Low"/>
    <n v="0.13300000000000001"/>
    <s v="Valid"/>
    <n v="0.13300000000000001"/>
    <n v="25"/>
    <n v="5962.1422499999999"/>
    <n v="4132.5"/>
    <n v="1829.6422499999999"/>
    <n v="0.30687665159280625"/>
    <n v="1"/>
    <n v="0"/>
  </r>
  <r>
    <s v="ORD-2024-907733"/>
    <d v="2024-03-09T00:00:00"/>
    <x v="0"/>
    <s v="Q1-2024"/>
    <d v="2024-03-22T00:00:00"/>
    <s v="Valid"/>
    <n v="13"/>
    <d v="2024-03-22T00:00:00"/>
    <x v="3"/>
    <s v="Europe → United Kingdom → Manchester"/>
    <s v="United Kingdom-2024-03"/>
    <s v="United Kingdom"/>
    <s v="Manchester"/>
    <s v="Consumer"/>
    <s v="Online"/>
    <x v="6"/>
    <s v="Laptops"/>
    <s v="LAP-8633"/>
    <n v="985.45"/>
    <n v="1802.44"/>
    <s v="Valid"/>
    <n v="1802.44"/>
    <s v="Medium"/>
    <n v="8.9999999999999993E-3"/>
    <s v="Valid"/>
    <n v="8.9999999999999993E-3"/>
    <n v="19"/>
    <n v="33938.142760000002"/>
    <n v="18723.55"/>
    <n v="15214.592760000003"/>
    <n v="0.44830363486867486"/>
    <n v="0"/>
    <n v="0"/>
  </r>
  <r>
    <s v="ORD-2024-550400"/>
    <d v="2024-08-19T00:00:00"/>
    <x v="21"/>
    <s v="Q3-2024"/>
    <d v="2024-09-02T00:00:00"/>
    <s v="Valid"/>
    <n v="14"/>
    <d v="2024-09-02T00:00:00"/>
    <x v="2"/>
    <s v="Americas → Canada → Toronto"/>
    <s v="Canada-2024-08"/>
    <s v="Canada"/>
    <s v="Toronto"/>
    <s v="Consumer"/>
    <s v="Distributor"/>
    <x v="0"/>
    <s v="Printers"/>
    <s v="PRN-9793"/>
    <n v="1337.01"/>
    <n v="1269.78"/>
    <s v="Valid"/>
    <n v="1269.78"/>
    <s v="Medium"/>
    <n v="0.16"/>
    <s v="Valid"/>
    <n v="0.16"/>
    <n v="7"/>
    <n v="7466.3063999999986"/>
    <n v="9359.07"/>
    <n v="-1892.7636000000011"/>
    <n v="-0.25350735672996244"/>
    <n v="0"/>
    <n v="0"/>
  </r>
  <r>
    <s v="ORD-2025-189846"/>
    <d v="2025-08-11T00:00:00"/>
    <x v="28"/>
    <s v="Q3-2025"/>
    <d v="2025-08-28T00:00:00"/>
    <s v="Valid"/>
    <n v="17"/>
    <d v="2025-08-28T00:00:00"/>
    <x v="3"/>
    <s v="Europe → France → Paris"/>
    <s v="France-2025-08"/>
    <s v="France"/>
    <s v="Paris"/>
    <s v="Education"/>
    <s v="Online"/>
    <x v="9"/>
    <s v="Networking"/>
    <s v="NET-6218"/>
    <n v="416.16"/>
    <n v="571.9"/>
    <s v="Valid"/>
    <n v="571.9"/>
    <s v="Low"/>
    <n v="7.0999999999999994E-2"/>
    <s v="Valid"/>
    <n v="7.0999999999999994E-2"/>
    <n v="2"/>
    <n v="1062.5902000000001"/>
    <n v="832.32"/>
    <n v="230.27020000000005"/>
    <n v="0.21670649701079497"/>
    <n v="0"/>
    <n v="0"/>
  </r>
  <r>
    <s v="ORD-2025-752192"/>
    <d v="2025-05-16T00:00:00"/>
    <x v="8"/>
    <s v="Q2-2025"/>
    <d v="2025-05-18T00:00:00"/>
    <s v="Valid"/>
    <n v="2"/>
    <d v="2025-05-18T00:00:00"/>
    <x v="1"/>
    <s v="Asia → Japan → Tokyo"/>
    <s v="Japan-2025-05"/>
    <s v="Japan"/>
    <s v="Tokyo"/>
    <s v="Enterprise"/>
    <s v="Retail"/>
    <x v="1"/>
    <s v="Printers"/>
    <s v="PRN-6131"/>
    <n v="1144.3800000000001"/>
    <n v="2755.04"/>
    <s v="Valid"/>
    <n v="2755.04"/>
    <s v="High"/>
    <n v="0.15"/>
    <s v="Valid"/>
    <n v="0.15"/>
    <n v="17"/>
    <n v="39810.328000000001"/>
    <n v="19454.460000000003"/>
    <n v="20355.867999999999"/>
    <n v="0.51132128326096682"/>
    <n v="1"/>
    <n v="0"/>
  </r>
  <r>
    <s v="ORD-2023-294716"/>
    <d v="2023-04-10T00:00:00"/>
    <x v="12"/>
    <s v="Q2-2023"/>
    <d v="2023-04-25T00:00:00"/>
    <s v="Valid"/>
    <n v="15"/>
    <d v="2023-04-25T00:00:00"/>
    <x v="3"/>
    <s v="Europe → United Kingdom → London"/>
    <s v="United Kingdom-2023-04"/>
    <s v="United Kingdom"/>
    <s v="London"/>
    <s v="Small Business"/>
    <s v="Retail"/>
    <x v="14"/>
    <s v="Printers"/>
    <s v="PRN-5067"/>
    <n v="405.66"/>
    <n v="962.51"/>
    <s v="Valid"/>
    <n v="962.51"/>
    <s v="Medium"/>
    <n v="0.19"/>
    <s v="Valid"/>
    <n v="0.19"/>
    <n v="7"/>
    <n v="5457.4317000000001"/>
    <n v="2839.6200000000003"/>
    <n v="2617.8116999999997"/>
    <n v="0.47967832561239376"/>
    <n v="0"/>
    <n v="0"/>
  </r>
  <r>
    <s v="ORD-2023-552115"/>
    <d v="2023-09-17T00:00:00"/>
    <x v="27"/>
    <s v="Q3-2023"/>
    <d v="2023-10-02T00:00:00"/>
    <s v="Valid"/>
    <n v="15"/>
    <d v="2023-10-02T00:00:00"/>
    <x v="2"/>
    <s v="Americas → Brazil → Rio de Janeiro"/>
    <s v="Brazil-2023-09"/>
    <s v="Brazil"/>
    <s v="Rio de Janeiro"/>
    <s v="Small Business"/>
    <s v="Retail"/>
    <x v="5"/>
    <s v="Laptops"/>
    <s v="LAP-4932"/>
    <n v="689.33"/>
    <n v="668.27"/>
    <s v="Valid"/>
    <n v="668.27"/>
    <s v="Medium"/>
    <n v="0.186"/>
    <s v="Valid"/>
    <n v="0.186"/>
    <n v="13"/>
    <n v="7071.6331400000008"/>
    <n v="8961.2900000000009"/>
    <n v="-1889.6568600000001"/>
    <n v="-0.26721647214861033"/>
    <n v="0"/>
    <n v="0"/>
  </r>
  <r>
    <s v="ORD-2023-107265"/>
    <d v="2023-04-22T00:00:00"/>
    <x v="12"/>
    <s v="Q2-2023"/>
    <d v="2023-05-14T00:00:00"/>
    <s v="Valid"/>
    <n v="22"/>
    <d v="2023-05-14T00:00:00"/>
    <x v="1"/>
    <s v="Asia → Japan → Nagoya"/>
    <s v="Japan-2023-04"/>
    <s v="Japan"/>
    <s v="Nagoya"/>
    <s v="Enterprise"/>
    <s v="Retail"/>
    <x v="8"/>
    <s v="Accessories"/>
    <s v="ACC-7713"/>
    <n v="1209.22"/>
    <n v="1404.33"/>
    <s v="Valid"/>
    <n v="1404.33"/>
    <s v="Medium"/>
    <n v="0.10299999999999999"/>
    <s v="Valid"/>
    <n v="0.10299999999999999"/>
    <n v="11"/>
    <n v="13856.52411"/>
    <n v="13301.42"/>
    <n v="555.10411000000022"/>
    <n v="4.0060848275751328E-2"/>
    <n v="0"/>
    <n v="0"/>
  </r>
  <r>
    <s v="ORD-2025-262434"/>
    <d v="2025-06-19T00:00:00"/>
    <x v="16"/>
    <s v="Q2-2025"/>
    <d v="2025-06-21T00:00:00"/>
    <s v="Valid"/>
    <n v="2"/>
    <d v="2025-06-21T00:00:00"/>
    <x v="0"/>
    <s v="Africa → South Africa → Johannesburg"/>
    <s v="South Africa-2025-06"/>
    <s v="South Africa"/>
    <s v="Johannesburg"/>
    <s v="Small Business"/>
    <s v="Unknown"/>
    <x v="10"/>
    <s v="Phones"/>
    <s v="PHN-7379"/>
    <n v="1466.27"/>
    <n v="3589.89"/>
    <s v="Valid"/>
    <n v="3589.89"/>
    <s v="High"/>
    <n v="9.7000000000000003E-2"/>
    <s v="Valid"/>
    <n v="9.7000000000000003E-2"/>
    <n v="9"/>
    <n v="29175.036029999999"/>
    <n v="13196.43"/>
    <n v="15978.606029999999"/>
    <n v="0.54768076425234147"/>
    <n v="1"/>
    <n v="0"/>
  </r>
  <r>
    <s v="ORD-2024-266562"/>
    <d v="2024-11-27T00:00:00"/>
    <x v="18"/>
    <s v="Q4-2024"/>
    <d v="2024-12-24T00:00:00"/>
    <s v="Valid"/>
    <n v="27"/>
    <d v="2024-12-24T00:00:00"/>
    <x v="0"/>
    <s v="Africa → Kenya → Mombasa"/>
    <s v="Kenya-2024-11"/>
    <s v="Kenya"/>
    <s v="Mombasa"/>
    <s v="Corporate"/>
    <s v="Distributor"/>
    <x v="5"/>
    <s v="Printers"/>
    <s v="PRN-5569"/>
    <n v="143.33000000000001"/>
    <n v="233.51"/>
    <s v="Valid"/>
    <n v="233.51"/>
    <s v="Low"/>
    <n v="0.16300000000000001"/>
    <s v="Valid"/>
    <n v="0.16300000000000001"/>
    <n v="14"/>
    <n v="2736.27018"/>
    <n v="2006.6200000000001"/>
    <n v="729.65017999999986"/>
    <n v="0.26665867476580835"/>
    <n v="0"/>
    <n v="0"/>
  </r>
  <r>
    <s v="ORD-2024-838925"/>
    <d v="2024-01-28T00:00:00"/>
    <x v="9"/>
    <s v="Q1-2024"/>
    <d v="2024-01-27T00:00:00"/>
    <s v="Invalid RequiredDate"/>
    <n v="-1"/>
    <d v="2024-02-23T00:00:00"/>
    <x v="0"/>
    <s v="Africa → South Africa → Cape Town"/>
    <s v="South Africa-2024-01"/>
    <s v="South Africa"/>
    <s v="Cape Town"/>
    <s v="Enterprise"/>
    <s v="Direct"/>
    <x v="7"/>
    <s v="Components"/>
    <s v="CMP-1470"/>
    <n v="109.75"/>
    <n v="124.25"/>
    <s v="Valid"/>
    <n v="124.25"/>
    <s v="Low"/>
    <n v="0.12"/>
    <s v="Valid"/>
    <n v="0.12"/>
    <n v="19"/>
    <n v="2077.46"/>
    <n v="2085.25"/>
    <n v="-7.7899999999999636"/>
    <n v="-3.7497713554051405E-3"/>
    <n v="1"/>
    <n v="0"/>
  </r>
  <r>
    <s v="ORD-2023-664790"/>
    <d v="2023-04-16T00:00:00"/>
    <x v="12"/>
    <s v="Q2-2023"/>
    <d v="2023-04-23T00:00:00"/>
    <s v="Valid"/>
    <n v="7"/>
    <d v="2023-04-23T00:00:00"/>
    <x v="2"/>
    <s v="Americas → USA → Austin"/>
    <s v="USA-2023-04"/>
    <s v="USA"/>
    <s v="Austin"/>
    <s v="Corporate"/>
    <s v="Distributor"/>
    <x v="7"/>
    <s v="Printers"/>
    <s v="PRN-9249"/>
    <n v="1099.1500000000001"/>
    <n v="1431.37"/>
    <s v="Valid"/>
    <n v="1431.37"/>
    <s v="Medium"/>
    <n v="0.104"/>
    <s v="Valid"/>
    <n v="0.104"/>
    <n v="8"/>
    <n v="10260.060159999999"/>
    <n v="8793.2000000000007"/>
    <n v="1466.8601599999984"/>
    <n v="0.14296798821109433"/>
    <n v="1"/>
    <n v="0"/>
  </r>
  <r>
    <s v="ORD-2024-331408"/>
    <d v="2024-02-01T00:00:00"/>
    <x v="31"/>
    <s v="Q1-2024"/>
    <d v="2024-02-01T00:00:00"/>
    <s v="Valid"/>
    <n v="0"/>
    <d v="2024-02-01T00:00:00"/>
    <x v="2"/>
    <s v="Americas → USA → Austin"/>
    <s v="USA-2024-02"/>
    <s v="USA"/>
    <s v="Austin"/>
    <s v="Consumer"/>
    <s v="Distributor"/>
    <x v="10"/>
    <s v="Printers"/>
    <s v="PRN-4906"/>
    <n v="714.43"/>
    <n v="1595.52"/>
    <s v="Valid"/>
    <n v="1595.52"/>
    <s v="Medium"/>
    <n v="0.19400000000000001"/>
    <s v="Valid"/>
    <n v="0.19400000000000001"/>
    <n v="14"/>
    <n v="18003.847679999999"/>
    <n v="10002.019999999999"/>
    <n v="8001.8276800000003"/>
    <n v="0.44445097638151093"/>
    <n v="1"/>
    <n v="0"/>
  </r>
  <r>
    <s v="ORD-2024-741404"/>
    <d v="2024-10-19T00:00:00"/>
    <x v="1"/>
    <s v="Q4-2024"/>
    <d v="2024-11-06T00:00:00"/>
    <s v="Valid"/>
    <n v="18"/>
    <d v="2024-11-06T00:00:00"/>
    <x v="2"/>
    <s v="Americas → USA → Chicago"/>
    <s v="USA-2024-10"/>
    <s v="USA"/>
    <s v="Chicago"/>
    <s v="Education"/>
    <s v="Unknown"/>
    <x v="0"/>
    <s v="Monitors"/>
    <s v="MON-8129"/>
    <n v="942.02"/>
    <n v="1028.46"/>
    <s v="Valid"/>
    <n v="1028.46"/>
    <s v="Medium"/>
    <n v="0"/>
    <s v="Valid"/>
    <n v="0"/>
    <n v="9"/>
    <n v="9256.14"/>
    <n v="8478.18"/>
    <n v="777.95999999999913"/>
    <n v="8.4047994088248354E-2"/>
    <n v="0"/>
    <n v="0"/>
  </r>
  <r>
    <s v="ORD-2024-341535"/>
    <d v="2024-06-25T00:00:00"/>
    <x v="17"/>
    <s v="Q2-2024"/>
    <d v="2024-06-30T00:00:00"/>
    <s v="Valid"/>
    <n v="5"/>
    <d v="2024-06-30T00:00:00"/>
    <x v="0"/>
    <s v="Africa → Kenya → Kisumu"/>
    <s v="Kenya-2024-06"/>
    <s v="Kenya"/>
    <s v="Kisumu"/>
    <s v="Education"/>
    <s v="Direct"/>
    <x v="12"/>
    <s v="Networking"/>
    <s v="NET-5987"/>
    <n v="1323.55"/>
    <n v="3230.35"/>
    <s v="Valid"/>
    <n v="3230.35"/>
    <s v="High"/>
    <n v="2.1999999999999999E-2"/>
    <s v="Valid"/>
    <n v="2.1999999999999999E-2"/>
    <n v="26"/>
    <n v="82141.339799999987"/>
    <n v="34412.299999999996"/>
    <n v="47729.039799999991"/>
    <n v="0.58105991351263542"/>
    <n v="1"/>
    <n v="0"/>
  </r>
  <r>
    <s v="ORD-2023-451931"/>
    <d v="2023-07-30T00:00:00"/>
    <x v="24"/>
    <s v="Q3-2023"/>
    <d v="2023-08-19T00:00:00"/>
    <s v="Valid"/>
    <n v="20"/>
    <d v="2023-08-19T00:00:00"/>
    <x v="3"/>
    <s v="Europe → France → Paris"/>
    <s v="France-2023-07"/>
    <s v="France"/>
    <s v="Paris"/>
    <s v="Enterprise"/>
    <s v="Marketplace"/>
    <x v="3"/>
    <s v="Networking"/>
    <s v="NET-5423"/>
    <n v="1418.51"/>
    <n v="2789.61"/>
    <s v="Valid"/>
    <n v="2789.61"/>
    <s v="High"/>
    <n v="0.17100000000000001"/>
    <s v="Valid"/>
    <n v="0.17100000000000001"/>
    <n v="8"/>
    <n v="18500.693520000001"/>
    <n v="11348.08"/>
    <n v="7152.6135200000008"/>
    <n v="0.38661326464695689"/>
    <n v="0"/>
    <n v="0"/>
  </r>
  <r>
    <s v="ORD-2025-532859"/>
    <d v="2025-03-11T00:00:00"/>
    <x v="3"/>
    <s v="Q1-2025"/>
    <d v="2025-03-27T00:00:00"/>
    <s v="Valid"/>
    <n v="16"/>
    <d v="2025-03-27T00:00:00"/>
    <x v="1"/>
    <s v="Asia → Japan → Tokyo"/>
    <s v="Japan-2025-03"/>
    <s v="Japan"/>
    <s v="Tokyo"/>
    <s v="Enterprise"/>
    <s v="Distributor"/>
    <x v="5"/>
    <s v="Printers"/>
    <s v="PRN-5264"/>
    <n v="1317.58"/>
    <n v="1897.74"/>
    <s v="Valid"/>
    <n v="1897.74"/>
    <s v="Medium"/>
    <n v="8.1000000000000003E-2"/>
    <s v="Valid"/>
    <n v="8.1000000000000003E-2"/>
    <n v="6"/>
    <n v="10464.138360000001"/>
    <n v="7905.48"/>
    <n v="2558.6583600000013"/>
    <n v="0.24451687009230266"/>
    <n v="0"/>
    <n v="0"/>
  </r>
  <r>
    <s v="ORD-2023-502205"/>
    <d v="2023-10-09T00:00:00"/>
    <x v="32"/>
    <s v="Q4-2023"/>
    <d v="2023-10-11T00:00:00"/>
    <s v="Valid"/>
    <n v="2"/>
    <d v="2023-10-11T00:00:00"/>
    <x v="0"/>
    <s v="Africa → Nigeria → Port Harcourt"/>
    <s v="Nigeria-2023-10"/>
    <s v="Nigeria"/>
    <s v="Port Harcourt"/>
    <s v="Education"/>
    <s v="Marketplace"/>
    <x v="11"/>
    <s v="Networking"/>
    <s v="NET-8856"/>
    <n v="391.16"/>
    <n v="902.47"/>
    <s v="Valid"/>
    <n v="902.47"/>
    <s v="Medium"/>
    <n v="4.0000000000000001E-3"/>
    <s v="Valid"/>
    <n v="4.0000000000000001E-3"/>
    <n v="12"/>
    <n v="10786.32144"/>
    <n v="4693.92"/>
    <n v="6092.4014399999996"/>
    <n v="0.56482661618139207"/>
    <n v="1"/>
    <n v="0"/>
  </r>
  <r>
    <s v="ORD-2024-930679"/>
    <d v="2024-12-17T00:00:00"/>
    <x v="6"/>
    <s v="Q4-2024"/>
    <d v="2025-01-16T00:00:00"/>
    <s v="Valid"/>
    <n v="30"/>
    <d v="2025-01-16T00:00:00"/>
    <x v="3"/>
    <s v="Europe → United Kingdom → Manchester"/>
    <s v="United Kingdom-2024-12"/>
    <s v="United Kingdom"/>
    <s v="Manchester"/>
    <s v="Corporate"/>
    <s v="Retail"/>
    <x v="14"/>
    <s v="Monitors"/>
    <s v="MON-4215"/>
    <n v="722.87"/>
    <n v="-33.659999999999997"/>
    <s v="Invalid Price"/>
    <n v="1202.1397872340422"/>
    <s v="Medium"/>
    <n v="0.10199999999999999"/>
    <s v="Valid"/>
    <n v="0.10199999999999999"/>
    <n v="28"/>
    <n v="30226.602810212757"/>
    <n v="20240.36"/>
    <n v="9986.242810212756"/>
    <n v="0.33037926468000806"/>
    <n v="0"/>
    <n v="0"/>
  </r>
  <r>
    <s v="ORD-2025-150713"/>
    <d v="2025-07-11T00:00:00"/>
    <x v="13"/>
    <s v="Q3-2025"/>
    <d v="2025-07-16T00:00:00"/>
    <s v="Valid"/>
    <n v="5"/>
    <d v="2025-07-16T00:00:00"/>
    <x v="3"/>
    <s v="Europe → United Kingdom → London"/>
    <s v="United Kingdom-2025-07"/>
    <s v="United Kingdom"/>
    <s v="London"/>
    <s v="Enterprise"/>
    <s v="Online"/>
    <x v="11"/>
    <s v="Printers"/>
    <s v="PRN-5753"/>
    <n v="930.03"/>
    <n v="1086.68"/>
    <s v="Valid"/>
    <n v="1086.68"/>
    <s v="Medium"/>
    <n v="0.109"/>
    <s v="Valid"/>
    <n v="0.109"/>
    <n v="26"/>
    <n v="25174.028880000002"/>
    <n v="24180.78"/>
    <n v="993.24888000000283"/>
    <n v="3.9455300728168656E-2"/>
    <n v="1"/>
    <n v="0"/>
  </r>
  <r>
    <s v="ORD-2024-756884"/>
    <d v="2024-10-13T00:00:00"/>
    <x v="1"/>
    <s v="Q4-2024"/>
    <d v="2024-10-24T00:00:00"/>
    <s v="Valid"/>
    <n v="11"/>
    <d v="2024-10-24T00:00:00"/>
    <x v="3"/>
    <s v="Europe → France → Paris"/>
    <s v="France-2024-10"/>
    <s v="France"/>
    <s v="Paris"/>
    <s v="Education"/>
    <s v="Distributor"/>
    <x v="9"/>
    <s v="Components"/>
    <s v="CMP-5006"/>
    <n v="816.7"/>
    <n v="1010.75"/>
    <s v="Valid"/>
    <n v="1010.75"/>
    <s v="Medium"/>
    <n v="4.7E-2"/>
    <s v="Valid"/>
    <n v="4.7E-2"/>
    <n v="43"/>
    <n v="41419.524249999995"/>
    <n v="35118.1"/>
    <n v="6301.4242499999964"/>
    <n v="0.15213656757537472"/>
    <n v="0"/>
    <n v="0"/>
  </r>
  <r>
    <s v="ORD-2023-755337"/>
    <d v="2023-09-08T00:00:00"/>
    <x v="27"/>
    <s v="Q3-2023"/>
    <d v="2023-09-14T00:00:00"/>
    <s v="Valid"/>
    <n v="6"/>
    <d v="2023-09-14T00:00:00"/>
    <x v="0"/>
    <s v="Africa → Kenya → Nakuru"/>
    <s v="Kenya-2023-09"/>
    <s v="Kenya"/>
    <s v="Nakuru"/>
    <s v="Education"/>
    <s v="Direct"/>
    <x v="2"/>
    <s v="Accessories"/>
    <s v="ACC-4766"/>
    <n v="251.03"/>
    <n v="411.48"/>
    <s v="Valid"/>
    <n v="411.48"/>
    <s v="Low"/>
    <n v="0.16500000000000001"/>
    <s v="Valid"/>
    <n v="0.16500000000000001"/>
    <n v="3"/>
    <n v="1030.7574"/>
    <n v="753.09"/>
    <n v="277.66739999999993"/>
    <n v="0.26938191275658069"/>
    <n v="1"/>
    <n v="0"/>
  </r>
  <r>
    <s v="ORD-2025-907040"/>
    <d v="2025-04-17T00:00:00"/>
    <x v="19"/>
    <s v="Q2-2025"/>
    <d v="2025-05-03T00:00:00"/>
    <s v="Valid"/>
    <n v="16"/>
    <d v="2025-05-03T00:00:00"/>
    <x v="2"/>
    <s v="Americas → Brazil → Rio de Janeiro"/>
    <s v="Brazil-2025-04"/>
    <s v="Brazil"/>
    <s v="Rio de Janeiro"/>
    <s v="Consumer"/>
    <s v="Marketplace"/>
    <x v="1"/>
    <s v="Networking"/>
    <s v="NET-8610"/>
    <n v="168.68"/>
    <n v="413.34"/>
    <s v="Valid"/>
    <n v="413.34"/>
    <s v="Low"/>
    <n v="0.186"/>
    <s v="Valid"/>
    <n v="0.186"/>
    <n v="7"/>
    <n v="2355.2113199999999"/>
    <n v="1180.76"/>
    <n v="1174.4513199999999"/>
    <n v="0.49866069767361682"/>
    <n v="0"/>
    <n v="0"/>
  </r>
  <r>
    <s v="ORD-2024-817997"/>
    <d v="2024-07-28T00:00:00"/>
    <x v="14"/>
    <s v="Q3-2024"/>
    <d v="2024-08-23T00:00:00"/>
    <s v="Valid"/>
    <n v="26"/>
    <d v="2024-08-23T00:00:00"/>
    <x v="1"/>
    <s v="Asia → India → Hyderabad"/>
    <s v="India-2024-07"/>
    <s v="India"/>
    <s v="Hyderabad"/>
    <s v="Corporate"/>
    <s v="Retail"/>
    <x v="1"/>
    <s v="Networking"/>
    <s v="NET-4675"/>
    <n v="1339.24"/>
    <n v="1558.89"/>
    <s v="Valid"/>
    <n v="1558.89"/>
    <s v="Medium"/>
    <n v="0.192"/>
    <s v="Valid"/>
    <n v="0.192"/>
    <n v="24"/>
    <n v="30229.994880000002"/>
    <n v="32141.760000000002"/>
    <n v="-1911.76512"/>
    <n v="-6.3240669659021781E-2"/>
    <n v="0"/>
    <n v="0"/>
  </r>
  <r>
    <s v="ORD-2025-649633"/>
    <d v="2025-07-19T00:00:00"/>
    <x v="13"/>
    <s v="Q3-2025"/>
    <d v="2025-07-31T00:00:00"/>
    <s v="Valid"/>
    <n v="12"/>
    <d v="2025-07-31T00:00:00"/>
    <x v="0"/>
    <s v="Africa → Kenya → Nairobi"/>
    <s v="Kenya-2025-07"/>
    <s v="Kenya"/>
    <s v="Nairobi"/>
    <s v="Small Business"/>
    <s v="Marketplace"/>
    <x v="7"/>
    <s v="Accessories"/>
    <s v="ACC-1028"/>
    <n v="619.64"/>
    <n v="861.16"/>
    <s v="Valid"/>
    <n v="861.16"/>
    <s v="Medium"/>
    <n v="0.113"/>
    <s v="Valid"/>
    <n v="0.113"/>
    <n v="14"/>
    <n v="10693.88488"/>
    <n v="8674.9599999999991"/>
    <n v="2018.9248800000005"/>
    <n v="0.18879246435276761"/>
    <n v="0"/>
    <n v="0"/>
  </r>
  <r>
    <s v="ORD-2023-885216"/>
    <d v="2023-08-03T00:00:00"/>
    <x v="25"/>
    <s v="Q3-2023"/>
    <d v="2023-08-02T00:00:00"/>
    <s v="Invalid RequiredDate"/>
    <n v="-1"/>
    <d v="2023-08-29T00:00:00"/>
    <x v="1"/>
    <s v="Asia → China → Shanghai"/>
    <s v="China-2023-08"/>
    <s v="China"/>
    <s v="Shanghai"/>
    <s v="Non-Profit"/>
    <s v="Direct"/>
    <x v="1"/>
    <s v="Networking"/>
    <s v="NET-4735"/>
    <n v="1021.97"/>
    <n v="2296.25"/>
    <s v="Valid"/>
    <n v="2296.25"/>
    <s v="High"/>
    <n v="0.161"/>
    <s v="Valid"/>
    <n v="0.161"/>
    <n v="26"/>
    <n v="50090.397499999999"/>
    <n v="26571.22"/>
    <n v="23519.177499999998"/>
    <n v="0.46953465482081669"/>
    <n v="1"/>
    <n v="0"/>
  </r>
  <r>
    <s v="ORD-2023-561823"/>
    <d v="2023-11-19T00:00:00"/>
    <x v="30"/>
    <s v="Q4-2023"/>
    <d v="2023-12-12T00:00:00"/>
    <s v="Valid"/>
    <n v="23"/>
    <d v="2023-12-12T00:00:00"/>
    <x v="1"/>
    <s v="Asia → India → Delhi"/>
    <s v="India-2023-11"/>
    <s v="India"/>
    <s v="Delhi"/>
    <s v="Small Business"/>
    <s v="Direct"/>
    <x v="0"/>
    <s v="Networking"/>
    <s v="NET-2460"/>
    <n v="1349.04"/>
    <n v="2636.6"/>
    <s v="Valid"/>
    <n v="2636.6"/>
    <s v="High"/>
    <n v="0.114"/>
    <s v="Valid"/>
    <n v="0.114"/>
    <n v="14"/>
    <n v="32704.386400000003"/>
    <n v="18886.559999999998"/>
    <n v="13817.826400000005"/>
    <n v="0.42250682312143928"/>
    <n v="0"/>
    <n v="0"/>
  </r>
  <r>
    <s v="ORD-2023-249805"/>
    <d v="2023-12-22T00:00:00"/>
    <x v="4"/>
    <s v="Q4-2023"/>
    <d v="2024-01-16T00:00:00"/>
    <s v="Valid"/>
    <n v="25"/>
    <d v="2024-01-16T00:00:00"/>
    <x v="1"/>
    <s v="Asia → India → Hyderabad"/>
    <s v="India-2023-12"/>
    <s v="India"/>
    <s v="Hyderabad"/>
    <s v="Small Business"/>
    <s v="Retail"/>
    <x v="8"/>
    <s v="Components"/>
    <s v="CMP-1555"/>
    <n v="1346.81"/>
    <n v="978.09"/>
    <s v="Valid"/>
    <n v="978.09"/>
    <s v="Medium"/>
    <n v="0.159"/>
    <s v="Valid"/>
    <n v="0.159"/>
    <n v="17"/>
    <n v="13983.752729999998"/>
    <n v="22895.77"/>
    <n v="-8912.0172700000021"/>
    <n v="-0.6373122753293996"/>
    <n v="0"/>
    <n v="0"/>
  </r>
  <r>
    <s v="ORD-2023-548934"/>
    <d v="2023-08-03T00:00:00"/>
    <x v="25"/>
    <s v="Q3-2023"/>
    <d v="2023-08-30T00:00:00"/>
    <s v="Valid"/>
    <n v="27"/>
    <d v="2023-08-30T00:00:00"/>
    <x v="1"/>
    <s v="Asia → China → Shanghai"/>
    <s v="China-2023-08"/>
    <s v="China"/>
    <s v="Shanghai"/>
    <s v="Consumer"/>
    <s v="Distributor"/>
    <x v="13"/>
    <s v="Monitors"/>
    <s v="MON-3773"/>
    <n v="226.04"/>
    <n v="545.72"/>
    <s v="Valid"/>
    <n v="545.72"/>
    <s v="Low"/>
    <n v="0.151"/>
    <s v="Valid"/>
    <n v="0.151"/>
    <n v="11"/>
    <n v="5096.4790800000001"/>
    <n v="2486.44"/>
    <n v="2610.03908"/>
    <n v="0.51212592831834014"/>
    <n v="0"/>
    <n v="0"/>
  </r>
  <r>
    <s v="ORD-2023-921939"/>
    <d v="2023-06-23T00:00:00"/>
    <x v="23"/>
    <s v="Q2-2023"/>
    <d v="2023-07-18T00:00:00"/>
    <s v="Valid"/>
    <n v="25"/>
    <d v="2023-07-18T00:00:00"/>
    <x v="2"/>
    <s v="Americas → Canada → Vancouver"/>
    <s v="Canada-2023-06"/>
    <s v="Canada"/>
    <s v="Vancouver"/>
    <s v="Enterprise"/>
    <s v="Online"/>
    <x v="13"/>
    <s v="Phones"/>
    <s v="PHN-4677"/>
    <n v="807.02"/>
    <n v="1435.54"/>
    <s v="Valid"/>
    <n v="1435.54"/>
    <s v="Medium"/>
    <n v="0"/>
    <s v="Valid"/>
    <n v="0"/>
    <n v="23"/>
    <n v="33017.42"/>
    <n v="18561.46"/>
    <n v="14455.96"/>
    <n v="0.43782827368098415"/>
    <n v="0"/>
    <n v="0"/>
  </r>
  <r>
    <s v="ORD-2023-961864"/>
    <d v="2023-12-07T00:00:00"/>
    <x v="4"/>
    <s v="Q4-2023"/>
    <d v="2024-01-02T00:00:00"/>
    <s v="Valid"/>
    <n v="26"/>
    <d v="2024-01-02T00:00:00"/>
    <x v="3"/>
    <s v="Europe → Germany → Frankfurt"/>
    <s v="Germany-2023-12"/>
    <s v="Germany"/>
    <s v="Frankfurt"/>
    <s v="Enterprise"/>
    <s v="Distributor"/>
    <x v="6"/>
    <s v="Components"/>
    <s v="CMP-1940"/>
    <n v="1071.99"/>
    <n v="2397.3000000000002"/>
    <s v="Valid"/>
    <n v="2397.3000000000002"/>
    <s v="High"/>
    <n v="6.2E-2"/>
    <s v="Valid"/>
    <n v="6.2E-2"/>
    <n v="18"/>
    <n v="40476.013200000001"/>
    <n v="19295.82"/>
    <n v="21180.193200000002"/>
    <n v="0.52327765324476183"/>
    <n v="0"/>
    <n v="0"/>
  </r>
  <r>
    <s v="ORD-2023-455933"/>
    <d v="2023-11-19T00:00:00"/>
    <x v="30"/>
    <s v="Q4-2023"/>
    <d v="2023-12-19T00:00:00"/>
    <s v="Valid"/>
    <n v="30"/>
    <d v="2023-12-19T00:00:00"/>
    <x v="1"/>
    <s v="Asia → Japan → Nagoya"/>
    <s v="Japan-2023-11"/>
    <s v="Japan"/>
    <s v="Nagoya"/>
    <s v="Consumer"/>
    <s v="Retail"/>
    <x v="15"/>
    <s v="Phones"/>
    <s v="PHN-9184"/>
    <n v="807.11"/>
    <n v="1853.86"/>
    <s v="Valid"/>
    <n v="1853.86"/>
    <s v="Medium"/>
    <n v="0.13900000000000001"/>
    <s v="Valid"/>
    <n v="0.13900000000000001"/>
    <n v="8"/>
    <n v="12769.38768"/>
    <n v="6456.88"/>
    <n v="6312.5076799999997"/>
    <n v="0.49434693645388639"/>
    <n v="0"/>
    <n v="0"/>
  </r>
  <r>
    <s v="ORD-2025-728935"/>
    <d v="2025-02-28T00:00:00"/>
    <x v="26"/>
    <s v="Q1-2025"/>
    <d v="2025-03-10T00:00:00"/>
    <s v="Valid"/>
    <n v="10"/>
    <d v="2025-03-10T00:00:00"/>
    <x v="1"/>
    <s v="Asia → Japan → Osaka"/>
    <s v="Japan-2025-02"/>
    <s v="Japan"/>
    <s v="Osaka"/>
    <s v="Education"/>
    <s v="Distributor"/>
    <x v="13"/>
    <s v="Laptops"/>
    <s v="LAP-3017"/>
    <n v="51.86"/>
    <n v="45.98"/>
    <s v="Valid"/>
    <n v="45.98"/>
    <s v="Low"/>
    <n v="0.17299999999999999"/>
    <s v="Valid"/>
    <n v="0.17299999999999999"/>
    <n v="7"/>
    <n v="266.17821999999995"/>
    <n v="363.02"/>
    <n v="-96.841780000000028"/>
    <n v="-0.3638230806412337"/>
    <n v="0"/>
    <n v="0"/>
  </r>
  <r>
    <m/>
    <m/>
    <x v="33"/>
    <m/>
    <m/>
    <m/>
    <m/>
    <m/>
    <x v="4"/>
    <m/>
    <m/>
    <m/>
    <m/>
    <m/>
    <m/>
    <x v="16"/>
    <m/>
    <m/>
    <m/>
    <m/>
    <m/>
    <m/>
    <m/>
    <m/>
    <m/>
    <m/>
    <m/>
    <m/>
    <m/>
    <m/>
    <m/>
    <m/>
    <m/>
  </r>
</pivotCacheRecords>
</file>

<file path=xl/pivotCache/pivotCacheRecords4.xml><?xml version="1.0" encoding="utf-8"?>
<pivotCacheRecords xmlns="http://schemas.openxmlformats.org/spreadsheetml/2006/main" xmlns:r="http://schemas.openxmlformats.org/officeDocument/2006/relationships" count="633">
  <r>
    <s v="ORD-2024-275203"/>
    <d v="2024-03-11T00:00:00"/>
    <x v="0"/>
    <s v="Q1-2024"/>
    <d v="2024-04-06T00:00:00"/>
    <s v="Valid"/>
    <n v="26"/>
    <d v="2024-04-06T00:00:00"/>
    <x v="0"/>
    <s v="Africa → Kenya → Kisumu"/>
    <s v="Kenya-2024-03"/>
    <x v="0"/>
    <s v="Kisumu"/>
    <s v="Corporate"/>
    <x v="0"/>
    <x v="0"/>
    <x v="0"/>
    <x v="0"/>
    <n v="279.24"/>
    <n v="608.9"/>
    <s v="Valid"/>
    <n v="608.9"/>
    <s v="Low"/>
    <n v="0.112"/>
    <s v="Valid"/>
    <x v="0"/>
    <n v="9"/>
    <x v="0"/>
    <n v="2513.16"/>
    <n v="2353.1687999999995"/>
    <n v="0.48356140670149533"/>
    <n v="0"/>
    <n v="0"/>
  </r>
  <r>
    <s v="ORD-2024-358795"/>
    <d v="2024-10-23T00:00:00"/>
    <x v="1"/>
    <s v="Q4-2024"/>
    <d v="2024-10-22T00:00:00"/>
    <s v="Invalid RequiredDate"/>
    <n v="-1"/>
    <d v="2024-11-18T00:00:00"/>
    <x v="0"/>
    <s v="Africa → Nigeria → Port Harcourt"/>
    <s v="Nigeria-2024-10"/>
    <x v="1"/>
    <s v="Port Harcourt"/>
    <s v="Education"/>
    <x v="1"/>
    <x v="1"/>
    <x v="1"/>
    <x v="1"/>
    <n v="1084.3900000000001"/>
    <n v="759.33"/>
    <s v="Valid"/>
    <n v="759.33"/>
    <s v="Medium"/>
    <n v="0.23699999999999999"/>
    <s v="Valid"/>
    <x v="1"/>
    <n v="31"/>
    <x v="1"/>
    <n v="33616.090000000004"/>
    <n v="-15655.657510000005"/>
    <n v="-0.87167486187856302"/>
    <n v="1"/>
    <n v="1"/>
  </r>
  <r>
    <s v="ORD-2023-373538"/>
    <d v="2023-02-28T00:00:00"/>
    <x v="2"/>
    <s v="Q1-2023"/>
    <d v="2023-03-25T00:00:00"/>
    <s v="Valid"/>
    <n v="25"/>
    <d v="2023-03-25T00:00:00"/>
    <x v="0"/>
    <s v="Africa → Kenya → Nairobi"/>
    <s v="Kenya-2023-02"/>
    <x v="0"/>
    <s v="Nairobi"/>
    <s v="Corporate"/>
    <x v="0"/>
    <x v="2"/>
    <x v="2"/>
    <x v="2"/>
    <n v="1460.76"/>
    <n v="-30.66"/>
    <s v="Invalid Price"/>
    <n v="1445.2723255813949"/>
    <s v="Medium"/>
    <n v="0.13100000000000001"/>
    <s v="Valid"/>
    <x v="2"/>
    <n v="12"/>
    <x v="2"/>
    <n v="17529.12"/>
    <n v="-2457.8201888372114"/>
    <n v="-0.16307951003779975"/>
    <n v="0"/>
    <n v="0"/>
  </r>
  <r>
    <s v="ORD-2025-168148"/>
    <d v="2025-03-29T00:00:00"/>
    <x v="3"/>
    <s v="Q1-2025"/>
    <d v="2025-04-02T00:00:00"/>
    <s v="Valid"/>
    <n v="4"/>
    <d v="2025-04-02T00:00:00"/>
    <x v="0"/>
    <s v="Africa → Nigeria → Lagos"/>
    <s v="Nigeria-2025-03"/>
    <x v="1"/>
    <s v="Lagos"/>
    <s v="Non-Profit"/>
    <x v="2"/>
    <x v="3"/>
    <x v="3"/>
    <x v="3"/>
    <n v="259.93"/>
    <n v="255.94"/>
    <s v="Valid"/>
    <n v="255.94"/>
    <s v="Low"/>
    <n v="7.1999999999999995E-2"/>
    <s v="Valid"/>
    <x v="3"/>
    <n v="22"/>
    <x v="3"/>
    <n v="5718.46"/>
    <n v="-493.1889599999995"/>
    <n v="-9.4385335463861311E-2"/>
    <n v="1"/>
    <n v="0"/>
  </r>
  <r>
    <s v="ORD-2023-824839"/>
    <d v="2023-12-06T00:00:00"/>
    <x v="4"/>
    <s v="Q4-2023"/>
    <d v="2023-12-31T00:00:00"/>
    <s v="Valid"/>
    <n v="25"/>
    <d v="2023-12-31T00:00:00"/>
    <x v="1"/>
    <s v="Asia → Japan → Osaka"/>
    <s v="Japan-2023-12"/>
    <x v="2"/>
    <s v="Osaka"/>
    <s v="Consumer"/>
    <x v="0"/>
    <x v="4"/>
    <x v="1"/>
    <x v="4"/>
    <n v="663.03"/>
    <n v="813.51"/>
    <s v="Valid"/>
    <n v="813.51"/>
    <s v="Medium"/>
    <n v="0.10199999999999999"/>
    <s v="Valid"/>
    <x v="4"/>
    <n v="15"/>
    <x v="4"/>
    <n v="9945.4499999999989"/>
    <n v="1012.529700000001"/>
    <n v="9.2401129379715952E-2"/>
    <n v="0"/>
    <n v="0"/>
  </r>
  <r>
    <s v="ORD-2023-723587"/>
    <d v="2023-01-02T00:00:00"/>
    <x v="5"/>
    <s v="Q1-2023"/>
    <d v="2023-01-05T00:00:00"/>
    <s v="Valid"/>
    <n v="3"/>
    <d v="2023-01-05T00:00:00"/>
    <x v="2"/>
    <s v="Americas → Canada → Toronto"/>
    <s v="Canada-2023-01"/>
    <x v="3"/>
    <s v="Toronto"/>
    <s v="Corporate"/>
    <x v="3"/>
    <x v="5"/>
    <x v="4"/>
    <x v="5"/>
    <n v="315.87"/>
    <n v="591.67999999999995"/>
    <s v="Valid"/>
    <n v="591.67999999999995"/>
    <s v="Low"/>
    <n v="0"/>
    <s v="Valid"/>
    <x v="5"/>
    <n v="7"/>
    <x v="5"/>
    <n v="2211.09"/>
    <n v="1930.6699999999992"/>
    <n v="0.46614724175229844"/>
    <n v="1"/>
    <n v="0"/>
  </r>
  <r>
    <s v="ORD-2024-336584"/>
    <d v="2024-12-27T00:00:00"/>
    <x v="6"/>
    <s v="Q4-2024"/>
    <d v="2025-01-14T00:00:00"/>
    <s v="Valid"/>
    <n v="18"/>
    <d v="2025-01-14T00:00:00"/>
    <x v="1"/>
    <s v="Asia → India → Bengaluru"/>
    <s v="India-2024-12"/>
    <x v="4"/>
    <s v="Bengaluru"/>
    <s v="Small Business"/>
    <x v="2"/>
    <x v="6"/>
    <x v="5"/>
    <x v="6"/>
    <n v="586.07000000000005"/>
    <n v="845.97"/>
    <s v="Valid"/>
    <n v="845.97"/>
    <s v="Medium"/>
    <n v="0.14699999999999999"/>
    <s v="Valid"/>
    <x v="6"/>
    <n v="4"/>
    <x v="6"/>
    <n v="2344.2800000000002"/>
    <n v="542.16963999999962"/>
    <n v="0.18783270370862928"/>
    <n v="0"/>
    <n v="0"/>
  </r>
  <r>
    <s v="ORD-2023-112666"/>
    <d v="2023-01-15T00:00:00"/>
    <x v="5"/>
    <s v="Q1-2023"/>
    <d v="2023-01-13T00:00:00"/>
    <s v="Invalid RequiredDate"/>
    <n v="-2"/>
    <d v="2023-02-10T00:00:00"/>
    <x v="0"/>
    <s v="Africa → Nigeria → Abuja"/>
    <s v="Nigeria-2023-01"/>
    <x v="1"/>
    <s v="Abuja"/>
    <s v="Education"/>
    <x v="1"/>
    <x v="7"/>
    <x v="1"/>
    <x v="7"/>
    <n v="28.38"/>
    <n v="47.22"/>
    <s v="Valid"/>
    <n v="47.22"/>
    <s v="Low"/>
    <n v="0.19400000000000001"/>
    <s v="Valid"/>
    <x v="7"/>
    <n v="18"/>
    <x v="7"/>
    <n v="510.84"/>
    <n v="174.22776000000005"/>
    <n v="0.25432193743871417"/>
    <n v="1"/>
    <n v="0"/>
  </r>
  <r>
    <s v="ORD-2024-589570"/>
    <d v="2024-05-04T00:00:00"/>
    <x v="7"/>
    <s v="Q2-2024"/>
    <d v="2024-05-29T00:00:00"/>
    <s v="Valid"/>
    <n v="25"/>
    <d v="2024-05-29T00:00:00"/>
    <x v="0"/>
    <s v="Africa → Nigeria → Abuja"/>
    <s v="Nigeria-2024-05"/>
    <x v="1"/>
    <s v="Abuja"/>
    <s v="Non-Profit"/>
    <x v="2"/>
    <x v="7"/>
    <x v="5"/>
    <x v="8"/>
    <n v="1295.3399999999999"/>
    <n v="2530.81"/>
    <s v="Valid"/>
    <n v="2530.81"/>
    <s v="High"/>
    <n v="3.1E-2"/>
    <s v="Valid"/>
    <x v="8"/>
    <n v="6"/>
    <x v="8"/>
    <n v="7772.0399999999991"/>
    <n v="6942.0893400000004"/>
    <n v="0.4717974933880798"/>
    <n v="0"/>
    <n v="0"/>
  </r>
  <r>
    <s v="ORD-2025-997421"/>
    <d v="2025-05-21T00:00:00"/>
    <x v="8"/>
    <s v="Q2-2025"/>
    <d v="2025-06-09T00:00:00"/>
    <s v="Valid"/>
    <n v="19"/>
    <d v="2025-06-09T00:00:00"/>
    <x v="2"/>
    <s v="Americas → Brazil → São Paulo"/>
    <s v="Brazil-2025-05"/>
    <x v="5"/>
    <s v="São Paulo"/>
    <s v="Non-Profit"/>
    <x v="1"/>
    <x v="8"/>
    <x v="0"/>
    <x v="9"/>
    <n v="1331.38"/>
    <n v="2309.56"/>
    <s v="Valid"/>
    <n v="2309.56"/>
    <s v="High"/>
    <n v="0.14899999999999999"/>
    <s v="Valid"/>
    <x v="9"/>
    <n v="31"/>
    <x v="9"/>
    <n v="41272.780000000006"/>
    <n v="19655.722359999992"/>
    <n v="0.32260307735553528"/>
    <n v="0"/>
    <n v="0"/>
  </r>
  <r>
    <s v="ORD-2024-210687"/>
    <d v="2024-01-28T00:00:00"/>
    <x v="9"/>
    <s v="Q1-2024"/>
    <d v="2024-02-09T00:00:00"/>
    <s v="Valid"/>
    <n v="12"/>
    <d v="2024-02-09T00:00:00"/>
    <x v="3"/>
    <s v="Europe → Germany → Berlin"/>
    <s v="Germany-2024-01"/>
    <x v="6"/>
    <s v="Berlin"/>
    <s v="Corporate"/>
    <x v="1"/>
    <x v="3"/>
    <x v="6"/>
    <x v="10"/>
    <n v="644.16999999999996"/>
    <n v="700.12"/>
    <s v="Valid"/>
    <n v="700.12"/>
    <s v="Medium"/>
    <n v="6.0000000000000001E-3"/>
    <s v="Valid"/>
    <x v="10"/>
    <n v="23"/>
    <x v="10"/>
    <n v="14815.91"/>
    <n v="1190.23344"/>
    <n v="7.436103796405813E-2"/>
    <n v="0"/>
    <n v="0"/>
  </r>
  <r>
    <s v="ORD-2025-515515"/>
    <d v="2025-01-03T00:00:00"/>
    <x v="10"/>
    <s v="Q1-2025"/>
    <d v="2025-01-23T00:00:00"/>
    <s v="Valid"/>
    <n v="20"/>
    <d v="2025-01-23T00:00:00"/>
    <x v="1"/>
    <s v="Asia → Japan → Osaka"/>
    <s v="Japan-2025-01"/>
    <x v="2"/>
    <s v="Osaka"/>
    <s v="Corporate"/>
    <x v="3"/>
    <x v="9"/>
    <x v="3"/>
    <x v="11"/>
    <n v="908.6"/>
    <n v="691.37"/>
    <s v="Valid"/>
    <n v="691.37"/>
    <s v="Medium"/>
    <n v="0.25"/>
    <s v="Valid"/>
    <x v="11"/>
    <n v="20"/>
    <x v="11"/>
    <n v="18172"/>
    <n v="-7801.4500000000007"/>
    <n v="-0.75226964818645115"/>
    <n v="0"/>
    <n v="1"/>
  </r>
  <r>
    <s v="ORD-2025-487261"/>
    <d v="2025-03-06T00:00:00"/>
    <x v="3"/>
    <s v="Q1-2025"/>
    <d v="2025-03-31T00:00:00"/>
    <s v="Valid"/>
    <n v="25"/>
    <d v="2025-03-31T00:00:00"/>
    <x v="2"/>
    <s v="Americas → Brazil → Brasília"/>
    <s v="Brazil-2025-03"/>
    <x v="5"/>
    <s v="Brasília"/>
    <s v="Non-Profit"/>
    <x v="1"/>
    <x v="1"/>
    <x v="0"/>
    <x v="12"/>
    <n v="331.57"/>
    <n v="548.4"/>
    <s v="Valid"/>
    <n v="548.4"/>
    <s v="Low"/>
    <n v="9.4E-2"/>
    <s v="Valid"/>
    <x v="12"/>
    <n v="10"/>
    <x v="12"/>
    <n v="3315.7"/>
    <n v="1652.8040000000001"/>
    <n v="0.33265626836568918"/>
    <n v="0"/>
    <n v="0"/>
  </r>
  <r>
    <s v="ORD-2024-890180"/>
    <d v="2024-01-20T00:00:00"/>
    <x v="9"/>
    <s v="Q1-2024"/>
    <d v="2024-02-13T00:00:00"/>
    <s v="Valid"/>
    <n v="24"/>
    <d v="2024-02-13T00:00:00"/>
    <x v="3"/>
    <s v="Europe → France → Marseille"/>
    <s v="France-2024-01"/>
    <x v="7"/>
    <s v="Marseille"/>
    <s v="Corporate"/>
    <x v="0"/>
    <x v="10"/>
    <x v="1"/>
    <x v="13"/>
    <n v="643.53"/>
    <n v="1439.01"/>
    <s v="Valid"/>
    <n v="1439.01"/>
    <s v="Medium"/>
    <n v="0"/>
    <s v="Valid"/>
    <x v="5"/>
    <n v="15"/>
    <x v="13"/>
    <n v="9652.9499999999989"/>
    <n v="11932.200000000003"/>
    <n v="0.55279671440782208"/>
    <n v="0"/>
    <n v="0"/>
  </r>
  <r>
    <s v="ORD-2025-840976"/>
    <d v="2025-09-01T00:00:00"/>
    <x v="11"/>
    <s v="Q3-2025"/>
    <d v="2025-09-30T00:00:00"/>
    <s v="Valid"/>
    <n v="29"/>
    <d v="2025-09-30T00:00:00"/>
    <x v="2"/>
    <s v="Americas → Brazil → Brasília"/>
    <s v="Brazil-2025-09"/>
    <x v="5"/>
    <s v="Brasília"/>
    <s v="Education"/>
    <x v="0"/>
    <x v="11"/>
    <x v="6"/>
    <x v="14"/>
    <n v="780.59"/>
    <n v="631.57000000000005"/>
    <s v="Valid"/>
    <n v="631.57000000000005"/>
    <s v="Medium"/>
    <n v="0"/>
    <s v="Valid"/>
    <x v="5"/>
    <n v="12"/>
    <x v="14"/>
    <n v="9367.08"/>
    <n v="-1788.2399999999998"/>
    <n v="-0.23595167598207639"/>
    <n v="0"/>
    <n v="0"/>
  </r>
  <r>
    <s v="ORD-2023-937291"/>
    <d v="2023-04-23T00:00:00"/>
    <x v="12"/>
    <s v="Q2-2023"/>
    <d v="2023-04-22T00:00:00"/>
    <s v="Invalid RequiredDate"/>
    <n v="-1"/>
    <d v="2023-05-19T00:00:00"/>
    <x v="0"/>
    <s v="Africa → Kenya → Nairobi"/>
    <s v="Kenya-2023-04"/>
    <x v="0"/>
    <s v="Nairobi"/>
    <s v="Small Business"/>
    <x v="4"/>
    <x v="6"/>
    <x v="4"/>
    <x v="15"/>
    <n v="756.51"/>
    <n v="850.8"/>
    <s v="Valid"/>
    <n v="850.8"/>
    <s v="Medium"/>
    <n v="7.3999999999999996E-2"/>
    <s v="Valid"/>
    <x v="13"/>
    <n v="9"/>
    <x v="15"/>
    <n v="6808.59"/>
    <n v="281.97720000000027"/>
    <n v="3.9767932810791252E-2"/>
    <n v="1"/>
    <n v="0"/>
  </r>
  <r>
    <s v="ORD-2024-206081"/>
    <d v="2024-12-10T00:00:00"/>
    <x v="6"/>
    <s v="Q4-2024"/>
    <d v="2025-01-08T00:00:00"/>
    <s v="Valid"/>
    <n v="29"/>
    <d v="2025-01-08T00:00:00"/>
    <x v="3"/>
    <s v="Europe → France → Marseille"/>
    <s v="France-2024-12"/>
    <x v="7"/>
    <s v="Marseille"/>
    <s v="Small Business"/>
    <x v="0"/>
    <x v="11"/>
    <x v="1"/>
    <x v="16"/>
    <n v="891.08"/>
    <n v="1040.0999999999999"/>
    <s v="Valid"/>
    <n v="1040.0999999999999"/>
    <s v="Medium"/>
    <n v="0.109"/>
    <s v="Valid"/>
    <x v="14"/>
    <n v="28"/>
    <x v="16"/>
    <n v="24950.240000000002"/>
    <n v="998.17479999999341"/>
    <n v="3.8467660074556598E-2"/>
    <n v="0"/>
    <n v="0"/>
  </r>
  <r>
    <s v="ORD-2025-233883"/>
    <d v="2025-09-08T00:00:00"/>
    <x v="11"/>
    <s v="Q3-2025"/>
    <d v="2025-09-16T00:00:00"/>
    <s v="Valid"/>
    <n v="8"/>
    <d v="2025-09-16T00:00:00"/>
    <x v="1"/>
    <s v="Asia → Japan → Osaka"/>
    <s v="Japan-2025-09"/>
    <x v="2"/>
    <s v="Osaka"/>
    <s v="Corporate"/>
    <x v="3"/>
    <x v="0"/>
    <x v="3"/>
    <x v="17"/>
    <n v="1225.57"/>
    <n v="2705.57"/>
    <s v="Valid"/>
    <n v="2705.57"/>
    <s v="High"/>
    <n v="0.183"/>
    <s v="Valid"/>
    <x v="15"/>
    <n v="16"/>
    <x v="17"/>
    <n v="19609.12"/>
    <n v="15758.091040000003"/>
    <n v="0.44555650775453404"/>
    <n v="0"/>
    <n v="0"/>
  </r>
  <r>
    <s v="ORD-2025-843974"/>
    <d v="2025-07-20T00:00:00"/>
    <x v="13"/>
    <s v="Q3-2025"/>
    <d v="2025-08-05T00:00:00"/>
    <s v="Valid"/>
    <n v="16"/>
    <d v="2025-08-05T00:00:00"/>
    <x v="2"/>
    <s v="Americas → Brazil → Brasília"/>
    <s v="Brazil-2025-07"/>
    <x v="5"/>
    <s v="Brasília"/>
    <s v="Enterprise"/>
    <x v="2"/>
    <x v="3"/>
    <x v="6"/>
    <x v="18"/>
    <n v="1068.17"/>
    <n v="2375.37"/>
    <s v="Valid"/>
    <n v="2375.37"/>
    <s v="High"/>
    <n v="0.109"/>
    <s v="Valid"/>
    <x v="14"/>
    <n v="18"/>
    <x v="18"/>
    <n v="19227.060000000001"/>
    <n v="18869.124059999998"/>
    <n v="0.49530220744108822"/>
    <n v="0"/>
    <n v="0"/>
  </r>
  <r>
    <s v="ORD-2025-745263"/>
    <d v="2025-05-21T00:00:00"/>
    <x v="8"/>
    <s v="Q2-2025"/>
    <d v="2025-05-19T00:00:00"/>
    <s v="Invalid RequiredDate"/>
    <n v="-2"/>
    <d v="2025-06-16T00:00:00"/>
    <x v="3"/>
    <s v="Europe → United Kingdom → Birmingham"/>
    <s v="United Kingdom-2025-05"/>
    <x v="8"/>
    <s v="Birmingham"/>
    <s v="Enterprise"/>
    <x v="1"/>
    <x v="12"/>
    <x v="4"/>
    <x v="19"/>
    <n v="1015.16"/>
    <n v="2148.14"/>
    <s v="Valid"/>
    <n v="2148.14"/>
    <s v="High"/>
    <n v="3.7999999999999999E-2"/>
    <s v="Valid"/>
    <x v="16"/>
    <n v="19"/>
    <x v="19"/>
    <n v="19288.04"/>
    <n v="19975.662919999995"/>
    <n v="0.50875647059322227"/>
    <n v="1"/>
    <n v="0"/>
  </r>
  <r>
    <s v="ORD-2024-798002"/>
    <d v="2024-07-25T00:00:00"/>
    <x v="14"/>
    <s v="Q3-2024"/>
    <d v="2024-07-24T00:00:00"/>
    <s v="Invalid RequiredDate"/>
    <n v="-1"/>
    <d v="2024-08-20T00:00:00"/>
    <x v="0"/>
    <s v="Africa → Kenya → Mombasa"/>
    <s v="Kenya-2024-07"/>
    <x v="0"/>
    <s v="Mombasa"/>
    <s v="Non-Profit"/>
    <x v="4"/>
    <x v="1"/>
    <x v="4"/>
    <x v="20"/>
    <n v="1494.4"/>
    <n v="3661.07"/>
    <s v="Valid"/>
    <n v="3661.07"/>
    <s v="High"/>
    <n v="7.1999999999999995E-2"/>
    <s v="Valid"/>
    <x v="3"/>
    <n v="7"/>
    <x v="20"/>
    <n v="10460.800000000001"/>
    <n v="13321.51072"/>
    <n v="0.56014366630897339"/>
    <n v="1"/>
    <n v="0"/>
  </r>
  <r>
    <s v="ORD-2023-867836"/>
    <d v="2023-05-11T00:00:00"/>
    <x v="15"/>
    <s v="Q2-2023"/>
    <d v="2023-05-28T00:00:00"/>
    <s v="Valid"/>
    <n v="17"/>
    <d v="2023-05-28T00:00:00"/>
    <x v="1"/>
    <s v="Asia → China → Shenzhen"/>
    <s v="China-2023-05"/>
    <x v="9"/>
    <s v="Shenzhen"/>
    <s v="Enterprise"/>
    <x v="2"/>
    <x v="6"/>
    <x v="2"/>
    <x v="21"/>
    <n v="1331.19"/>
    <n v="2903.09"/>
    <s v="Valid"/>
    <n v="2903.09"/>
    <s v="High"/>
    <n v="0.14299999999999999"/>
    <s v="Valid"/>
    <x v="17"/>
    <n v="8"/>
    <x v="21"/>
    <n v="10649.52"/>
    <n v="9254.0650400000013"/>
    <n v="0.46494463290920784"/>
    <n v="0"/>
    <n v="0"/>
  </r>
  <r>
    <s v="ORD-2025-580047"/>
    <d v="2025-06-14T00:00:00"/>
    <x v="16"/>
    <s v="Q2-2025"/>
    <d v="2025-06-29T00:00:00"/>
    <s v="Valid"/>
    <n v="15"/>
    <d v="2025-06-29T00:00:00"/>
    <x v="0"/>
    <s v="Africa → Nigeria → Port Harcourt"/>
    <s v="Nigeria-2025-06"/>
    <x v="1"/>
    <s v="Port Harcourt"/>
    <s v="Consumer"/>
    <x v="2"/>
    <x v="12"/>
    <x v="6"/>
    <x v="22"/>
    <n v="730.99"/>
    <n v="1242.8399999999999"/>
    <s v="Valid"/>
    <n v="1242.8399999999999"/>
    <s v="Medium"/>
    <n v="0.12"/>
    <s v="Valid"/>
    <x v="18"/>
    <n v="10"/>
    <x v="22"/>
    <n v="7309.9"/>
    <n v="3627.0920000000006"/>
    <n v="0.33163524303574515"/>
    <n v="0"/>
    <n v="0"/>
  </r>
  <r>
    <s v="ORD-2024-500109"/>
    <d v="2024-05-18T00:00:00"/>
    <x v="7"/>
    <s v="Q2-2024"/>
    <d v="2024-05-23T00:00:00"/>
    <s v="Valid"/>
    <n v="5"/>
    <d v="2024-05-23T00:00:00"/>
    <x v="2"/>
    <s v="Americas → USA → Chicago"/>
    <s v="USA-2024-05"/>
    <x v="10"/>
    <s v="Chicago"/>
    <s v="Enterprise"/>
    <x v="0"/>
    <x v="10"/>
    <x v="4"/>
    <x v="23"/>
    <n v="1274.5899999999999"/>
    <n v="2553.69"/>
    <s v="Valid"/>
    <n v="2553.69"/>
    <s v="High"/>
    <n v="0.01"/>
    <s v="Valid"/>
    <x v="19"/>
    <n v="8"/>
    <x v="23"/>
    <n v="10196.719999999999"/>
    <n v="10028.504800000001"/>
    <n v="0.49584145042481803"/>
    <n v="1"/>
    <n v="0"/>
  </r>
  <r>
    <s v="ORD-2023-271836"/>
    <d v="2023-02-07T00:00:00"/>
    <x v="2"/>
    <s v="Q1-2023"/>
    <d v="2023-02-12T00:00:00"/>
    <s v="Valid"/>
    <n v="5"/>
    <d v="2023-02-12T00:00:00"/>
    <x v="2"/>
    <s v="Americas → Brazil → São Paulo"/>
    <s v="Brazil-2023-02"/>
    <x v="5"/>
    <s v="São Paulo"/>
    <s v="Education"/>
    <x v="1"/>
    <x v="13"/>
    <x v="0"/>
    <x v="24"/>
    <n v="948.55"/>
    <n v="2089.16"/>
    <s v="Valid"/>
    <n v="2089.16"/>
    <s v="High"/>
    <n v="7.0000000000000001E-3"/>
    <s v="Valid"/>
    <x v="20"/>
    <n v="12"/>
    <x v="24"/>
    <n v="11382.599999999999"/>
    <n v="13511.830559999999"/>
    <n v="0.54276519912492427"/>
    <n v="1"/>
    <n v="0"/>
  </r>
  <r>
    <s v="ORD-2024-215294"/>
    <d v="2024-06-30T00:00:00"/>
    <x v="17"/>
    <s v="Q2-2024"/>
    <d v="2024-07-14T00:00:00"/>
    <s v="Valid"/>
    <n v="14"/>
    <d v="2024-07-14T00:00:00"/>
    <x v="2"/>
    <s v="Americas → Brazil → Brasília"/>
    <s v="Brazil-2024-06"/>
    <x v="5"/>
    <s v="Brasília"/>
    <s v="Education"/>
    <x v="0"/>
    <x v="0"/>
    <x v="6"/>
    <x v="25"/>
    <n v="1491.85"/>
    <n v="2583.02"/>
    <s v="Valid"/>
    <n v="2583.02"/>
    <s v="High"/>
    <n v="0.16800000000000001"/>
    <s v="Valid"/>
    <x v="21"/>
    <n v="4"/>
    <x v="25"/>
    <n v="5967.4"/>
    <n v="2628.8905599999998"/>
    <n v="0.30581685689321325"/>
    <n v="0"/>
    <n v="0"/>
  </r>
  <r>
    <s v="ORD-2024-788105"/>
    <d v="2024-11-30T00:00:00"/>
    <x v="18"/>
    <s v="Q4-2024"/>
    <d v="2024-12-30T00:00:00"/>
    <s v="Valid"/>
    <n v="30"/>
    <d v="2024-12-30T00:00:00"/>
    <x v="3"/>
    <s v="Europe → France → Marseille"/>
    <s v="France-2024-11"/>
    <x v="7"/>
    <s v="Marseille"/>
    <s v="Consumer"/>
    <x v="2"/>
    <x v="9"/>
    <x v="1"/>
    <x v="26"/>
    <n v="117.64"/>
    <n v="175.67"/>
    <s v="Valid"/>
    <n v="175.67"/>
    <s v="Low"/>
    <n v="0"/>
    <s v="Valid"/>
    <x v="5"/>
    <n v="10"/>
    <x v="26"/>
    <n v="1176.4000000000001"/>
    <n v="580.29999999999973"/>
    <n v="0.33033528775545046"/>
    <n v="0"/>
    <n v="0"/>
  </r>
  <r>
    <s v="ORD-2024-855073"/>
    <d v="2024-07-19T00:00:00"/>
    <x v="14"/>
    <s v="Q3-2024"/>
    <d v="2024-07-19T00:00:00"/>
    <s v="Valid"/>
    <n v="0"/>
    <d v="2024-07-19T00:00:00"/>
    <x v="0"/>
    <s v="Africa → Kenya → Kisumu"/>
    <s v="Kenya-2024-07"/>
    <x v="0"/>
    <s v="Kisumu"/>
    <s v="Small Business"/>
    <x v="0"/>
    <x v="8"/>
    <x v="3"/>
    <x v="27"/>
    <n v="857.24"/>
    <n v="758.23"/>
    <s v="Valid"/>
    <n v="758.23"/>
    <s v="Medium"/>
    <n v="0.125"/>
    <s v="Valid"/>
    <x v="22"/>
    <n v="6"/>
    <x v="27"/>
    <n v="5143.4400000000005"/>
    <n v="-1162.7325000000005"/>
    <n v="-0.29209192084572921"/>
    <n v="1"/>
    <n v="0"/>
  </r>
  <r>
    <s v="ORD-2023-897079"/>
    <d v="2023-04-14T00:00:00"/>
    <x v="12"/>
    <s v="Q2-2023"/>
    <d v="2023-05-14T00:00:00"/>
    <s v="Valid"/>
    <n v="30"/>
    <d v="2023-05-14T00:00:00"/>
    <x v="0"/>
    <s v="Africa → Kenya → Nakuru"/>
    <s v="Kenya-2023-04"/>
    <x v="0"/>
    <s v="Nakuru"/>
    <s v="Consumer"/>
    <x v="2"/>
    <x v="12"/>
    <x v="3"/>
    <x v="28"/>
    <n v="209.25"/>
    <n v="434.8"/>
    <s v="Valid"/>
    <n v="434.8"/>
    <s v="Low"/>
    <n v="0"/>
    <s v="Valid"/>
    <x v="5"/>
    <n v="9"/>
    <x v="28"/>
    <n v="1883.25"/>
    <n v="2029.9500000000003"/>
    <n v="0.51874425022999082"/>
    <n v="0"/>
    <n v="0"/>
  </r>
  <r>
    <s v="ORD-2025-548982"/>
    <d v="2025-04-07T00:00:00"/>
    <x v="19"/>
    <s v="Q2-2025"/>
    <d v="2025-04-11T00:00:00"/>
    <s v="Valid"/>
    <n v="4"/>
    <d v="2025-04-11T00:00:00"/>
    <x v="3"/>
    <s v="Europe → France → Lyon"/>
    <s v="France-2025-04"/>
    <x v="7"/>
    <s v="Lyon"/>
    <s v="Education"/>
    <x v="0"/>
    <x v="6"/>
    <x v="2"/>
    <x v="29"/>
    <n v="754.77"/>
    <n v="1666.18"/>
    <s v="Valid"/>
    <n v="1666.18"/>
    <s v="Medium"/>
    <n v="0.13900000000000001"/>
    <s v="Valid"/>
    <x v="23"/>
    <n v="14"/>
    <x v="29"/>
    <n v="10566.779999999999"/>
    <n v="9517.3537200000028"/>
    <n v="0.47387424584424653"/>
    <n v="1"/>
    <n v="0"/>
  </r>
  <r>
    <s v="ORD-2024-170313"/>
    <d v="2024-12-27T00:00:00"/>
    <x v="6"/>
    <s v="Q4-2024"/>
    <d v="2025-01-15T00:00:00"/>
    <s v="Valid"/>
    <n v="19"/>
    <d v="2025-01-15T00:00:00"/>
    <x v="1"/>
    <s v="Asia → India → Delhi"/>
    <s v="India-2024-12"/>
    <x v="4"/>
    <s v="Delhi"/>
    <s v="Non-Profit"/>
    <x v="3"/>
    <x v="3"/>
    <x v="0"/>
    <x v="30"/>
    <n v="495.59"/>
    <n v="631.78"/>
    <s v="Valid"/>
    <n v="631.78"/>
    <s v="Medium"/>
    <n v="8.6999999999999994E-2"/>
    <s v="Valid"/>
    <x v="24"/>
    <n v="17"/>
    <x v="30"/>
    <n v="8425.0299999999988"/>
    <n v="1380.8273800000024"/>
    <n v="0.14081658813601899"/>
    <n v="0"/>
    <n v="0"/>
  </r>
  <r>
    <s v="ORD-2023-562894"/>
    <d v="2023-02-23T00:00:00"/>
    <x v="2"/>
    <s v="Q1-2023"/>
    <d v="2023-03-25T00:00:00"/>
    <s v="Valid"/>
    <n v="30"/>
    <d v="2023-03-25T00:00:00"/>
    <x v="2"/>
    <s v="Americas → Canada → Montreal"/>
    <s v="Canada-2023-02"/>
    <x v="3"/>
    <s v="Montreal"/>
    <s v="Enterprise"/>
    <x v="1"/>
    <x v="14"/>
    <x v="3"/>
    <x v="31"/>
    <n v="1242.6600000000001"/>
    <n v="1794.07"/>
    <s v="Valid"/>
    <n v="1794.07"/>
    <s v="Medium"/>
    <n v="8.8999999999999996E-2"/>
    <s v="Valid"/>
    <x v="25"/>
    <n v="16"/>
    <x v="31"/>
    <n v="19882.560000000001"/>
    <n v="6267.8043199999993"/>
    <n v="0.23968325042440553"/>
    <n v="0"/>
    <n v="0"/>
  </r>
  <r>
    <s v="ORD-2025-474710"/>
    <d v="2025-07-24T00:00:00"/>
    <x v="13"/>
    <s v="Q3-2025"/>
    <d v="2025-08-06T00:00:00"/>
    <s v="Valid"/>
    <n v="13"/>
    <d v="2025-08-06T00:00:00"/>
    <x v="0"/>
    <s v="Africa → South Africa → Johannesburg"/>
    <s v="South Africa-2025-07"/>
    <x v="11"/>
    <s v="Johannesburg"/>
    <s v="Education"/>
    <x v="2"/>
    <x v="14"/>
    <x v="2"/>
    <x v="32"/>
    <n v="1463.9"/>
    <n v="2633.02"/>
    <s v="Valid"/>
    <n v="2633.02"/>
    <s v="High"/>
    <n v="8.4000000000000005E-2"/>
    <s v="Valid"/>
    <x v="26"/>
    <n v="4"/>
    <x v="32"/>
    <n v="5855.6"/>
    <n v="3791.7852800000001"/>
    <n v="0.39303761277791527"/>
    <n v="0"/>
    <n v="0"/>
  </r>
  <r>
    <s v="ORD-2024-629525"/>
    <d v="2024-04-18T00:00:00"/>
    <x v="20"/>
    <s v="Q2-2024"/>
    <d v="2024-05-08T00:00:00"/>
    <s v="Valid"/>
    <n v="20"/>
    <d v="2024-05-08T00:00:00"/>
    <x v="3"/>
    <s v="Europe → United Kingdom → London"/>
    <s v="United Kingdom-2024-04"/>
    <x v="8"/>
    <s v="London"/>
    <s v="Non-Profit"/>
    <x v="5"/>
    <x v="14"/>
    <x v="4"/>
    <x v="33"/>
    <n v="645.33000000000004"/>
    <n v="1321.85"/>
    <s v="Valid"/>
    <n v="1321.85"/>
    <s v="Medium"/>
    <n v="0"/>
    <s v="Valid"/>
    <x v="5"/>
    <n v="10"/>
    <x v="33"/>
    <n v="6453.3"/>
    <n v="6765.2"/>
    <n v="0.51179785906116426"/>
    <n v="0"/>
    <n v="0"/>
  </r>
  <r>
    <s v="ORD-2024-167215"/>
    <d v="2024-08-23T00:00:00"/>
    <x v="21"/>
    <s v="Q3-2024"/>
    <d v="2024-08-21T00:00:00"/>
    <s v="Invalid RequiredDate"/>
    <n v="-2"/>
    <d v="2024-09-18T00:00:00"/>
    <x v="0"/>
    <s v="Africa → South Africa → Johannesburg"/>
    <s v="South Africa-2024-08"/>
    <x v="11"/>
    <s v="Johannesburg"/>
    <s v="Education"/>
    <x v="0"/>
    <x v="6"/>
    <x v="0"/>
    <x v="34"/>
    <n v="1432.52"/>
    <n v="3036.87"/>
    <s v="Valid"/>
    <n v="3036.87"/>
    <s v="High"/>
    <n v="0"/>
    <s v="Valid"/>
    <x v="5"/>
    <n v="9"/>
    <x v="34"/>
    <n v="12892.68"/>
    <n v="14439.149999999998"/>
    <n v="0.52829064135112791"/>
    <n v="1"/>
    <n v="0"/>
  </r>
  <r>
    <s v="ORD-2023-864121"/>
    <d v="2023-03-27T00:00:00"/>
    <x v="22"/>
    <s v="Q1-2023"/>
    <d v="2023-04-22T00:00:00"/>
    <s v="Valid"/>
    <n v="26"/>
    <d v="2023-04-22T00:00:00"/>
    <x v="1"/>
    <s v="Asia → India → Delhi"/>
    <s v="India-2023-03"/>
    <x v="4"/>
    <s v="Delhi"/>
    <s v="Non-Profit"/>
    <x v="2"/>
    <x v="1"/>
    <x v="1"/>
    <x v="35"/>
    <n v="178.53"/>
    <n v="199.37"/>
    <s v="Valid"/>
    <n v="199.37"/>
    <s v="Low"/>
    <n v="0.10100000000000001"/>
    <s v="Valid"/>
    <x v="27"/>
    <n v="37"/>
    <x v="35"/>
    <n v="6605.61"/>
    <n v="26.034310000000914"/>
    <n v="3.9257699573457538E-3"/>
    <n v="0"/>
    <n v="0"/>
  </r>
  <r>
    <s v="ORD-2024-692673"/>
    <d v="2024-03-07T00:00:00"/>
    <x v="0"/>
    <s v="Q1-2024"/>
    <d v="2024-03-25T00:00:00"/>
    <s v="Valid"/>
    <n v="18"/>
    <d v="2024-03-25T00:00:00"/>
    <x v="3"/>
    <s v="Europe → Germany → Munich"/>
    <s v="Germany-2024-03"/>
    <x v="6"/>
    <s v="Munich"/>
    <s v="Corporate"/>
    <x v="1"/>
    <x v="5"/>
    <x v="0"/>
    <x v="36"/>
    <n v="712.84"/>
    <n v="927.51"/>
    <s v="Valid"/>
    <n v="927.51"/>
    <s v="Medium"/>
    <n v="0.24299999999999999"/>
    <s v="Valid"/>
    <x v="28"/>
    <n v="27"/>
    <x v="36"/>
    <n v="19246.68"/>
    <n v="-289.30311000000074"/>
    <n v="-1.5260714163076427E-2"/>
    <n v="0"/>
    <n v="1"/>
  </r>
  <r>
    <s v="ORD-2025-718992"/>
    <d v="2025-06-24T00:00:00"/>
    <x v="16"/>
    <s v="Q2-2025"/>
    <d v="2025-07-10T00:00:00"/>
    <s v="Valid"/>
    <n v="16"/>
    <d v="2025-07-10T00:00:00"/>
    <x v="1"/>
    <s v="Asia → China → Shanghai"/>
    <s v="China-2025-06"/>
    <x v="9"/>
    <s v="Shanghai"/>
    <s v="Enterprise"/>
    <x v="4"/>
    <x v="13"/>
    <x v="0"/>
    <x v="37"/>
    <n v="757.19"/>
    <n v="1735.41"/>
    <s v="Valid"/>
    <n v="1735.41"/>
    <s v="Medium"/>
    <n v="0.13600000000000001"/>
    <s v="Valid"/>
    <x v="29"/>
    <n v="8"/>
    <x v="37"/>
    <n v="6057.52"/>
    <n v="5937.6339200000002"/>
    <n v="0.4950027285685718"/>
    <n v="0"/>
    <n v="0"/>
  </r>
  <r>
    <s v="ORD-2024-599522"/>
    <d v="2024-04-19T00:00:00"/>
    <x v="20"/>
    <s v="Q2-2024"/>
    <d v="2024-05-06T00:00:00"/>
    <s v="Valid"/>
    <n v="17"/>
    <d v="2024-05-06T00:00:00"/>
    <x v="0"/>
    <s v="Africa → Nigeria → Port Harcourt"/>
    <s v="Nigeria-2024-04"/>
    <x v="1"/>
    <s v="Port Harcourt"/>
    <s v="Non-Profit"/>
    <x v="1"/>
    <x v="8"/>
    <x v="1"/>
    <x v="38"/>
    <n v="865.33"/>
    <n v="1395.64"/>
    <s v="Valid"/>
    <n v="1395.64"/>
    <s v="Medium"/>
    <n v="0.17499999999999999"/>
    <s v="Valid"/>
    <x v="30"/>
    <n v="13"/>
    <x v="38"/>
    <n v="11249.29"/>
    <n v="3718.9489999999987"/>
    <n v="0.24845601409758347"/>
    <n v="0"/>
    <n v="0"/>
  </r>
  <r>
    <s v="ORD-2023-651638"/>
    <d v="2023-06-17T00:00:00"/>
    <x v="23"/>
    <s v="Q2-2023"/>
    <d v="2023-06-24T00:00:00"/>
    <s v="Valid"/>
    <n v="7"/>
    <d v="2023-06-24T00:00:00"/>
    <x v="2"/>
    <s v="Americas → USA → San Francisco"/>
    <s v="USA-2023-06"/>
    <x v="10"/>
    <s v="San Francisco"/>
    <s v="Corporate"/>
    <x v="0"/>
    <x v="2"/>
    <x v="1"/>
    <x v="39"/>
    <n v="313.99"/>
    <n v="454.42"/>
    <s v="Valid"/>
    <n v="454.42"/>
    <s v="Low"/>
    <n v="0.129"/>
    <s v="Valid"/>
    <x v="31"/>
    <n v="9"/>
    <x v="39"/>
    <n v="2825.91"/>
    <n v="736.28838000000042"/>
    <n v="0.20669493988147858"/>
    <n v="1"/>
    <n v="0"/>
  </r>
  <r>
    <s v="ORD-2024-635626"/>
    <d v="2024-08-27T00:00:00"/>
    <x v="21"/>
    <s v="Q3-2024"/>
    <d v="2024-09-19T00:00:00"/>
    <s v="Valid"/>
    <n v="23"/>
    <d v="2024-09-19T00:00:00"/>
    <x v="3"/>
    <s v="Europe → Germany → Berlin"/>
    <s v="Germany-2024-08"/>
    <x v="6"/>
    <s v="Berlin"/>
    <s v="Small Business"/>
    <x v="4"/>
    <x v="14"/>
    <x v="5"/>
    <x v="40"/>
    <n v="1024.01"/>
    <n v="1580.97"/>
    <s v="Valid"/>
    <n v="1580.97"/>
    <s v="Medium"/>
    <n v="3.6999999999999998E-2"/>
    <s v="Valid"/>
    <x v="32"/>
    <n v="27"/>
    <x v="40"/>
    <n v="27648.27"/>
    <n v="13458.530970000003"/>
    <n v="0.3274039976942531"/>
    <n v="0"/>
    <n v="0"/>
  </r>
  <r>
    <s v="ORD-2024-296582"/>
    <d v="2024-01-11T00:00:00"/>
    <x v="9"/>
    <s v="Q1-2024"/>
    <d v="2024-02-02T00:00:00"/>
    <s v="Valid"/>
    <n v="22"/>
    <d v="2024-02-02T00:00:00"/>
    <x v="0"/>
    <s v="Africa → South Africa → Durban"/>
    <s v="South Africa-2024-01"/>
    <x v="11"/>
    <s v="Durban"/>
    <s v="Consumer"/>
    <x v="1"/>
    <x v="11"/>
    <x v="2"/>
    <x v="41"/>
    <n v="1206.2"/>
    <n v="1759.79"/>
    <s v="Valid"/>
    <n v="1759.79"/>
    <s v="Medium"/>
    <n v="0"/>
    <s v="Valid"/>
    <x v="5"/>
    <n v="6"/>
    <x v="41"/>
    <n v="7237.2000000000007"/>
    <n v="3321.5399999999991"/>
    <n v="0.31457730751964713"/>
    <n v="0"/>
    <n v="0"/>
  </r>
  <r>
    <s v="ORD-2024-998320"/>
    <d v="2024-10-25T00:00:00"/>
    <x v="1"/>
    <s v="Q4-2024"/>
    <d v="2024-11-14T00:00:00"/>
    <s v="Valid"/>
    <n v="20"/>
    <d v="2024-11-14T00:00:00"/>
    <x v="0"/>
    <s v="Africa → Kenya → Mombasa"/>
    <s v="Kenya-2024-10"/>
    <x v="0"/>
    <s v="Mombasa"/>
    <s v="Corporate"/>
    <x v="4"/>
    <x v="10"/>
    <x v="1"/>
    <x v="42"/>
    <n v="1396.48"/>
    <n v="3204.5"/>
    <s v="Valid"/>
    <n v="3204.5"/>
    <s v="High"/>
    <n v="0.318"/>
    <s v="High Discount"/>
    <x v="33"/>
    <n v="14"/>
    <x v="42"/>
    <n v="19550.72"/>
    <n v="11853.379999999997"/>
    <n v="0.3774468938769141"/>
    <n v="0"/>
    <n v="1"/>
  </r>
  <r>
    <s v="ORD-2025-820255"/>
    <d v="2025-05-29T00:00:00"/>
    <x v="8"/>
    <s v="Q2-2025"/>
    <d v="2025-06-20T00:00:00"/>
    <s v="Valid"/>
    <n v="22"/>
    <d v="2025-06-20T00:00:00"/>
    <x v="3"/>
    <s v="Europe → Germany → Berlin"/>
    <s v="Germany-2025-05"/>
    <x v="6"/>
    <s v="Berlin"/>
    <s v="Corporate"/>
    <x v="4"/>
    <x v="8"/>
    <x v="1"/>
    <x v="43"/>
    <n v="483.47"/>
    <n v="1135.43"/>
    <s v="Valid"/>
    <n v="1135.43"/>
    <s v="Medium"/>
    <n v="0.14599999999999999"/>
    <s v="Valid"/>
    <x v="34"/>
    <n v="11"/>
    <x v="43"/>
    <n v="5318.17"/>
    <n v="5348.0594200000014"/>
    <n v="0.50140112399719983"/>
    <n v="0"/>
    <n v="0"/>
  </r>
  <r>
    <s v="ORD-2024-389336"/>
    <d v="2024-05-20T00:00:00"/>
    <x v="7"/>
    <s v="Q2-2024"/>
    <d v="2024-06-02T00:00:00"/>
    <s v="Valid"/>
    <n v="13"/>
    <d v="2024-06-02T00:00:00"/>
    <x v="2"/>
    <s v="Americas → Canada → Vancouver"/>
    <s v="Canada-2024-05"/>
    <x v="3"/>
    <s v="Vancouver"/>
    <s v="Enterprise"/>
    <x v="2"/>
    <x v="11"/>
    <x v="0"/>
    <x v="44"/>
    <n v="675.43"/>
    <n v="996.36"/>
    <s v="Valid"/>
    <n v="996.36"/>
    <s v="Medium"/>
    <n v="0.182"/>
    <s v="Valid"/>
    <x v="35"/>
    <n v="22"/>
    <x v="44"/>
    <n v="14859.46"/>
    <n v="3071.0345600000037"/>
    <n v="0.17127439233332575"/>
    <n v="0"/>
    <n v="0"/>
  </r>
  <r>
    <s v="ORD-2023-308124"/>
    <d v="2023-04-19T00:00:00"/>
    <x v="12"/>
    <s v="Q2-2023"/>
    <d v="2023-04-30T00:00:00"/>
    <s v="Valid"/>
    <n v="11"/>
    <d v="2023-04-30T00:00:00"/>
    <x v="1"/>
    <s v="Asia → India → Delhi"/>
    <s v="India-2023-04"/>
    <x v="4"/>
    <s v="Delhi"/>
    <s v="Small Business"/>
    <x v="0"/>
    <x v="8"/>
    <x v="2"/>
    <x v="45"/>
    <n v="826.55"/>
    <n v="1397.05"/>
    <s v="Valid"/>
    <n v="1397.05"/>
    <s v="Medium"/>
    <n v="0.16900000000000001"/>
    <s v="Valid"/>
    <x v="36"/>
    <n v="28"/>
    <x v="45"/>
    <n v="23143.399999999998"/>
    <n v="9363.1594000000005"/>
    <n v="0.28803907804527601"/>
    <n v="0"/>
    <n v="0"/>
  </r>
  <r>
    <s v="ORD-2023-128295"/>
    <d v="2023-06-23T00:00:00"/>
    <x v="23"/>
    <s v="Q2-2023"/>
    <d v="2023-07-03T00:00:00"/>
    <s v="Valid"/>
    <n v="10"/>
    <d v="2023-07-03T00:00:00"/>
    <x v="0"/>
    <s v="Africa → Nigeria → Abuja"/>
    <s v="Nigeria-2023-06"/>
    <x v="1"/>
    <s v="Abuja"/>
    <s v="Consumer"/>
    <x v="1"/>
    <x v="1"/>
    <x v="1"/>
    <x v="46"/>
    <n v="337.75"/>
    <n v="548.89"/>
    <s v="Valid"/>
    <n v="548.89"/>
    <s v="Low"/>
    <n v="0"/>
    <s v="Valid"/>
    <x v="5"/>
    <n v="13"/>
    <x v="46"/>
    <n v="4390.75"/>
    <n v="2744.8199999999997"/>
    <n v="0.38466723751571352"/>
    <n v="0"/>
    <n v="0"/>
  </r>
  <r>
    <s v="ORD-2024-548345"/>
    <d v="2024-05-14T00:00:00"/>
    <x v="7"/>
    <s v="Q2-2024"/>
    <d v="2024-05-28T00:00:00"/>
    <s v="Valid"/>
    <n v="14"/>
    <d v="2024-05-28T00:00:00"/>
    <x v="3"/>
    <s v="Europe → United Kingdom → Birmingham"/>
    <s v="United Kingdom-2024-05"/>
    <x v="8"/>
    <s v="Birmingham"/>
    <s v="Consumer"/>
    <x v="0"/>
    <x v="5"/>
    <x v="2"/>
    <x v="47"/>
    <n v="1421.14"/>
    <n v="3524"/>
    <s v="Valid"/>
    <n v="3524"/>
    <s v="High"/>
    <n v="0"/>
    <s v="Valid"/>
    <x v="5"/>
    <n v="31"/>
    <x v="47"/>
    <n v="44055.340000000004"/>
    <n v="65188.659999999996"/>
    <n v="0.59672531214528945"/>
    <n v="0"/>
    <n v="0"/>
  </r>
  <r>
    <s v="ORD-2024-966651"/>
    <d v="2024-10-14T00:00:00"/>
    <x v="1"/>
    <s v="Q4-2024"/>
    <d v="2024-11-08T00:00:00"/>
    <s v="Valid"/>
    <n v="25"/>
    <d v="2024-11-08T00:00:00"/>
    <x v="0"/>
    <s v="Africa → Nigeria → Lagos"/>
    <s v="Nigeria-2024-10"/>
    <x v="1"/>
    <s v="Lagos"/>
    <s v="Enterprise"/>
    <x v="1"/>
    <x v="7"/>
    <x v="2"/>
    <x v="48"/>
    <n v="859.35"/>
    <n v="1825.61"/>
    <s v="Valid"/>
    <n v="1825.61"/>
    <s v="Medium"/>
    <n v="0.187"/>
    <s v="Valid"/>
    <x v="37"/>
    <n v="24"/>
    <x v="48"/>
    <n v="20624.400000000001"/>
    <n v="14996.902319999994"/>
    <n v="0.42100937762681989"/>
    <n v="0"/>
    <n v="0"/>
  </r>
  <r>
    <s v="ORD-2023-292714"/>
    <d v="2023-07-10T00:00:00"/>
    <x v="24"/>
    <s v="Q3-2023"/>
    <d v="2023-08-01T00:00:00"/>
    <s v="Valid"/>
    <n v="22"/>
    <d v="2023-08-01T00:00:00"/>
    <x v="3"/>
    <s v="Europe → France → Marseille"/>
    <s v="France-2023-07"/>
    <x v="7"/>
    <s v="Marseille"/>
    <s v="Consumer"/>
    <x v="2"/>
    <x v="5"/>
    <x v="1"/>
    <x v="49"/>
    <n v="1303.56"/>
    <n v="1791.37"/>
    <s v="Valid"/>
    <n v="1791.37"/>
    <s v="Medium"/>
    <n v="0.126"/>
    <s v="Valid"/>
    <x v="38"/>
    <n v="22"/>
    <x v="49"/>
    <n v="28678.32"/>
    <n v="5766.142359999998"/>
    <n v="0.16740404596055358"/>
    <n v="0"/>
    <n v="0"/>
  </r>
  <r>
    <s v="ORD-2024-468501"/>
    <d v="2024-11-06T00:00:00"/>
    <x v="18"/>
    <s v="Q4-2024"/>
    <d v="2024-11-22T00:00:00"/>
    <s v="Valid"/>
    <n v="16"/>
    <d v="2024-11-22T00:00:00"/>
    <x v="2"/>
    <s v="Americas → Canada → Toronto"/>
    <s v="Canada-2024-11"/>
    <x v="3"/>
    <s v="Toronto"/>
    <s v="Non-Profit"/>
    <x v="3"/>
    <x v="14"/>
    <x v="6"/>
    <x v="50"/>
    <n v="1454.11"/>
    <n v="2629.75"/>
    <s v="Valid"/>
    <n v="2629.75"/>
    <s v="High"/>
    <n v="0.29199999999999998"/>
    <s v="Valid"/>
    <x v="39"/>
    <n v="8"/>
    <x v="50"/>
    <n v="11632.88"/>
    <n v="3262.0239999999994"/>
    <n v="0.21900268709351867"/>
    <n v="0"/>
    <n v="1"/>
  </r>
  <r>
    <s v="ORD-2024-260775"/>
    <d v="2024-10-17T00:00:00"/>
    <x v="1"/>
    <s v="Q4-2024"/>
    <d v="2024-11-06T00:00:00"/>
    <s v="Valid"/>
    <n v="20"/>
    <d v="2024-11-06T00:00:00"/>
    <x v="1"/>
    <s v="Asia → India → Bengaluru"/>
    <s v="India-2024-10"/>
    <x v="4"/>
    <s v="Bengaluru"/>
    <s v="Enterprise"/>
    <x v="3"/>
    <x v="7"/>
    <x v="5"/>
    <x v="51"/>
    <n v="72.94"/>
    <n v="106.3"/>
    <s v="Valid"/>
    <n v="106.3"/>
    <s v="Low"/>
    <n v="0.29499999999999998"/>
    <s v="Valid"/>
    <x v="40"/>
    <n v="8"/>
    <x v="51"/>
    <n v="583.52"/>
    <n v="16.012000000000057"/>
    <n v="2.6707498515508857E-2"/>
    <n v="0"/>
    <n v="1"/>
  </r>
  <r>
    <s v="ORD-2023-419187"/>
    <d v="2023-03-31T00:00:00"/>
    <x v="22"/>
    <s v="Q1-2023"/>
    <d v="2023-04-05T00:00:00"/>
    <s v="Valid"/>
    <n v="5"/>
    <d v="2023-04-05T00:00:00"/>
    <x v="0"/>
    <s v="Africa → Kenya → Nakuru"/>
    <s v="Kenya-2023-03"/>
    <x v="0"/>
    <s v="Nakuru"/>
    <s v="Education"/>
    <x v="2"/>
    <x v="5"/>
    <x v="4"/>
    <x v="52"/>
    <n v="533.26"/>
    <n v="385.72"/>
    <s v="Valid"/>
    <n v="385.72"/>
    <s v="Low"/>
    <n v="0"/>
    <s v="Valid"/>
    <x v="5"/>
    <n v="15"/>
    <x v="52"/>
    <n v="7998.9"/>
    <n v="-2213.0999999999995"/>
    <n v="-0.38250544436378708"/>
    <n v="1"/>
    <n v="0"/>
  </r>
  <r>
    <s v="ORD-2025-578007"/>
    <d v="2025-01-21T00:00:00"/>
    <x v="10"/>
    <s v="Q1-2025"/>
    <d v="2025-02-16T00:00:00"/>
    <s v="Valid"/>
    <n v="26"/>
    <d v="2025-02-16T00:00:00"/>
    <x v="3"/>
    <s v="Europe → France → Lyon"/>
    <s v="France-2025-01"/>
    <x v="7"/>
    <s v="Lyon"/>
    <s v="Corporate"/>
    <x v="3"/>
    <x v="7"/>
    <x v="4"/>
    <x v="53"/>
    <n v="204.11"/>
    <n v="236.87"/>
    <s v="Valid"/>
    <n v="236.87"/>
    <s v="Low"/>
    <n v="0.182"/>
    <s v="Valid"/>
    <x v="35"/>
    <n v="13"/>
    <x v="53"/>
    <n v="2653.4300000000003"/>
    <n v="-134.55441999999994"/>
    <n v="-5.3418446337075494E-2"/>
    <n v="0"/>
    <n v="0"/>
  </r>
  <r>
    <s v="ORD-2023-235230"/>
    <d v="2023-08-30T00:00:00"/>
    <x v="25"/>
    <s v="Q3-2023"/>
    <d v="2023-09-01T00:00:00"/>
    <s v="Valid"/>
    <n v="2"/>
    <d v="2023-09-01T00:00:00"/>
    <x v="3"/>
    <s v="Europe → Germany → Munich"/>
    <s v="Germany-2023-08"/>
    <x v="6"/>
    <s v="Munich"/>
    <s v="Corporate"/>
    <x v="4"/>
    <x v="13"/>
    <x v="2"/>
    <x v="54"/>
    <n v="44.42"/>
    <n v="41.9"/>
    <s v="Valid"/>
    <n v="41.9"/>
    <s v="Low"/>
    <n v="0.14399999999999999"/>
    <s v="Valid"/>
    <x v="41"/>
    <n v="6"/>
    <x v="54"/>
    <n v="266.52"/>
    <n v="-51.321600000000018"/>
    <n v="-0.23848504449847224"/>
    <n v="1"/>
    <n v="0"/>
  </r>
  <r>
    <s v="ORD-2025-765220"/>
    <d v="2025-04-06T00:00:00"/>
    <x v="19"/>
    <s v="Q2-2025"/>
    <d v="2025-04-30T00:00:00"/>
    <s v="Valid"/>
    <n v="24"/>
    <d v="2025-04-30T00:00:00"/>
    <x v="2"/>
    <s v="Americas → Brazil → Brasília"/>
    <s v="Brazil-2025-04"/>
    <x v="5"/>
    <s v="Brasília"/>
    <s v="Education"/>
    <x v="1"/>
    <x v="11"/>
    <x v="5"/>
    <x v="55"/>
    <n v="855.78"/>
    <n v="977.38"/>
    <s v="Valid"/>
    <n v="977.38"/>
    <s v="Medium"/>
    <n v="0.14699999999999999"/>
    <s v="Valid"/>
    <x v="6"/>
    <n v="38"/>
    <x v="55"/>
    <n v="32519.64"/>
    <n v="-838.84467999999833"/>
    <n v="-2.6478018355506307E-2"/>
    <n v="0"/>
    <n v="0"/>
  </r>
  <r>
    <s v="ORD-2025-931538"/>
    <d v="2025-02-09T00:00:00"/>
    <x v="26"/>
    <s v="Q1-2025"/>
    <d v="2025-03-01T00:00:00"/>
    <s v="Valid"/>
    <n v="20"/>
    <d v="2025-03-01T00:00:00"/>
    <x v="2"/>
    <s v="Americas → Brazil → São Paulo"/>
    <s v="Brazil-2025-02"/>
    <x v="5"/>
    <s v="São Paulo"/>
    <s v="Corporate"/>
    <x v="3"/>
    <x v="5"/>
    <x v="4"/>
    <x v="56"/>
    <n v="1154.6400000000001"/>
    <n v="2794.13"/>
    <s v="Valid"/>
    <n v="2794.13"/>
    <s v="High"/>
    <n v="3.5000000000000003E-2"/>
    <s v="Valid"/>
    <x v="42"/>
    <n v="11"/>
    <x v="56"/>
    <n v="12701.04"/>
    <n v="16958.649949999999"/>
    <n v="0.57177435025749479"/>
    <n v="0"/>
    <n v="0"/>
  </r>
  <r>
    <s v="ORD-2024-289089"/>
    <d v="2024-12-17T00:00:00"/>
    <x v="6"/>
    <s v="Q4-2024"/>
    <d v="2024-12-18T00:00:00"/>
    <s v="Valid"/>
    <n v="1"/>
    <d v="2024-12-18T00:00:00"/>
    <x v="3"/>
    <s v="Europe → Germany → Munich"/>
    <s v="Germany-2024-12"/>
    <x v="6"/>
    <s v="Munich"/>
    <s v="Education"/>
    <x v="0"/>
    <x v="4"/>
    <x v="6"/>
    <x v="57"/>
    <n v="346.82"/>
    <n v="701.95"/>
    <s v="Valid"/>
    <n v="701.95"/>
    <s v="Medium"/>
    <n v="0.14699999999999999"/>
    <s v="Valid"/>
    <x v="6"/>
    <n v="8"/>
    <x v="57"/>
    <n v="2774.56"/>
    <n v="2015.5468000000005"/>
    <n v="0.42077283120284509"/>
    <n v="1"/>
    <n v="0"/>
  </r>
  <r>
    <s v="ORD-2025-639542"/>
    <d v="2025-06-09T00:00:00"/>
    <x v="16"/>
    <s v="Q2-2025"/>
    <d v="2025-06-18T00:00:00"/>
    <s v="Valid"/>
    <n v="9"/>
    <d v="2025-06-18T00:00:00"/>
    <x v="3"/>
    <s v="Europe → France → Marseille"/>
    <s v="France-2025-06"/>
    <x v="7"/>
    <s v="Marseille"/>
    <s v="Small Business"/>
    <x v="2"/>
    <x v="10"/>
    <x v="6"/>
    <x v="58"/>
    <n v="1225.5"/>
    <n v="-5.27"/>
    <s v="Invalid Price"/>
    <n v="1242.0129545454542"/>
    <s v="Medium"/>
    <n v="7.4999999999999997E-2"/>
    <s v="Valid"/>
    <x v="43"/>
    <n v="56"/>
    <x v="58"/>
    <n v="68628"/>
    <n v="-4291.7289545454696"/>
    <n v="-6.6707766626904738E-2"/>
    <n v="0"/>
    <n v="0"/>
  </r>
  <r>
    <s v="ORD-2025-762301"/>
    <d v="2025-05-02T00:00:00"/>
    <x v="8"/>
    <s v="Q2-2025"/>
    <d v="2025-05-13T00:00:00"/>
    <s v="Valid"/>
    <n v="11"/>
    <d v="2025-05-13T00:00:00"/>
    <x v="0"/>
    <s v="Africa → Kenya → Nakuru"/>
    <s v="Kenya-2025-05"/>
    <x v="0"/>
    <s v="Nakuru"/>
    <s v="Small Business"/>
    <x v="1"/>
    <x v="8"/>
    <x v="6"/>
    <x v="59"/>
    <n v="1057.5999999999999"/>
    <n v="1437.06"/>
    <s v="Valid"/>
    <n v="1437.06"/>
    <s v="Medium"/>
    <n v="0.20499999999999999"/>
    <s v="Valid"/>
    <x v="44"/>
    <n v="4"/>
    <x v="59"/>
    <n v="4230.3999999999996"/>
    <n v="339.45080000000053"/>
    <n v="7.4280499485891424E-2"/>
    <n v="0"/>
    <n v="1"/>
  </r>
  <r>
    <s v="ORD-2024-906395"/>
    <d v="2024-03-10T00:00:00"/>
    <x v="0"/>
    <s v="Q1-2024"/>
    <d v="2024-04-09T00:00:00"/>
    <s v="Valid"/>
    <n v="30"/>
    <d v="2024-04-09T00:00:00"/>
    <x v="3"/>
    <s v="Europe → France → Lyon"/>
    <s v="France-2024-03"/>
    <x v="7"/>
    <s v="Lyon"/>
    <s v="Corporate"/>
    <x v="4"/>
    <x v="2"/>
    <x v="0"/>
    <x v="60"/>
    <n v="1176.56"/>
    <n v="1911.89"/>
    <s v="Valid"/>
    <n v="1911.89"/>
    <s v="Medium"/>
    <n v="0.11899999999999999"/>
    <s v="Valid"/>
    <x v="45"/>
    <n v="20"/>
    <x v="60"/>
    <n v="23531.199999999997"/>
    <n v="10156.301800000008"/>
    <n v="0.30148575160892477"/>
    <n v="0"/>
    <n v="0"/>
  </r>
  <r>
    <s v="ORD-2025-779574"/>
    <d v="2025-09-10T00:00:00"/>
    <x v="11"/>
    <s v="Q3-2025"/>
    <d v="2025-09-12T00:00:00"/>
    <s v="Valid"/>
    <n v="2"/>
    <d v="2025-09-12T00:00:00"/>
    <x v="1"/>
    <s v="Asia → Japan → Tokyo"/>
    <s v="Japan-2025-09"/>
    <x v="2"/>
    <s v="Tokyo"/>
    <s v="Consumer"/>
    <x v="1"/>
    <x v="7"/>
    <x v="0"/>
    <x v="61"/>
    <n v="1470.15"/>
    <n v="2593.7800000000002"/>
    <s v="Valid"/>
    <n v="2593.7800000000002"/>
    <s v="High"/>
    <n v="0.11"/>
    <s v="Valid"/>
    <x v="46"/>
    <n v="12"/>
    <x v="61"/>
    <n v="17641.800000000003"/>
    <n v="10059.770399999998"/>
    <n v="0.36314801849645306"/>
    <n v="1"/>
    <n v="0"/>
  </r>
  <r>
    <s v="ORD-2025-526650"/>
    <d v="2025-04-27T00:00:00"/>
    <x v="19"/>
    <s v="Q2-2025"/>
    <d v="2025-05-25T00:00:00"/>
    <s v="Valid"/>
    <n v="28"/>
    <d v="2025-05-25T00:00:00"/>
    <x v="3"/>
    <s v="Europe → France → Paris"/>
    <s v="France-2025-04"/>
    <x v="7"/>
    <s v="Paris"/>
    <s v="Small Business"/>
    <x v="2"/>
    <x v="2"/>
    <x v="3"/>
    <x v="62"/>
    <n v="603.45000000000005"/>
    <n v="1244.08"/>
    <s v="Valid"/>
    <n v="1244.08"/>
    <s v="Medium"/>
    <n v="0.2"/>
    <s v="Valid"/>
    <x v="47"/>
    <n v="11"/>
    <x v="62"/>
    <n v="6637.9500000000007"/>
    <n v="4309.9539999999997"/>
    <n v="0.39367846119220623"/>
    <n v="0"/>
    <n v="0"/>
  </r>
  <r>
    <s v="ORD-2024-247979"/>
    <d v="2024-11-02T00:00:00"/>
    <x v="18"/>
    <s v="Q4-2024"/>
    <d v="2024-11-18T00:00:00"/>
    <s v="Valid"/>
    <n v="16"/>
    <d v="2024-11-18T00:00:00"/>
    <x v="1"/>
    <s v="Asia → India → Mumbai"/>
    <s v="India-2024-11"/>
    <x v="4"/>
    <s v="Mumbai"/>
    <s v="Small Business"/>
    <x v="3"/>
    <x v="7"/>
    <x v="5"/>
    <x v="63"/>
    <n v="1233.58"/>
    <n v="1912.51"/>
    <s v="Valid"/>
    <n v="1912.51"/>
    <s v="High"/>
    <n v="0.255"/>
    <s v="Valid"/>
    <x v="48"/>
    <n v="51"/>
    <x v="63"/>
    <n v="62912.579999999994"/>
    <n v="9753.2374500000078"/>
    <n v="0.134220432553601"/>
    <n v="0"/>
    <n v="1"/>
  </r>
  <r>
    <s v="ORD-2023-480975"/>
    <d v="2023-02-15T00:00:00"/>
    <x v="2"/>
    <s v="Q1-2023"/>
    <d v="2023-02-26T00:00:00"/>
    <s v="Valid"/>
    <n v="11"/>
    <d v="2023-02-26T00:00:00"/>
    <x v="0"/>
    <s v="Africa → South Africa → Johannesburg"/>
    <s v="South Africa-2023-02"/>
    <x v="11"/>
    <s v="Johannesburg"/>
    <s v="Non-Profit"/>
    <x v="0"/>
    <x v="11"/>
    <x v="4"/>
    <x v="64"/>
    <n v="498.5"/>
    <n v="755.87"/>
    <s v="Valid"/>
    <n v="755.87"/>
    <s v="Medium"/>
    <n v="0.13"/>
    <s v="Valid"/>
    <x v="49"/>
    <n v="40"/>
    <x v="64"/>
    <n v="19940"/>
    <n v="6364.275999999998"/>
    <n v="0.24194834330357537"/>
    <n v="0"/>
    <n v="0"/>
  </r>
  <r>
    <s v="ORD-2023-239789"/>
    <d v="2023-12-03T00:00:00"/>
    <x v="4"/>
    <s v="Q4-2023"/>
    <d v="2023-12-26T00:00:00"/>
    <s v="Valid"/>
    <n v="23"/>
    <d v="2023-12-26T00:00:00"/>
    <x v="2"/>
    <s v="Americas → Brazil → Rio de Janeiro"/>
    <s v="Brazil-2023-12"/>
    <x v="5"/>
    <s v="Rio de Janeiro"/>
    <s v="Education"/>
    <x v="0"/>
    <x v="7"/>
    <x v="3"/>
    <x v="65"/>
    <n v="1303.1099999999999"/>
    <n v="1145.67"/>
    <s v="Valid"/>
    <n v="1145.67"/>
    <s v="Medium"/>
    <n v="0.184"/>
    <s v="Valid"/>
    <x v="50"/>
    <n v="13"/>
    <x v="65"/>
    <n v="16940.43"/>
    <n v="-4787.1626399999986"/>
    <n v="-0.39389922875851208"/>
    <n v="0"/>
    <n v="0"/>
  </r>
  <r>
    <s v="ORD-2023-548874"/>
    <d v="2023-03-19T00:00:00"/>
    <x v="22"/>
    <s v="Q1-2023"/>
    <d v="2023-04-09T00:00:00"/>
    <s v="Valid"/>
    <n v="21"/>
    <d v="2023-04-09T00:00:00"/>
    <x v="3"/>
    <s v="Europe → United Kingdom → Manchester"/>
    <s v="United Kingdom-2023-03"/>
    <x v="8"/>
    <s v="Manchester"/>
    <s v="Consumer"/>
    <x v="0"/>
    <x v="4"/>
    <x v="6"/>
    <x v="66"/>
    <n v="1082.17"/>
    <n v="1234.0999999999999"/>
    <s v="Valid"/>
    <n v="1234.0999999999999"/>
    <s v="Medium"/>
    <n v="0.189"/>
    <s v="Valid"/>
    <x v="51"/>
    <n v="16"/>
    <x v="66"/>
    <n v="17314.72"/>
    <n v="-1301.0384000000031"/>
    <n v="-8.124542703534228E-2"/>
    <n v="0"/>
    <n v="0"/>
  </r>
  <r>
    <s v="ORD-2024-347736"/>
    <d v="2024-05-22T00:00:00"/>
    <x v="7"/>
    <s v="Q2-2024"/>
    <d v="2024-06-06T00:00:00"/>
    <s v="Valid"/>
    <n v="15"/>
    <d v="2024-06-06T00:00:00"/>
    <x v="1"/>
    <s v="Asia → Japan → Nagoya"/>
    <s v="Japan-2024-05"/>
    <x v="2"/>
    <s v="Nagoya"/>
    <s v="Corporate"/>
    <x v="3"/>
    <x v="0"/>
    <x v="5"/>
    <x v="67"/>
    <n v="673.88"/>
    <n v="1228.01"/>
    <s v="Valid"/>
    <n v="1228.01"/>
    <s v="Medium"/>
    <n v="0.105"/>
    <s v="Valid"/>
    <x v="52"/>
    <n v="13"/>
    <x v="67"/>
    <n v="8760.44"/>
    <n v="5527.4563499999986"/>
    <n v="0.38686285332689996"/>
    <n v="0"/>
    <n v="0"/>
  </r>
  <r>
    <s v="ORD-2023-749324"/>
    <d v="2023-08-19T00:00:00"/>
    <x v="25"/>
    <s v="Q3-2023"/>
    <d v="2023-09-07T00:00:00"/>
    <s v="Valid"/>
    <n v="19"/>
    <d v="2023-09-07T00:00:00"/>
    <x v="0"/>
    <s v="Africa → South Africa → Johannesburg"/>
    <s v="South Africa-2023-08"/>
    <x v="11"/>
    <s v="Johannesburg"/>
    <s v="Enterprise"/>
    <x v="0"/>
    <x v="14"/>
    <x v="5"/>
    <x v="68"/>
    <n v="494.61"/>
    <n v="605.23"/>
    <s v="Valid"/>
    <n v="605.23"/>
    <s v="Low"/>
    <n v="0.20399999999999999"/>
    <s v="Valid"/>
    <x v="53"/>
    <n v="18"/>
    <x v="68"/>
    <n v="8902.98"/>
    <n v="-231.24455999999918"/>
    <n v="-2.6666468505639647E-2"/>
    <n v="0"/>
    <n v="1"/>
  </r>
  <r>
    <s v="ORD-2023-809913"/>
    <d v="2023-04-21T00:00:00"/>
    <x v="12"/>
    <s v="Q2-2023"/>
    <d v="2023-05-10T00:00:00"/>
    <s v="Valid"/>
    <n v="19"/>
    <d v="2023-05-10T00:00:00"/>
    <x v="1"/>
    <s v="Asia → China → Shanghai"/>
    <s v="China-2023-04"/>
    <x v="9"/>
    <s v="Shanghai"/>
    <s v="Corporate"/>
    <x v="0"/>
    <x v="8"/>
    <x v="0"/>
    <x v="69"/>
    <n v="882.33"/>
    <n v="1880.15"/>
    <s v="Valid"/>
    <n v="1880.15"/>
    <s v="Medium"/>
    <n v="0.05"/>
    <s v="Valid"/>
    <x v="54"/>
    <n v="5"/>
    <x v="69"/>
    <n v="4411.6500000000005"/>
    <n v="4519.0624999999991"/>
    <n v="0.50601365792482955"/>
    <n v="0"/>
    <n v="0"/>
  </r>
  <r>
    <s v="ORD-2024-287210"/>
    <d v="2024-03-18T00:00:00"/>
    <x v="0"/>
    <s v="Q1-2024"/>
    <d v="2024-03-21T00:00:00"/>
    <s v="Valid"/>
    <n v="3"/>
    <d v="2024-03-21T00:00:00"/>
    <x v="3"/>
    <s v="Europe → Germany → Munich"/>
    <s v="Germany-2024-03"/>
    <x v="6"/>
    <s v="Munich"/>
    <s v="Small Business"/>
    <x v="1"/>
    <x v="12"/>
    <x v="6"/>
    <x v="70"/>
    <n v="910.63"/>
    <n v="1269.4000000000001"/>
    <s v="Valid"/>
    <n v="1269.4000000000001"/>
    <s v="Medium"/>
    <n v="6.8000000000000005E-2"/>
    <s v="Valid"/>
    <x v="55"/>
    <n v="9"/>
    <x v="70"/>
    <n v="8195.67"/>
    <n v="2452.0571999999993"/>
    <n v="0.23028925834989455"/>
    <n v="1"/>
    <n v="0"/>
  </r>
  <r>
    <s v="ORD-2025-640677"/>
    <d v="2025-04-09T00:00:00"/>
    <x v="19"/>
    <s v="Q2-2025"/>
    <d v="2025-05-06T00:00:00"/>
    <s v="Valid"/>
    <n v="27"/>
    <d v="2025-05-06T00:00:00"/>
    <x v="2"/>
    <s v="Americas → Brazil → Brasília"/>
    <s v="Brazil-2025-04"/>
    <x v="5"/>
    <s v="Brasília"/>
    <s v="Enterprise"/>
    <x v="2"/>
    <x v="9"/>
    <x v="4"/>
    <x v="71"/>
    <n v="264.19"/>
    <n v="620.92999999999995"/>
    <s v="Valid"/>
    <n v="620.92999999999995"/>
    <s v="Medium"/>
    <n v="0.14199999999999999"/>
    <s v="Valid"/>
    <x v="56"/>
    <n v="12"/>
    <x v="71"/>
    <n v="3170.2799999999997"/>
    <n v="3222.8152799999998"/>
    <n v="0.50410875152794532"/>
    <n v="0"/>
    <n v="0"/>
  </r>
  <r>
    <s v="ORD-2024-939873"/>
    <d v="2024-04-12T00:00:00"/>
    <x v="20"/>
    <s v="Q2-2024"/>
    <d v="2024-05-07T00:00:00"/>
    <s v="Valid"/>
    <n v="25"/>
    <d v="2024-05-07T00:00:00"/>
    <x v="0"/>
    <s v="Africa → South Africa → Johannesburg"/>
    <s v="South Africa-2024-04"/>
    <x v="11"/>
    <s v="Johannesburg"/>
    <s v="Education"/>
    <x v="3"/>
    <x v="8"/>
    <x v="4"/>
    <x v="72"/>
    <n v="1376.51"/>
    <n v="1455.91"/>
    <s v="Valid"/>
    <n v="1455.91"/>
    <s v="Medium"/>
    <n v="0.185"/>
    <s v="Valid"/>
    <x v="57"/>
    <n v="17"/>
    <x v="72"/>
    <n v="23400.67"/>
    <n v="-3229.0369499999979"/>
    <n v="-0.1600781127634085"/>
    <n v="0"/>
    <n v="0"/>
  </r>
  <r>
    <s v="ORD-2024-800947"/>
    <d v="2024-12-15T00:00:00"/>
    <x v="6"/>
    <s v="Q4-2024"/>
    <d v="2024-12-20T00:00:00"/>
    <s v="Valid"/>
    <n v="5"/>
    <d v="2024-12-20T00:00:00"/>
    <x v="1"/>
    <s v="Asia → China → Shenzhen"/>
    <s v="China-2024-12"/>
    <x v="9"/>
    <s v="Shenzhen"/>
    <s v="Small Business"/>
    <x v="4"/>
    <x v="1"/>
    <x v="2"/>
    <x v="73"/>
    <n v="717.55"/>
    <n v="546.42999999999995"/>
    <s v="Valid"/>
    <n v="546.42999999999995"/>
    <s v="Low"/>
    <n v="4.7E-2"/>
    <s v="Valid"/>
    <x v="58"/>
    <n v="18"/>
    <x v="73"/>
    <n v="12915.9"/>
    <n v="-3542.4397800000006"/>
    <n v="-0.37792231437026369"/>
    <n v="1"/>
    <n v="0"/>
  </r>
  <r>
    <s v="ORD-2023-382272"/>
    <d v="2023-05-20T00:00:00"/>
    <x v="15"/>
    <s v="Q2-2023"/>
    <d v="2023-05-18T00:00:00"/>
    <s v="Invalid RequiredDate"/>
    <n v="-2"/>
    <d v="2023-06-15T00:00:00"/>
    <x v="0"/>
    <s v="Africa → South Africa → Durban"/>
    <s v="South Africa-2023-05"/>
    <x v="11"/>
    <s v="Durban"/>
    <s v="Corporate"/>
    <x v="3"/>
    <x v="8"/>
    <x v="0"/>
    <x v="74"/>
    <n v="917.88"/>
    <n v="1347.92"/>
    <s v="Valid"/>
    <n v="1347.92"/>
    <s v="Medium"/>
    <n v="0.34300000000000003"/>
    <s v="High Discount"/>
    <x v="33"/>
    <n v="5"/>
    <x v="74"/>
    <n v="4589.3999999999996"/>
    <n v="128.32000000000062"/>
    <n v="2.7199579457873848E-2"/>
    <n v="1"/>
    <n v="1"/>
  </r>
  <r>
    <s v="ORD-2023-722117"/>
    <d v="2023-09-18T00:00:00"/>
    <x v="27"/>
    <s v="Q3-2023"/>
    <d v="2023-10-08T00:00:00"/>
    <s v="Valid"/>
    <n v="20"/>
    <d v="2023-10-08T00:00:00"/>
    <x v="1"/>
    <s v="Asia → India → Delhi"/>
    <s v="India-2023-09"/>
    <x v="4"/>
    <s v="Delhi"/>
    <s v="Small Business"/>
    <x v="4"/>
    <x v="5"/>
    <x v="0"/>
    <x v="75"/>
    <n v="825.64"/>
    <n v="1108.43"/>
    <s v="Valid"/>
    <n v="1108.43"/>
    <s v="Medium"/>
    <n v="0.114"/>
    <s v="Valid"/>
    <x v="59"/>
    <n v="7"/>
    <x v="75"/>
    <n v="5779.48"/>
    <n v="1095.0028600000005"/>
    <n v="0.15928512475773349"/>
    <n v="0"/>
    <n v="0"/>
  </r>
  <r>
    <s v="ORD-2024-446699"/>
    <d v="2024-08-28T00:00:00"/>
    <x v="21"/>
    <s v="Q3-2024"/>
    <d v="2024-09-25T00:00:00"/>
    <s v="Valid"/>
    <n v="28"/>
    <d v="2024-09-25T00:00:00"/>
    <x v="2"/>
    <s v="Americas → Brazil → Rio de Janeiro"/>
    <s v="Brazil-2024-08"/>
    <x v="5"/>
    <s v="Rio de Janeiro"/>
    <s v="Non-Profit"/>
    <x v="1"/>
    <x v="15"/>
    <x v="6"/>
    <x v="76"/>
    <n v="1394.65"/>
    <n v="3144.1"/>
    <s v="Valid"/>
    <n v="3144.1"/>
    <s v="High"/>
    <n v="0.13400000000000001"/>
    <s v="Valid"/>
    <x v="60"/>
    <n v="13"/>
    <x v="76"/>
    <n v="18130.45"/>
    <n v="17265.827799999995"/>
    <n v="0.4877865378263021"/>
    <n v="0"/>
    <n v="0"/>
  </r>
  <r>
    <s v="ORD-2024-451005"/>
    <d v="2024-06-30T00:00:00"/>
    <x v="17"/>
    <s v="Q2-2024"/>
    <d v="2024-06-28T00:00:00"/>
    <s v="Invalid RequiredDate"/>
    <n v="-2"/>
    <d v="2024-07-26T00:00:00"/>
    <x v="2"/>
    <s v="Americas → Brazil → Rio de Janeiro"/>
    <s v="Brazil-2024-06"/>
    <x v="5"/>
    <s v="Rio de Janeiro"/>
    <s v="Small Business"/>
    <x v="4"/>
    <x v="4"/>
    <x v="6"/>
    <x v="77"/>
    <n v="1112.98"/>
    <n v="2095.73"/>
    <s v="Valid"/>
    <n v="2095.73"/>
    <s v="High"/>
    <n v="7.1999999999999995E-2"/>
    <s v="Valid"/>
    <x v="3"/>
    <n v="17"/>
    <x v="77"/>
    <n v="18920.66"/>
    <n v="14141.576480000007"/>
    <n v="0.42772594916724777"/>
    <n v="1"/>
    <n v="0"/>
  </r>
  <r>
    <s v="ORD-2023-290279"/>
    <d v="2023-06-14T00:00:00"/>
    <x v="23"/>
    <s v="Q2-2023"/>
    <d v="2023-06-16T00:00:00"/>
    <s v="Valid"/>
    <n v="2"/>
    <d v="2023-06-16T00:00:00"/>
    <x v="3"/>
    <s v="Europe → United Kingdom → Manchester"/>
    <s v="United Kingdom-2023-06"/>
    <x v="8"/>
    <s v="Manchester"/>
    <s v="Non-Profit"/>
    <x v="4"/>
    <x v="11"/>
    <x v="0"/>
    <x v="78"/>
    <n v="357.36"/>
    <n v="703.62"/>
    <s v="Valid"/>
    <n v="703.62"/>
    <s v="Medium"/>
    <n v="0.25700000000000001"/>
    <s v="Valid"/>
    <x v="61"/>
    <n v="20"/>
    <x v="78"/>
    <n v="7147.2000000000007"/>
    <n v="3308.5931999999993"/>
    <n v="0.31643636563125593"/>
    <n v="1"/>
    <n v="1"/>
  </r>
  <r>
    <s v="ORD-2024-192263"/>
    <d v="2024-11-21T00:00:00"/>
    <x v="18"/>
    <s v="Q4-2024"/>
    <d v="2024-12-21T00:00:00"/>
    <s v="Valid"/>
    <n v="30"/>
    <d v="2024-12-21T00:00:00"/>
    <x v="3"/>
    <s v="Europe → France → Marseille"/>
    <s v="France-2024-11"/>
    <x v="7"/>
    <s v="Marseille"/>
    <s v="Small Business"/>
    <x v="4"/>
    <x v="2"/>
    <x v="5"/>
    <x v="79"/>
    <n v="1122.68"/>
    <n v="1997.19"/>
    <s v="Valid"/>
    <n v="1997.19"/>
    <s v="High"/>
    <n v="0.186"/>
    <s v="Valid"/>
    <x v="62"/>
    <n v="3"/>
    <x v="79"/>
    <n v="3368.04"/>
    <n v="1509.0979800000005"/>
    <n v="0.30942285951073306"/>
    <n v="0"/>
    <n v="0"/>
  </r>
  <r>
    <s v="ORD-2023-159379"/>
    <d v="2023-02-08T00:00:00"/>
    <x v="2"/>
    <s v="Q1-2023"/>
    <d v="2023-02-11T00:00:00"/>
    <s v="Valid"/>
    <n v="3"/>
    <d v="2023-02-11T00:00:00"/>
    <x v="0"/>
    <s v="Africa → South Africa → Cape Town"/>
    <s v="South Africa-2023-02"/>
    <x v="11"/>
    <s v="Cape Town"/>
    <s v="Corporate"/>
    <x v="4"/>
    <x v="12"/>
    <x v="2"/>
    <x v="80"/>
    <n v="1410.05"/>
    <n v="2763.95"/>
    <s v="Valid"/>
    <n v="2763.95"/>
    <s v="High"/>
    <n v="0.161"/>
    <s v="Valid"/>
    <x v="63"/>
    <n v="26"/>
    <x v="80"/>
    <n v="36661.299999999996"/>
    <n v="23631.505299999997"/>
    <n v="0.39194569206750779"/>
    <n v="1"/>
    <n v="0"/>
  </r>
  <r>
    <s v="ORD-2023-343322"/>
    <d v="2023-08-19T00:00:00"/>
    <x v="25"/>
    <s v="Q3-2023"/>
    <d v="2023-09-12T00:00:00"/>
    <s v="Valid"/>
    <n v="24"/>
    <d v="2023-09-12T00:00:00"/>
    <x v="2"/>
    <s v="Americas → Canada → Vancouver"/>
    <s v="Canada-2023-08"/>
    <x v="3"/>
    <s v="Vancouver"/>
    <s v="Enterprise"/>
    <x v="0"/>
    <x v="2"/>
    <x v="1"/>
    <x v="81"/>
    <n v="1183.95"/>
    <n v="1503.53"/>
    <s v="Valid"/>
    <n v="1503.53"/>
    <s v="Medium"/>
    <n v="0.24099999999999999"/>
    <s v="Valid"/>
    <x v="64"/>
    <n v="16"/>
    <x v="81"/>
    <n v="18943.2"/>
    <n v="-684.33167999999932"/>
    <n v="-3.7479413729623705E-2"/>
    <n v="0"/>
    <n v="1"/>
  </r>
  <r>
    <s v="ORD-2025-114382"/>
    <d v="2025-05-14T00:00:00"/>
    <x v="8"/>
    <s v="Q2-2025"/>
    <d v="2025-05-24T00:00:00"/>
    <s v="Valid"/>
    <n v="10"/>
    <d v="2025-05-24T00:00:00"/>
    <x v="3"/>
    <s v="Europe → France → Paris"/>
    <s v="France-2025-05"/>
    <x v="7"/>
    <s v="Paris"/>
    <s v="Small Business"/>
    <x v="2"/>
    <x v="11"/>
    <x v="0"/>
    <x v="82"/>
    <n v="170.39"/>
    <n v="388.04"/>
    <s v="Valid"/>
    <n v="388.04"/>
    <s v="Low"/>
    <n v="8.4000000000000005E-2"/>
    <s v="Valid"/>
    <x v="26"/>
    <n v="15"/>
    <x v="82"/>
    <n v="2555.85"/>
    <n v="2775.8196000000003"/>
    <n v="0.52062858508711796"/>
    <n v="0"/>
    <n v="0"/>
  </r>
  <r>
    <s v="ORD-2025-488349"/>
    <d v="2025-04-23T00:00:00"/>
    <x v="19"/>
    <s v="Q2-2025"/>
    <d v="2025-04-22T00:00:00"/>
    <s v="Invalid RequiredDate"/>
    <n v="-1"/>
    <d v="2025-05-19T00:00:00"/>
    <x v="2"/>
    <s v="Americas → USA → San Francisco"/>
    <s v="USA-2025-04"/>
    <x v="10"/>
    <s v="San Francisco"/>
    <s v="Non-Profit"/>
    <x v="3"/>
    <x v="14"/>
    <x v="5"/>
    <x v="83"/>
    <n v="23.24"/>
    <n v="44.57"/>
    <s v="Valid"/>
    <n v="44.57"/>
    <s v="Low"/>
    <n v="0.215"/>
    <s v="Valid"/>
    <x v="65"/>
    <n v="15"/>
    <x v="83"/>
    <n v="348.59999999999997"/>
    <n v="176.21174999999999"/>
    <n v="0.33576182316802167"/>
    <n v="1"/>
    <n v="1"/>
  </r>
  <r>
    <s v="ORD-2025-330203"/>
    <d v="2025-03-25T00:00:00"/>
    <x v="3"/>
    <s v="Q1-2025"/>
    <d v="2025-04-17T00:00:00"/>
    <s v="Valid"/>
    <n v="23"/>
    <d v="2025-04-17T00:00:00"/>
    <x v="3"/>
    <s v="Europe → United Kingdom → London"/>
    <s v="United Kingdom-2025-03"/>
    <x v="8"/>
    <s v="London"/>
    <s v="Consumer"/>
    <x v="0"/>
    <x v="10"/>
    <x v="2"/>
    <x v="84"/>
    <n v="1421.19"/>
    <n v="1808.26"/>
    <s v="Valid"/>
    <n v="1808.26"/>
    <s v="Medium"/>
    <n v="0.104"/>
    <s v="Valid"/>
    <x v="66"/>
    <n v="13"/>
    <x v="84"/>
    <n v="18475.47"/>
    <n v="2587.1424799999986"/>
    <n v="0.12283103449093123"/>
    <n v="0"/>
    <n v="0"/>
  </r>
  <r>
    <s v="ORD-2023-841426"/>
    <d v="2023-12-22T00:00:00"/>
    <x v="4"/>
    <s v="Q4-2023"/>
    <d v="2023-12-23T00:00:00"/>
    <s v="Valid"/>
    <n v="1"/>
    <d v="2023-12-23T00:00:00"/>
    <x v="0"/>
    <s v="Africa → South Africa → Cape Town"/>
    <s v="South Africa-2023-12"/>
    <x v="11"/>
    <s v="Cape Town"/>
    <s v="Non-Profit"/>
    <x v="2"/>
    <x v="14"/>
    <x v="0"/>
    <x v="85"/>
    <n v="1186.18"/>
    <n v="1285.0899999999999"/>
    <s v="Valid"/>
    <n v="1285.0899999999999"/>
    <s v="Medium"/>
    <n v="7.0000000000000007E-2"/>
    <s v="Valid"/>
    <x v="67"/>
    <n v="11"/>
    <x v="85"/>
    <n v="13047.980000000001"/>
    <n v="98.49069999999665"/>
    <n v="7.4917977796121861E-3"/>
    <n v="1"/>
    <n v="0"/>
  </r>
  <r>
    <s v="ORD-2024-594592"/>
    <d v="2024-04-06T00:00:00"/>
    <x v="20"/>
    <s v="Q2-2024"/>
    <d v="2024-04-25T00:00:00"/>
    <s v="Valid"/>
    <n v="19"/>
    <d v="2024-04-25T00:00:00"/>
    <x v="1"/>
    <s v="Asia → China → Shanghai"/>
    <s v="China-2024-04"/>
    <x v="9"/>
    <s v="Shanghai"/>
    <s v="Corporate"/>
    <x v="0"/>
    <x v="11"/>
    <x v="0"/>
    <x v="86"/>
    <n v="1366.48"/>
    <n v="1678.14"/>
    <s v="Valid"/>
    <n v="1678.14"/>
    <s v="Medium"/>
    <n v="0.154"/>
    <s v="Valid"/>
    <x v="68"/>
    <n v="10"/>
    <x v="86"/>
    <n v="13664.8"/>
    <n v="532.26440000000184"/>
    <n v="3.7491159087790132E-2"/>
    <n v="0"/>
    <n v="0"/>
  </r>
  <r>
    <s v="ORD-2025-863978"/>
    <d v="2025-08-07T00:00:00"/>
    <x v="28"/>
    <s v="Q3-2025"/>
    <d v="2025-08-19T00:00:00"/>
    <s v="Valid"/>
    <n v="12"/>
    <d v="2025-08-19T00:00:00"/>
    <x v="0"/>
    <s v="Africa → Kenya → Nakuru"/>
    <s v="Kenya-2025-08"/>
    <x v="0"/>
    <s v="Nakuru"/>
    <s v="Corporate"/>
    <x v="5"/>
    <x v="12"/>
    <x v="0"/>
    <x v="87"/>
    <n v="601.51"/>
    <n v="679.35"/>
    <s v="Valid"/>
    <n v="679.35"/>
    <s v="Medium"/>
    <n v="0.188"/>
    <s v="Valid"/>
    <x v="69"/>
    <n v="3"/>
    <x v="87"/>
    <n v="1804.53"/>
    <n v="-149.63339999999971"/>
    <n v="-9.0418579626062243E-2"/>
    <n v="0"/>
    <n v="0"/>
  </r>
  <r>
    <s v="ORD-2024-604471"/>
    <d v="2024-01-21T00:00:00"/>
    <x v="9"/>
    <s v="Q1-2024"/>
    <d v="2024-01-25T00:00:00"/>
    <s v="Valid"/>
    <n v="4"/>
    <d v="2024-01-25T00:00:00"/>
    <x v="1"/>
    <s v="Asia → India → Delhi"/>
    <s v="India-2024-01"/>
    <x v="4"/>
    <s v="Delhi"/>
    <s v="Consumer"/>
    <x v="4"/>
    <x v="0"/>
    <x v="5"/>
    <x v="88"/>
    <n v="523.70000000000005"/>
    <n v="1109.92"/>
    <s v="Valid"/>
    <n v="1109.92"/>
    <s v="Medium"/>
    <n v="0.03"/>
    <s v="Valid"/>
    <x v="70"/>
    <n v="11"/>
    <x v="88"/>
    <n v="5760.7000000000007"/>
    <n v="6082.1463999999996"/>
    <n v="0.51357133197302973"/>
    <n v="1"/>
    <n v="0"/>
  </r>
  <r>
    <s v="ORD-2023-258768"/>
    <d v="2023-06-29T00:00:00"/>
    <x v="23"/>
    <s v="Q2-2023"/>
    <d v="2023-07-02T00:00:00"/>
    <s v="Valid"/>
    <n v="3"/>
    <d v="2023-07-02T00:00:00"/>
    <x v="1"/>
    <s v="Asia → Japan → Nagoya"/>
    <s v="Japan-2023-06"/>
    <x v="2"/>
    <s v="Nagoya"/>
    <s v="Education"/>
    <x v="2"/>
    <x v="9"/>
    <x v="5"/>
    <x v="89"/>
    <n v="55.65"/>
    <n v="83.57"/>
    <s v="Valid"/>
    <n v="83.57"/>
    <s v="Low"/>
    <n v="6.6000000000000003E-2"/>
    <s v="Valid"/>
    <x v="71"/>
    <n v="8"/>
    <x v="89"/>
    <n v="445.2"/>
    <n v="179.23503999999997"/>
    <n v="0.2870355257449998"/>
    <n v="1"/>
    <n v="0"/>
  </r>
  <r>
    <s v="ORD-2025-626047"/>
    <d v="2025-04-28T00:00:00"/>
    <x v="19"/>
    <s v="Q2-2025"/>
    <d v="2025-05-15T00:00:00"/>
    <s v="Valid"/>
    <n v="17"/>
    <d v="2025-05-15T00:00:00"/>
    <x v="1"/>
    <s v="Asia → Japan → Nagoya"/>
    <s v="Japan-2025-04"/>
    <x v="2"/>
    <s v="Nagoya"/>
    <s v="Education"/>
    <x v="4"/>
    <x v="13"/>
    <x v="2"/>
    <x v="90"/>
    <n v="691.19"/>
    <n v="1284.3"/>
    <s v="Valid"/>
    <n v="1284.3"/>
    <s v="Medium"/>
    <n v="7.3999999999999996E-2"/>
    <s v="Valid"/>
    <x v="13"/>
    <n v="7"/>
    <x v="90"/>
    <n v="4838.33"/>
    <n v="3486.5026000000016"/>
    <n v="0.41880753253825198"/>
    <n v="0"/>
    <n v="0"/>
  </r>
  <r>
    <s v="ORD-2025-526752"/>
    <d v="2025-06-09T00:00:00"/>
    <x v="16"/>
    <s v="Q2-2025"/>
    <d v="2025-06-25T00:00:00"/>
    <s v="Valid"/>
    <n v="16"/>
    <d v="2025-06-25T00:00:00"/>
    <x v="1"/>
    <s v="Asia → India → Hyderabad"/>
    <s v="India-2025-06"/>
    <x v="4"/>
    <s v="Hyderabad"/>
    <s v="Enterprise"/>
    <x v="3"/>
    <x v="12"/>
    <x v="3"/>
    <x v="91"/>
    <n v="527.33000000000004"/>
    <n v="911.72"/>
    <s v="Valid"/>
    <n v="911.72"/>
    <s v="Medium"/>
    <n v="0.14399999999999999"/>
    <s v="Valid"/>
    <x v="41"/>
    <n v="25"/>
    <x v="91"/>
    <n v="13183.250000000002"/>
    <n v="6327.5579999999991"/>
    <n v="0.32431040272652978"/>
    <n v="0"/>
    <n v="0"/>
  </r>
  <r>
    <s v="ORD-2023-374486"/>
    <d v="2023-06-24T00:00:00"/>
    <x v="23"/>
    <s v="Q2-2023"/>
    <d v="2023-06-23T00:00:00"/>
    <s v="Invalid RequiredDate"/>
    <n v="-1"/>
    <d v="2023-07-20T00:00:00"/>
    <x v="2"/>
    <s v="Americas → Brazil → Rio de Janeiro"/>
    <s v="Brazil-2023-06"/>
    <x v="5"/>
    <s v="Rio de Janeiro"/>
    <s v="Non-Profit"/>
    <x v="0"/>
    <x v="6"/>
    <x v="1"/>
    <x v="92"/>
    <n v="804.01"/>
    <n v="1405.07"/>
    <s v="Valid"/>
    <n v="1405.07"/>
    <s v="Medium"/>
    <n v="9.6000000000000002E-2"/>
    <s v="Valid"/>
    <x v="72"/>
    <n v="8"/>
    <x v="92"/>
    <n v="6432.08"/>
    <n v="3729.3862399999998"/>
    <n v="0.36701260939287439"/>
    <n v="1"/>
    <n v="0"/>
  </r>
  <r>
    <s v="ORD-2024-997336"/>
    <d v="2024-10-04T00:00:00"/>
    <x v="1"/>
    <s v="Q4-2024"/>
    <d v="2024-11-02T00:00:00"/>
    <s v="Valid"/>
    <n v="29"/>
    <d v="2024-11-02T00:00:00"/>
    <x v="0"/>
    <s v="Africa → Nigeria → Abuja"/>
    <s v="Nigeria-2024-10"/>
    <x v="1"/>
    <s v="Abuja"/>
    <s v="Corporate"/>
    <x v="3"/>
    <x v="9"/>
    <x v="6"/>
    <x v="93"/>
    <n v="412.09"/>
    <n v="968.94"/>
    <s v="Valid"/>
    <n v="968.94"/>
    <s v="Medium"/>
    <n v="9.9000000000000005E-2"/>
    <s v="Valid"/>
    <x v="73"/>
    <n v="23"/>
    <x v="93"/>
    <n v="9478.07"/>
    <n v="10601.273620000004"/>
    <n v="0.52796913189137418"/>
    <n v="0"/>
    <n v="0"/>
  </r>
  <r>
    <s v="ORD-2025-725646"/>
    <d v="2025-09-10T00:00:00"/>
    <x v="11"/>
    <s v="Q3-2025"/>
    <d v="2025-09-30T00:00:00"/>
    <s v="Valid"/>
    <n v="20"/>
    <d v="2025-09-30T00:00:00"/>
    <x v="0"/>
    <s v="Africa → Kenya → Mombasa"/>
    <s v="Kenya-2025-09"/>
    <x v="0"/>
    <s v="Mombasa"/>
    <s v="Corporate"/>
    <x v="4"/>
    <x v="4"/>
    <x v="3"/>
    <x v="94"/>
    <n v="1009.48"/>
    <n v="1088.81"/>
    <s v="Valid"/>
    <n v="1088.81"/>
    <s v="Medium"/>
    <n v="0.16"/>
    <s v="Valid"/>
    <x v="74"/>
    <n v="6"/>
    <x v="94"/>
    <n v="6056.88"/>
    <n v="-569.27760000000035"/>
    <n v="-0.10373885688219693"/>
    <n v="0"/>
    <n v="0"/>
  </r>
  <r>
    <s v="ORD-2023-868734"/>
    <d v="2023-04-06T00:00:00"/>
    <x v="12"/>
    <s v="Q2-2023"/>
    <d v="2023-04-27T00:00:00"/>
    <s v="Valid"/>
    <n v="21"/>
    <d v="2023-04-27T00:00:00"/>
    <x v="3"/>
    <s v="Europe → United Kingdom → Manchester"/>
    <s v="United Kingdom-2023-04"/>
    <x v="8"/>
    <s v="Manchester"/>
    <s v="Enterprise"/>
    <x v="3"/>
    <x v="2"/>
    <x v="1"/>
    <x v="95"/>
    <n v="1084.79"/>
    <n v="2484.9899999999998"/>
    <s v="Valid"/>
    <n v="2484.9899999999998"/>
    <s v="High"/>
    <n v="3.4000000000000002E-2"/>
    <s v="Valid"/>
    <x v="75"/>
    <n v="18"/>
    <x v="95"/>
    <n v="19526.22"/>
    <n v="23682.78611999999"/>
    <n v="0.54809837685755114"/>
    <n v="0"/>
    <n v="0"/>
  </r>
  <r>
    <s v="ORD-2025-262491"/>
    <d v="2025-08-01T00:00:00"/>
    <x v="28"/>
    <s v="Q3-2025"/>
    <d v="2025-08-16T00:00:00"/>
    <s v="Valid"/>
    <n v="15"/>
    <d v="2025-08-16T00:00:00"/>
    <x v="1"/>
    <s v="Asia → India → unknown"/>
    <s v="India-2025-08"/>
    <x v="4"/>
    <s v="unknown"/>
    <s v="Enterprise"/>
    <x v="4"/>
    <x v="7"/>
    <x v="5"/>
    <x v="96"/>
    <n v="24.44"/>
    <n v="28.69"/>
    <s v="Valid"/>
    <n v="28.69"/>
    <s v="Low"/>
    <n v="0.14599999999999999"/>
    <s v="Valid"/>
    <x v="34"/>
    <n v="6"/>
    <x v="96"/>
    <n v="146.64000000000001"/>
    <n v="0.36755999999999744"/>
    <n v="2.5002795774584476E-3"/>
    <n v="0"/>
    <n v="0"/>
  </r>
  <r>
    <s v="ORD-2024-638884"/>
    <d v="2024-05-28T00:00:00"/>
    <x v="7"/>
    <s v="Q2-2024"/>
    <d v="2024-05-26T00:00:00"/>
    <s v="Invalid RequiredDate"/>
    <n v="-2"/>
    <d v="2024-06-23T00:00:00"/>
    <x v="0"/>
    <s v="Africa → Nigeria → Abuja"/>
    <s v="Nigeria-2024-05"/>
    <x v="1"/>
    <s v="Abuja"/>
    <s v="Enterprise"/>
    <x v="1"/>
    <x v="9"/>
    <x v="6"/>
    <x v="97"/>
    <n v="1227.08"/>
    <n v="1896.62"/>
    <s v="Valid"/>
    <n v="1896.62"/>
    <s v="Medium"/>
    <n v="0"/>
    <s v="Valid"/>
    <x v="5"/>
    <n v="18"/>
    <x v="97"/>
    <n v="22087.439999999999"/>
    <n v="12051.719999999998"/>
    <n v="0.353017473189147"/>
    <n v="1"/>
    <n v="0"/>
  </r>
  <r>
    <s v="ORD-2025-541501"/>
    <d v="2025-07-22T00:00:00"/>
    <x v="13"/>
    <s v="Q3-2025"/>
    <d v="2025-08-18T00:00:00"/>
    <s v="Valid"/>
    <n v="27"/>
    <d v="2025-08-18T00:00:00"/>
    <x v="1"/>
    <s v="Asia → China → Shenzhen"/>
    <s v="China-2025-07"/>
    <x v="9"/>
    <s v="Shenzhen"/>
    <s v="Non-Profit"/>
    <x v="2"/>
    <x v="12"/>
    <x v="2"/>
    <x v="98"/>
    <n v="547.32000000000005"/>
    <n v="419.17"/>
    <s v="Valid"/>
    <n v="419.17"/>
    <s v="Low"/>
    <n v="9.1999999999999998E-2"/>
    <s v="Valid"/>
    <x v="76"/>
    <n v="14"/>
    <x v="98"/>
    <n v="7662.4800000000005"/>
    <n v="-2333.9909600000001"/>
    <n v="-0.43802116181137907"/>
    <n v="0"/>
    <n v="0"/>
  </r>
  <r>
    <s v="ORD-2023-422918"/>
    <d v="2023-02-28T00:00:00"/>
    <x v="2"/>
    <s v="Q1-2023"/>
    <d v="2023-03-20T00:00:00"/>
    <s v="Valid"/>
    <n v="20"/>
    <d v="2023-03-20T00:00:00"/>
    <x v="3"/>
    <s v="Europe → Germany → Berlin"/>
    <s v="Germany-2023-02"/>
    <x v="6"/>
    <s v="Berlin"/>
    <s v="Small Business"/>
    <x v="4"/>
    <x v="10"/>
    <x v="4"/>
    <x v="99"/>
    <n v="1200.78"/>
    <n v="2001.17"/>
    <s v="Valid"/>
    <n v="2001.17"/>
    <s v="High"/>
    <n v="0.29199999999999998"/>
    <s v="Valid"/>
    <x v="39"/>
    <n v="18"/>
    <x v="99"/>
    <n v="21614.04"/>
    <n v="3888.8704799999978"/>
    <n v="0.15248732034132906"/>
    <n v="0"/>
    <n v="1"/>
  </r>
  <r>
    <s v="ORD-2025-328504"/>
    <d v="2025-01-27T00:00:00"/>
    <x v="10"/>
    <s v="Q1-2025"/>
    <d v="2025-02-15T00:00:00"/>
    <s v="Valid"/>
    <n v="19"/>
    <d v="2025-02-15T00:00:00"/>
    <x v="1"/>
    <s v="Asia → China → Shenzhen"/>
    <s v="China-2025-01"/>
    <x v="9"/>
    <s v="Shenzhen"/>
    <s v="Non-Profit"/>
    <x v="4"/>
    <x v="4"/>
    <x v="3"/>
    <x v="100"/>
    <n v="1253.22"/>
    <n v="3104.71"/>
    <s v="Valid"/>
    <n v="3104.71"/>
    <s v="High"/>
    <n v="0"/>
    <s v="Valid"/>
    <x v="5"/>
    <n v="17"/>
    <x v="100"/>
    <n v="21304.74"/>
    <n v="31475.329999999998"/>
    <n v="0.59634877331538205"/>
    <n v="0"/>
    <n v="0"/>
  </r>
  <r>
    <s v="ORD-2024-851883"/>
    <d v="2024-01-13T00:00:00"/>
    <x v="9"/>
    <s v="Q1-2024"/>
    <d v="2024-01-22T00:00:00"/>
    <s v="Valid"/>
    <n v="9"/>
    <d v="2024-01-22T00:00:00"/>
    <x v="1"/>
    <s v="Asia → India → Mumbai"/>
    <s v="India-2024-01"/>
    <x v="4"/>
    <s v="Mumbai"/>
    <s v="Enterprise"/>
    <x v="2"/>
    <x v="1"/>
    <x v="0"/>
    <x v="101"/>
    <n v="313.60000000000002"/>
    <n v="334.28"/>
    <s v="Valid"/>
    <n v="334.28"/>
    <s v="Low"/>
    <n v="0.14000000000000001"/>
    <s v="Valid"/>
    <x v="77"/>
    <n v="22"/>
    <x v="101"/>
    <n v="6899.2000000000007"/>
    <n v="-574.62240000000111"/>
    <n v="-9.0855458868905517E-2"/>
    <n v="0"/>
    <n v="0"/>
  </r>
  <r>
    <s v="ORD-2025-662997"/>
    <d v="2025-03-31T00:00:00"/>
    <x v="3"/>
    <s v="Q1-2025"/>
    <d v="2025-04-04T00:00:00"/>
    <s v="Valid"/>
    <n v="4"/>
    <d v="2025-04-04T00:00:00"/>
    <x v="0"/>
    <s v="Africa → Kenya → Nakuru"/>
    <s v="Kenya-2025-03"/>
    <x v="0"/>
    <s v="Nakuru"/>
    <s v="Corporate"/>
    <x v="4"/>
    <x v="0"/>
    <x v="4"/>
    <x v="102"/>
    <n v="862.08"/>
    <n v="1952.83"/>
    <s v="Valid"/>
    <n v="1952.83"/>
    <s v="High"/>
    <n v="0"/>
    <s v="Valid"/>
    <x v="5"/>
    <n v="7"/>
    <x v="102"/>
    <n v="6034.56"/>
    <n v="7635.2499999999991"/>
    <n v="0.5585483631447693"/>
    <n v="1"/>
    <n v="0"/>
  </r>
  <r>
    <s v="ORD-2024-478165"/>
    <d v="2024-12-05T00:00:00"/>
    <x v="6"/>
    <s v="Q4-2024"/>
    <d v="2024-12-28T00:00:00"/>
    <s v="Valid"/>
    <n v="23"/>
    <d v="2024-12-28T00:00:00"/>
    <x v="2"/>
    <s v="Americas → Canada → Vancouver"/>
    <s v="Canada-2024-12"/>
    <x v="3"/>
    <s v="Vancouver"/>
    <s v="Corporate"/>
    <x v="4"/>
    <x v="9"/>
    <x v="6"/>
    <x v="103"/>
    <n v="107.03"/>
    <n v="242.29"/>
    <s v="Valid"/>
    <n v="242.29"/>
    <s v="Low"/>
    <n v="0.18"/>
    <s v="Valid"/>
    <x v="78"/>
    <n v="30"/>
    <x v="103"/>
    <n v="3210.9"/>
    <n v="2749.4340000000007"/>
    <n v="0.46128857879440988"/>
    <n v="0"/>
    <n v="0"/>
  </r>
  <r>
    <s v="ORD-2024-771210"/>
    <d v="2024-09-14T00:00:00"/>
    <x v="29"/>
    <s v="Q3-2024"/>
    <d v="2024-10-05T00:00:00"/>
    <s v="Valid"/>
    <n v="21"/>
    <d v="2024-10-05T00:00:00"/>
    <x v="1"/>
    <s v="Asia → China → Shanghai"/>
    <s v="China-2024-09"/>
    <x v="9"/>
    <s v="Shanghai"/>
    <s v="Small Business"/>
    <x v="1"/>
    <x v="10"/>
    <x v="4"/>
    <x v="104"/>
    <n v="1405.56"/>
    <n v="2968.87"/>
    <s v="Valid"/>
    <n v="2968.87"/>
    <s v="High"/>
    <n v="0.16900000000000001"/>
    <s v="Valid"/>
    <x v="36"/>
    <n v="5"/>
    <x v="104"/>
    <n v="7027.7999999999993"/>
    <n v="5307.8548499999997"/>
    <n v="0.4302856163327235"/>
    <n v="0"/>
    <n v="0"/>
  </r>
  <r>
    <s v="ORD-2024-155337"/>
    <d v="2024-05-21T00:00:00"/>
    <x v="7"/>
    <s v="Q2-2024"/>
    <d v="2024-05-27T00:00:00"/>
    <s v="Valid"/>
    <n v="6"/>
    <d v="2024-05-27T00:00:00"/>
    <x v="0"/>
    <s v="Africa → South Africa → Johannesburg"/>
    <s v="South Africa-2024-05"/>
    <x v="11"/>
    <s v="Johannesburg"/>
    <s v="Non-Profit"/>
    <x v="1"/>
    <x v="12"/>
    <x v="0"/>
    <x v="105"/>
    <n v="1157.51"/>
    <n v="1394.3"/>
    <s v="Valid"/>
    <n v="1394.3"/>
    <s v="Medium"/>
    <n v="0.27800000000000002"/>
    <s v="Valid"/>
    <x v="79"/>
    <n v="12"/>
    <x v="105"/>
    <n v="13890.119999999999"/>
    <n v="-1809.9048000000003"/>
    <n v="-0.14982388724333326"/>
    <n v="1"/>
    <n v="1"/>
  </r>
  <r>
    <s v="ORD-2023-251563"/>
    <d v="2023-05-11T00:00:00"/>
    <x v="15"/>
    <s v="Q2-2023"/>
    <d v="2023-06-07T00:00:00"/>
    <s v="Valid"/>
    <n v="27"/>
    <d v="2023-06-07T00:00:00"/>
    <x v="0"/>
    <s v="Africa → Kenya → Mombasa"/>
    <s v="Kenya-2023-05"/>
    <x v="0"/>
    <s v="Mombasa"/>
    <s v="Corporate"/>
    <x v="1"/>
    <x v="1"/>
    <x v="3"/>
    <x v="106"/>
    <n v="12.85"/>
    <n v="15.41"/>
    <s v="Valid"/>
    <n v="15.41"/>
    <s v="Low"/>
    <n v="0.13700000000000001"/>
    <s v="Valid"/>
    <x v="80"/>
    <n v="39"/>
    <x v="106"/>
    <n v="501.15"/>
    <n v="17.504369999999994"/>
    <n v="3.3749585489851353E-2"/>
    <n v="0"/>
    <n v="0"/>
  </r>
  <r>
    <s v="ORD-2024-286833"/>
    <d v="2024-08-14T00:00:00"/>
    <x v="21"/>
    <s v="Q3-2024"/>
    <d v="2024-09-04T00:00:00"/>
    <s v="Valid"/>
    <n v="21"/>
    <d v="2024-09-04T00:00:00"/>
    <x v="3"/>
    <s v="Europe → United Kingdom → Manchester"/>
    <s v="United Kingdom-2024-08"/>
    <x v="8"/>
    <s v="Manchester"/>
    <s v="Non-Profit"/>
    <x v="1"/>
    <x v="1"/>
    <x v="3"/>
    <x v="107"/>
    <n v="1138.8"/>
    <n v="2250.81"/>
    <s v="Valid"/>
    <n v="2250.81"/>
    <s v="High"/>
    <n v="0.123"/>
    <s v="Valid"/>
    <x v="81"/>
    <n v="12"/>
    <x v="107"/>
    <n v="13665.599999999999"/>
    <n v="10021.924440000003"/>
    <n v="0.42308872188756258"/>
    <n v="0"/>
    <n v="0"/>
  </r>
  <r>
    <s v="ORD-2024-792558"/>
    <d v="2024-10-16T00:00:00"/>
    <x v="1"/>
    <s v="Q4-2024"/>
    <d v="2024-11-08T00:00:00"/>
    <s v="Valid"/>
    <n v="23"/>
    <d v="2024-11-08T00:00:00"/>
    <x v="1"/>
    <s v="Asia → Japan → Osaka"/>
    <s v="Japan-2024-10"/>
    <x v="2"/>
    <s v="Osaka"/>
    <s v="Small Business"/>
    <x v="0"/>
    <x v="1"/>
    <x v="2"/>
    <x v="108"/>
    <n v="82.14"/>
    <n v="166.04"/>
    <s v="Valid"/>
    <n v="166.04"/>
    <s v="Low"/>
    <n v="0"/>
    <s v="Valid"/>
    <x v="5"/>
    <n v="10"/>
    <x v="108"/>
    <n v="821.4"/>
    <n v="838.99999999999989"/>
    <n v="0.50529992772825827"/>
    <n v="0"/>
    <n v="0"/>
  </r>
  <r>
    <s v="ORD-2024-166150"/>
    <d v="2024-06-02T00:00:00"/>
    <x v="17"/>
    <s v="Q2-2024"/>
    <d v="2024-06-08T00:00:00"/>
    <s v="Valid"/>
    <n v="6"/>
    <d v="2024-06-08T00:00:00"/>
    <x v="0"/>
    <s v="Africa → Kenya → Kisumu"/>
    <s v="Kenya-2024-06"/>
    <x v="0"/>
    <s v="Kisumu"/>
    <s v="Consumer"/>
    <x v="2"/>
    <x v="8"/>
    <x v="6"/>
    <x v="109"/>
    <n v="292.94"/>
    <n v="356.55"/>
    <s v="Valid"/>
    <n v="356.55"/>
    <s v="Low"/>
    <n v="0.22900000000000001"/>
    <s v="Valid"/>
    <x v="82"/>
    <n v="2"/>
    <x v="109"/>
    <n v="585.88"/>
    <n v="-36.079899999999952"/>
    <n v="-6.5623669402751925E-2"/>
    <n v="1"/>
    <n v="1"/>
  </r>
  <r>
    <s v="ORD-2024-909942"/>
    <d v="2024-06-09T00:00:00"/>
    <x v="17"/>
    <s v="Q2-2024"/>
    <d v="2024-07-07T00:00:00"/>
    <s v="Valid"/>
    <n v="28"/>
    <d v="2024-07-07T00:00:00"/>
    <x v="1"/>
    <s v="Asia → China → Shenzhen"/>
    <s v="China-2024-06"/>
    <x v="9"/>
    <s v="Shenzhen"/>
    <s v="Corporate"/>
    <x v="1"/>
    <x v="1"/>
    <x v="0"/>
    <x v="110"/>
    <n v="550.22"/>
    <n v="1025.05"/>
    <s v="Valid"/>
    <n v="1025.05"/>
    <s v="Medium"/>
    <n v="0"/>
    <s v="Valid"/>
    <x v="5"/>
    <n v="27"/>
    <x v="110"/>
    <n v="14855.94"/>
    <n v="12820.409999999998"/>
    <n v="0.46322618408858102"/>
    <n v="0"/>
    <n v="0"/>
  </r>
  <r>
    <s v="ORD-2024-223618"/>
    <d v="2024-06-10T00:00:00"/>
    <x v="17"/>
    <s v="Q2-2024"/>
    <d v="2024-06-11T00:00:00"/>
    <s v="Valid"/>
    <n v="1"/>
    <d v="2024-06-11T00:00:00"/>
    <x v="3"/>
    <s v="Europe → United Kingdom → Birmingham"/>
    <s v="United Kingdom-2024-06"/>
    <x v="8"/>
    <s v="Birmingham"/>
    <s v="Small Business"/>
    <x v="2"/>
    <x v="12"/>
    <x v="4"/>
    <x v="111"/>
    <n v="1187.1300000000001"/>
    <n v="1795.17"/>
    <s v="Valid"/>
    <n v="1795.17"/>
    <s v="Medium"/>
    <n v="1.2E-2"/>
    <s v="Valid"/>
    <x v="83"/>
    <n v="17"/>
    <x v="111"/>
    <n v="20181.210000000003"/>
    <n v="9970.4653199999957"/>
    <n v="0.33067699271046663"/>
    <n v="1"/>
    <n v="0"/>
  </r>
  <r>
    <s v="ORD-2024-919471"/>
    <d v="2024-06-29T00:00:00"/>
    <x v="17"/>
    <s v="Q2-2024"/>
    <d v="2024-07-26T00:00:00"/>
    <s v="Valid"/>
    <n v="27"/>
    <d v="2024-07-26T00:00:00"/>
    <x v="0"/>
    <s v="Africa → South Africa → Durban"/>
    <s v="South Africa-2024-06"/>
    <x v="11"/>
    <s v="Durban"/>
    <s v="Enterprise"/>
    <x v="3"/>
    <x v="5"/>
    <x v="2"/>
    <x v="112"/>
    <n v="5.36"/>
    <n v="4.37"/>
    <s v="Valid"/>
    <n v="4.37"/>
    <s v="Low"/>
    <n v="0.11799999999999999"/>
    <s v="Valid"/>
    <x v="84"/>
    <n v="9"/>
    <x v="112"/>
    <n v="48.24"/>
    <n v="-13.550940000000004"/>
    <n v="-0.39064016148030545"/>
    <n v="0"/>
    <n v="0"/>
  </r>
  <r>
    <s v="ORD-2025-649239"/>
    <d v="2025-01-17T00:00:00"/>
    <x v="10"/>
    <s v="Q1-2025"/>
    <d v="2025-01-24T00:00:00"/>
    <s v="Valid"/>
    <n v="7"/>
    <d v="2025-01-24T00:00:00"/>
    <x v="2"/>
    <s v="Americas → USA → Austin"/>
    <s v="USA-2025-01"/>
    <x v="10"/>
    <s v="Austin"/>
    <s v="Enterprise"/>
    <x v="1"/>
    <x v="3"/>
    <x v="6"/>
    <x v="113"/>
    <n v="142.09"/>
    <n v="218.5"/>
    <s v="Valid"/>
    <n v="218.5"/>
    <s v="Low"/>
    <n v="0.11899999999999999"/>
    <s v="Valid"/>
    <x v="45"/>
    <n v="11"/>
    <x v="113"/>
    <n v="1562.99"/>
    <n v="554.49349999999981"/>
    <n v="0.26186437816398561"/>
    <n v="1"/>
    <n v="0"/>
  </r>
  <r>
    <s v="ORD-2023-975863"/>
    <d v="2023-11-20T00:00:00"/>
    <x v="30"/>
    <s v="Q4-2023"/>
    <d v="2023-12-05T00:00:00"/>
    <s v="Valid"/>
    <n v="15"/>
    <d v="2023-12-05T00:00:00"/>
    <x v="1"/>
    <s v="Asia → Japan → Tokyo"/>
    <s v="Japan-2023-11"/>
    <x v="2"/>
    <s v="Tokyo"/>
    <s v="Enterprise"/>
    <x v="0"/>
    <x v="4"/>
    <x v="2"/>
    <x v="114"/>
    <n v="354.24"/>
    <n v="249.87"/>
    <s v="Valid"/>
    <n v="249.87"/>
    <s v="Low"/>
    <n v="0"/>
    <s v="Valid"/>
    <x v="5"/>
    <n v="6"/>
    <x v="114"/>
    <n v="2125.44"/>
    <n v="-626.22"/>
    <n v="-0.41769720254532355"/>
    <n v="0"/>
    <n v="0"/>
  </r>
  <r>
    <s v="ORD-2023-869884"/>
    <d v="2023-03-02T00:00:00"/>
    <x v="22"/>
    <s v="Q1-2023"/>
    <d v="2023-03-05T00:00:00"/>
    <s v="Valid"/>
    <n v="3"/>
    <d v="2023-03-05T00:00:00"/>
    <x v="2"/>
    <s v="Americas → Brazil → Brasília"/>
    <s v="Brazil-2023-03"/>
    <x v="5"/>
    <s v="Brasília"/>
    <s v="Enterprise"/>
    <x v="4"/>
    <x v="3"/>
    <x v="5"/>
    <x v="115"/>
    <n v="1473.58"/>
    <n v="3436.52"/>
    <s v="Valid"/>
    <n v="3436.52"/>
    <s v="High"/>
    <n v="0.108"/>
    <s v="Valid"/>
    <x v="85"/>
    <n v="8"/>
    <x v="115"/>
    <n v="11788.64"/>
    <n v="12734.366720000002"/>
    <n v="0.51928243813652564"/>
    <n v="1"/>
    <n v="0"/>
  </r>
  <r>
    <s v="ORD-2025-698069"/>
    <d v="2025-06-03T00:00:00"/>
    <x v="16"/>
    <s v="Q2-2025"/>
    <d v="2025-06-10T00:00:00"/>
    <s v="Valid"/>
    <n v="7"/>
    <d v="2025-06-10T00:00:00"/>
    <x v="2"/>
    <s v="Americas → Canada → Toronto"/>
    <s v="Canada-2025-06"/>
    <x v="3"/>
    <s v="Toronto"/>
    <s v="Consumer"/>
    <x v="3"/>
    <x v="7"/>
    <x v="1"/>
    <x v="116"/>
    <n v="75.180000000000007"/>
    <n v="53.45"/>
    <s v="Valid"/>
    <n v="53.45"/>
    <s v="Low"/>
    <n v="0.157"/>
    <s v="Valid"/>
    <x v="86"/>
    <n v="17"/>
    <x v="116"/>
    <n v="1278.0600000000002"/>
    <n v="-512.06805000000008"/>
    <n v="-0.66850317421743144"/>
    <n v="1"/>
    <n v="0"/>
  </r>
  <r>
    <s v="ORD-2024-474999"/>
    <d v="2024-12-27T00:00:00"/>
    <x v="6"/>
    <s v="Q4-2024"/>
    <d v="2025-01-02T00:00:00"/>
    <s v="Valid"/>
    <n v="6"/>
    <d v="2025-01-02T00:00:00"/>
    <x v="3"/>
    <s v="Europe → Germany → Frankfurt"/>
    <s v="Germany-2024-12"/>
    <x v="6"/>
    <s v="Frankfurt"/>
    <s v="Education"/>
    <x v="4"/>
    <x v="9"/>
    <x v="4"/>
    <x v="117"/>
    <n v="1391.99"/>
    <n v="3469.7"/>
    <s v="Valid"/>
    <n v="3469.7"/>
    <s v="High"/>
    <n v="0.184"/>
    <s v="Valid"/>
    <x v="50"/>
    <n v="23"/>
    <x v="117"/>
    <n v="32015.77"/>
    <n v="33103.559599999993"/>
    <n v="0.50835227886006973"/>
    <n v="1"/>
    <n v="0"/>
  </r>
  <r>
    <s v="ORD-2023-427304"/>
    <d v="2023-06-09T00:00:00"/>
    <x v="23"/>
    <s v="Q2-2023"/>
    <d v="2023-06-19T00:00:00"/>
    <s v="Valid"/>
    <n v="10"/>
    <d v="2023-06-19T00:00:00"/>
    <x v="1"/>
    <s v="Asia → China → Beijing"/>
    <s v="China-2023-06"/>
    <x v="9"/>
    <s v="Beijing"/>
    <s v="Enterprise"/>
    <x v="0"/>
    <x v="9"/>
    <x v="5"/>
    <x v="118"/>
    <n v="339.61"/>
    <n v="621.02"/>
    <s v="Valid"/>
    <n v="621.02"/>
    <s v="Medium"/>
    <n v="7.0999999999999994E-2"/>
    <s v="Valid"/>
    <x v="87"/>
    <n v="10"/>
    <x v="118"/>
    <n v="3396.1000000000004"/>
    <n v="2373.1758"/>
    <n v="0.41134726129750981"/>
    <n v="0"/>
    <n v="0"/>
  </r>
  <r>
    <s v="ORD-2025-956101"/>
    <d v="2025-07-09T00:00:00"/>
    <x v="13"/>
    <s v="Q3-2025"/>
    <d v="2025-07-18T00:00:00"/>
    <s v="Valid"/>
    <n v="9"/>
    <d v="2025-07-18T00:00:00"/>
    <x v="2"/>
    <s v="Americas → Canada → Vancouver"/>
    <s v="Canada-2025-07"/>
    <x v="3"/>
    <s v="Vancouver"/>
    <s v="Education"/>
    <x v="3"/>
    <x v="2"/>
    <x v="4"/>
    <x v="119"/>
    <n v="57.96"/>
    <n v="88.51"/>
    <s v="Valid"/>
    <n v="88.51"/>
    <s v="Low"/>
    <n v="4.2999999999999997E-2"/>
    <s v="Valid"/>
    <x v="88"/>
    <n v="7"/>
    <x v="119"/>
    <n v="405.72"/>
    <n v="187.20848999999998"/>
    <n v="0.3157353595877978"/>
    <n v="0"/>
    <n v="0"/>
  </r>
  <r>
    <s v="ORD-2025-184082"/>
    <d v="2025-06-19T00:00:00"/>
    <x v="16"/>
    <s v="Q2-2025"/>
    <d v="2025-07-12T00:00:00"/>
    <s v="Valid"/>
    <n v="23"/>
    <d v="2025-07-12T00:00:00"/>
    <x v="3"/>
    <s v="Europe → United Kingdom → unknown"/>
    <s v="United Kingdom-2025-06"/>
    <x v="8"/>
    <s v="unknown"/>
    <s v="Non-Profit"/>
    <x v="4"/>
    <x v="15"/>
    <x v="2"/>
    <x v="120"/>
    <n v="801.24"/>
    <n v="1959.09"/>
    <s v="Valid"/>
    <n v="1959.09"/>
    <s v="High"/>
    <n v="0.123"/>
    <s v="Valid"/>
    <x v="81"/>
    <n v="23"/>
    <x v="120"/>
    <n v="18428.52"/>
    <n v="21088.284389999997"/>
    <n v="0.53365358650651762"/>
    <n v="0"/>
    <n v="0"/>
  </r>
  <r>
    <s v="ORD-2023-576840"/>
    <d v="2023-11-19T00:00:00"/>
    <x v="30"/>
    <s v="Q4-2023"/>
    <d v="2023-12-13T00:00:00"/>
    <s v="Valid"/>
    <n v="24"/>
    <d v="2023-12-13T00:00:00"/>
    <x v="3"/>
    <s v="Europe → France → Lyon"/>
    <s v="France-2023-11"/>
    <x v="7"/>
    <s v="Lyon"/>
    <s v="Non-Profit"/>
    <x v="4"/>
    <x v="10"/>
    <x v="5"/>
    <x v="121"/>
    <n v="1297.42"/>
    <n v="2742.97"/>
    <s v="Valid"/>
    <n v="2742.97"/>
    <s v="High"/>
    <n v="6.9000000000000006E-2"/>
    <s v="Valid"/>
    <x v="89"/>
    <n v="9"/>
    <x v="121"/>
    <n v="11676.78"/>
    <n v="11306.565629999999"/>
    <n v="0.49194602961727291"/>
    <n v="0"/>
    <n v="0"/>
  </r>
  <r>
    <s v="ORD-2023-178249"/>
    <d v="2023-12-29T00:00:00"/>
    <x v="4"/>
    <s v="Q4-2023"/>
    <d v="2024-01-20T00:00:00"/>
    <s v="Valid"/>
    <n v="22"/>
    <d v="2024-01-20T00:00:00"/>
    <x v="0"/>
    <s v="Africa → Kenya → Kisumu"/>
    <s v="Kenya-2023-12"/>
    <x v="0"/>
    <s v="Kisumu"/>
    <s v="Corporate"/>
    <x v="4"/>
    <x v="4"/>
    <x v="3"/>
    <x v="122"/>
    <n v="1395.49"/>
    <n v="1679.42"/>
    <s v="Valid"/>
    <n v="1679.42"/>
    <s v="Medium"/>
    <n v="0.20300000000000001"/>
    <s v="Valid"/>
    <x v="90"/>
    <n v="12"/>
    <x v="122"/>
    <n v="16745.88"/>
    <n v="-683.90712000000167"/>
    <n v="-4.2579272490964493E-2"/>
    <n v="0"/>
    <n v="1"/>
  </r>
  <r>
    <s v="ORD-2024-588972"/>
    <d v="2024-11-02T00:00:00"/>
    <x v="18"/>
    <s v="Q4-2024"/>
    <d v="2024-11-29T00:00:00"/>
    <s v="Valid"/>
    <n v="27"/>
    <d v="2024-11-29T00:00:00"/>
    <x v="2"/>
    <s v="Americas → Brazil → Brasília"/>
    <s v="Brazil-2024-11"/>
    <x v="5"/>
    <s v="Brasília"/>
    <s v="Small Business"/>
    <x v="4"/>
    <x v="2"/>
    <x v="2"/>
    <x v="123"/>
    <n v="1363.51"/>
    <n v="1433.9"/>
    <s v="Valid"/>
    <n v="1433.9"/>
    <s v="Medium"/>
    <n v="5.7000000000000002E-2"/>
    <s v="Valid"/>
    <x v="91"/>
    <n v="8"/>
    <x v="123"/>
    <n v="10908.08"/>
    <n v="-90.738400000000183"/>
    <n v="-8.3882346842037592E-3"/>
    <n v="0"/>
    <n v="0"/>
  </r>
  <r>
    <s v="ORD-2023-603238"/>
    <d v="2023-08-21T00:00:00"/>
    <x v="25"/>
    <s v="Q3-2023"/>
    <d v="2023-09-04T00:00:00"/>
    <s v="Valid"/>
    <n v="14"/>
    <d v="2023-09-04T00:00:00"/>
    <x v="2"/>
    <s v="Americas → Canada → Montreal"/>
    <s v="Canada-2023-08"/>
    <x v="3"/>
    <s v="Montreal"/>
    <s v="Education"/>
    <x v="3"/>
    <x v="9"/>
    <x v="0"/>
    <x v="124"/>
    <n v="178.19"/>
    <n v="284.43"/>
    <s v="Valid"/>
    <n v="284.43"/>
    <s v="Low"/>
    <n v="8.8999999999999996E-2"/>
    <s v="Valid"/>
    <x v="25"/>
    <n v="8"/>
    <x v="124"/>
    <n v="1425.52"/>
    <n v="647.40584000000035"/>
    <n v="0.31231500302972742"/>
    <n v="0"/>
    <n v="0"/>
  </r>
  <r>
    <s v="ORD-2023-883066"/>
    <d v="2023-08-12T00:00:00"/>
    <x v="25"/>
    <s v="Q3-2023"/>
    <d v="2023-09-06T00:00:00"/>
    <s v="Valid"/>
    <n v="25"/>
    <d v="2023-09-06T00:00:00"/>
    <x v="1"/>
    <s v="Asia → China → Shanghai"/>
    <s v="China-2023-08"/>
    <x v="9"/>
    <s v="Shanghai"/>
    <s v="Small Business"/>
    <x v="0"/>
    <x v="5"/>
    <x v="0"/>
    <x v="125"/>
    <n v="950.77"/>
    <n v="694.78"/>
    <s v="Valid"/>
    <n v="694.78"/>
    <s v="Medium"/>
    <n v="8.4000000000000005E-2"/>
    <s v="Valid"/>
    <x v="26"/>
    <n v="14"/>
    <x v="125"/>
    <n v="13310.779999999999"/>
    <n v="-4400.9212799999987"/>
    <n v="-0.49393839097821279"/>
    <n v="0"/>
    <n v="0"/>
  </r>
  <r>
    <s v="ORD-2024-584090"/>
    <d v="2024-06-07T00:00:00"/>
    <x v="17"/>
    <s v="Q2-2024"/>
    <d v="2024-06-26T00:00:00"/>
    <s v="Valid"/>
    <n v="19"/>
    <d v="2024-06-26T00:00:00"/>
    <x v="3"/>
    <s v="Europe → Germany → Berlin"/>
    <s v="Germany-2024-06"/>
    <x v="6"/>
    <s v="Berlin"/>
    <s v="Non-Profit"/>
    <x v="2"/>
    <x v="12"/>
    <x v="0"/>
    <x v="126"/>
    <n v="1064.32"/>
    <n v="1848.39"/>
    <s v="Valid"/>
    <n v="1848.39"/>
    <s v="Medium"/>
    <n v="7.2999999999999995E-2"/>
    <s v="Valid"/>
    <x v="92"/>
    <n v="38"/>
    <x v="126"/>
    <n v="40444.159999999996"/>
    <n v="24667.226140000013"/>
    <n v="0.3788465827921631"/>
    <n v="0"/>
    <n v="0"/>
  </r>
  <r>
    <s v="ORD-2025-537785"/>
    <d v="2025-08-05T00:00:00"/>
    <x v="28"/>
    <s v="Q3-2025"/>
    <d v="2025-08-14T00:00:00"/>
    <s v="Valid"/>
    <n v="9"/>
    <d v="2025-08-14T00:00:00"/>
    <x v="3"/>
    <s v="Europe → United Kingdom → London"/>
    <s v="United Kingdom-2025-08"/>
    <x v="8"/>
    <s v="London"/>
    <s v="Non-Profit"/>
    <x v="4"/>
    <x v="6"/>
    <x v="0"/>
    <x v="127"/>
    <n v="41.76"/>
    <n v="45.19"/>
    <s v="Valid"/>
    <n v="45.19"/>
    <s v="Low"/>
    <n v="0.17899999999999999"/>
    <s v="Valid"/>
    <x v="93"/>
    <n v="23"/>
    <x v="127"/>
    <n v="960.4799999999999"/>
    <n v="-107.15723000000003"/>
    <n v="-0.12557643340514638"/>
    <n v="0"/>
    <n v="0"/>
  </r>
  <r>
    <s v="ORD-2024-605518"/>
    <d v="2024-05-30T00:00:00"/>
    <x v="7"/>
    <s v="Q2-2024"/>
    <d v="2024-06-13T00:00:00"/>
    <s v="Valid"/>
    <n v="14"/>
    <d v="2024-06-13T00:00:00"/>
    <x v="2"/>
    <s v="Americas → USA → San Francisco"/>
    <s v="USA-2024-05"/>
    <x v="10"/>
    <s v="San Francisco"/>
    <s v="Small Business"/>
    <x v="0"/>
    <x v="9"/>
    <x v="3"/>
    <x v="128"/>
    <n v="157.78"/>
    <n v="361.1"/>
    <s v="Valid"/>
    <n v="361.1"/>
    <s v="Low"/>
    <n v="0.187"/>
    <s v="Valid"/>
    <x v="37"/>
    <n v="9"/>
    <x v="128"/>
    <n v="1420.02"/>
    <n v="1222.1486999999997"/>
    <n v="0.46255513510549112"/>
    <n v="0"/>
    <n v="0"/>
  </r>
  <r>
    <s v="ORD-2023-521818"/>
    <d v="2023-01-22T00:00:00"/>
    <x v="5"/>
    <s v="Q1-2023"/>
    <d v="2023-01-30T00:00:00"/>
    <s v="Valid"/>
    <n v="8"/>
    <d v="2023-01-30T00:00:00"/>
    <x v="2"/>
    <s v="Americas → USA → San Francisco"/>
    <s v="USA-2023-01"/>
    <x v="10"/>
    <s v="San Francisco"/>
    <s v="Small Business"/>
    <x v="1"/>
    <x v="8"/>
    <x v="2"/>
    <x v="129"/>
    <n v="413.52"/>
    <n v="1004.34"/>
    <s v="Valid"/>
    <n v="1004.34"/>
    <s v="Medium"/>
    <n v="0.111"/>
    <s v="Valid"/>
    <x v="94"/>
    <n v="18"/>
    <x v="129"/>
    <n v="7443.36"/>
    <n v="8628.0886800000007"/>
    <n v="0.53685817948304593"/>
    <n v="0"/>
    <n v="0"/>
  </r>
  <r>
    <s v="ORD-2025-650719"/>
    <d v="2025-02-12T00:00:00"/>
    <x v="26"/>
    <s v="Q1-2025"/>
    <d v="2025-02-28T00:00:00"/>
    <s v="Valid"/>
    <n v="16"/>
    <d v="2025-02-28T00:00:00"/>
    <x v="2"/>
    <s v="Americas → Brazil → São Paulo"/>
    <s v="Brazil-2025-02"/>
    <x v="5"/>
    <s v="São Paulo"/>
    <s v="Non-Profit"/>
    <x v="4"/>
    <x v="5"/>
    <x v="5"/>
    <x v="130"/>
    <n v="414.95"/>
    <n v="1027.73"/>
    <s v="Valid"/>
    <n v="1027.73"/>
    <s v="Medium"/>
    <n v="6.3E-2"/>
    <s v="Valid"/>
    <x v="95"/>
    <n v="8"/>
    <x v="130"/>
    <n v="3319.6"/>
    <n v="4384.2640800000008"/>
    <n v="0.56909935513815568"/>
    <n v="0"/>
    <n v="0"/>
  </r>
  <r>
    <s v="ORD-2025-501927"/>
    <d v="2025-03-03T00:00:00"/>
    <x v="3"/>
    <s v="Q1-2025"/>
    <d v="2025-03-24T00:00:00"/>
    <s v="Valid"/>
    <n v="21"/>
    <d v="2025-03-24T00:00:00"/>
    <x v="0"/>
    <s v="Africa → Nigeria → Abuja"/>
    <s v="Nigeria-2025-03"/>
    <x v="1"/>
    <s v="Abuja"/>
    <s v="Enterprise"/>
    <x v="4"/>
    <x v="10"/>
    <x v="6"/>
    <x v="131"/>
    <n v="555.95000000000005"/>
    <n v="468.09"/>
    <s v="Valid"/>
    <n v="468.09"/>
    <s v="Low"/>
    <n v="0.14199999999999999"/>
    <s v="Valid"/>
    <x v="56"/>
    <n v="11"/>
    <x v="131"/>
    <n v="6115.4500000000007"/>
    <n v="-1697.6165800000008"/>
    <n v="-0.38426450674095375"/>
    <n v="0"/>
    <n v="0"/>
  </r>
  <r>
    <s v="ORD-2023-430904"/>
    <d v="2023-01-27T00:00:00"/>
    <x v="5"/>
    <s v="Q1-2023"/>
    <d v="2023-01-31T00:00:00"/>
    <s v="Valid"/>
    <n v="4"/>
    <d v="2023-01-31T00:00:00"/>
    <x v="3"/>
    <s v="Europe → United Kingdom → Manchester"/>
    <s v="United Kingdom-2023-01"/>
    <x v="8"/>
    <s v="Manchester"/>
    <s v="Enterprise"/>
    <x v="1"/>
    <x v="13"/>
    <x v="4"/>
    <x v="132"/>
    <n v="941.2"/>
    <n v="668.02"/>
    <s v="Valid"/>
    <n v="668.02"/>
    <s v="Medium"/>
    <n v="0.22"/>
    <s v="Valid"/>
    <x v="96"/>
    <n v="16"/>
    <x v="132"/>
    <n v="15059.2"/>
    <n v="-6722.3104000000003"/>
    <n v="-0.80633314371825193"/>
    <n v="1"/>
    <n v="1"/>
  </r>
  <r>
    <s v="ORD-2025-354346"/>
    <d v="2025-01-09T00:00:00"/>
    <x v="10"/>
    <s v="Q1-2025"/>
    <d v="2025-01-15T00:00:00"/>
    <s v="Valid"/>
    <n v="6"/>
    <d v="2025-01-15T00:00:00"/>
    <x v="1"/>
    <s v="Asia → China → Beijing"/>
    <s v="China-2025-01"/>
    <x v="9"/>
    <s v="Beijing"/>
    <s v="Education"/>
    <x v="1"/>
    <x v="0"/>
    <x v="3"/>
    <x v="133"/>
    <n v="304.77999999999997"/>
    <n v="537.27"/>
    <s v="Valid"/>
    <n v="537.27"/>
    <s v="Low"/>
    <n v="0.187"/>
    <s v="Valid"/>
    <x v="37"/>
    <n v="8"/>
    <x v="133"/>
    <n v="2438.2399999999998"/>
    <n v="1056.16408"/>
    <n v="0.3022444044307549"/>
    <n v="1"/>
    <n v="0"/>
  </r>
  <r>
    <s v="ORD-2024-164288"/>
    <d v="2024-12-21T00:00:00"/>
    <x v="6"/>
    <s v="Q4-2024"/>
    <d v="2024-12-26T00:00:00"/>
    <s v="Valid"/>
    <n v="5"/>
    <d v="2024-12-26T00:00:00"/>
    <x v="2"/>
    <s v="Americas → USA → San Francisco"/>
    <s v="USA-2024-12"/>
    <x v="10"/>
    <s v="San Francisco"/>
    <s v="Consumer"/>
    <x v="2"/>
    <x v="12"/>
    <x v="1"/>
    <x v="134"/>
    <n v="699.57"/>
    <n v="572.71"/>
    <s v="Valid"/>
    <n v="572.71"/>
    <s v="Low"/>
    <n v="0.192"/>
    <s v="Valid"/>
    <x v="97"/>
    <n v="26"/>
    <x v="134"/>
    <n v="18188.82"/>
    <n v="-6157.3283199999987"/>
    <n v="-0.51176765805651114"/>
    <n v="1"/>
    <n v="0"/>
  </r>
  <r>
    <s v="ORD-2023-867285"/>
    <d v="2023-04-12T00:00:00"/>
    <x v="12"/>
    <s v="Q2-2023"/>
    <d v="2023-04-17T00:00:00"/>
    <s v="Valid"/>
    <n v="5"/>
    <d v="2023-04-17T00:00:00"/>
    <x v="3"/>
    <s v="Europe → France → Lyon"/>
    <s v="France-2023-04"/>
    <x v="7"/>
    <s v="Lyon"/>
    <s v="Enterprise"/>
    <x v="4"/>
    <x v="6"/>
    <x v="5"/>
    <x v="135"/>
    <n v="1087.81"/>
    <n v="2323.87"/>
    <s v="Valid"/>
    <n v="2323.87"/>
    <s v="High"/>
    <n v="9.4E-2"/>
    <s v="Valid"/>
    <x v="12"/>
    <n v="13"/>
    <x v="135"/>
    <n v="14141.529999999999"/>
    <n v="13229.010859999999"/>
    <n v="0.48333026839572651"/>
    <n v="1"/>
    <n v="0"/>
  </r>
  <r>
    <s v="ORD-2024-836421"/>
    <d v="2024-12-14T00:00:00"/>
    <x v="6"/>
    <s v="Q4-2024"/>
    <d v="2025-01-12T00:00:00"/>
    <s v="Valid"/>
    <n v="29"/>
    <d v="2025-01-12T00:00:00"/>
    <x v="1"/>
    <s v="Asia → China → Shenzhen"/>
    <s v="China-2024-12"/>
    <x v="9"/>
    <s v="Shenzhen"/>
    <s v="Education"/>
    <x v="1"/>
    <x v="1"/>
    <x v="0"/>
    <x v="136"/>
    <n v="1412.15"/>
    <n v="1631.04"/>
    <s v="Valid"/>
    <n v="1631.04"/>
    <s v="Medium"/>
    <n v="8.9999999999999993E-3"/>
    <s v="Valid"/>
    <x v="98"/>
    <n v="6"/>
    <x v="136"/>
    <n v="8472.9000000000015"/>
    <n v="1225.2638399999978"/>
    <n v="0.12633977526203535"/>
    <n v="0"/>
    <n v="0"/>
  </r>
  <r>
    <s v="ORD-2023-613287"/>
    <d v="2023-03-31T00:00:00"/>
    <x v="22"/>
    <s v="Q1-2023"/>
    <d v="2023-04-12T00:00:00"/>
    <s v="Valid"/>
    <n v="12"/>
    <d v="2023-04-12T00:00:00"/>
    <x v="0"/>
    <s v="Africa → Kenya → Mombasa"/>
    <s v="Kenya-2023-03"/>
    <x v="0"/>
    <s v="Mombasa"/>
    <s v="Small Business"/>
    <x v="1"/>
    <x v="0"/>
    <x v="3"/>
    <x v="137"/>
    <n v="304.22000000000003"/>
    <n v="393.31"/>
    <s v="Valid"/>
    <n v="393.31"/>
    <s v="Low"/>
    <n v="0.26500000000000001"/>
    <s v="Valid"/>
    <x v="99"/>
    <n v="15"/>
    <x v="137"/>
    <n v="4563.3"/>
    <n v="-227.05725000000075"/>
    <n v="-5.2362670424759034E-2"/>
    <n v="0"/>
    <n v="1"/>
  </r>
  <r>
    <s v="ORD-2024-783321"/>
    <d v="2024-11-20T00:00:00"/>
    <x v="18"/>
    <s v="Q4-2024"/>
    <d v="2024-12-15T00:00:00"/>
    <s v="Valid"/>
    <n v="25"/>
    <d v="2024-12-15T00:00:00"/>
    <x v="3"/>
    <s v="Europe → France → Paris"/>
    <s v="France-2024-11"/>
    <x v="7"/>
    <s v="Paris"/>
    <s v="Corporate"/>
    <x v="1"/>
    <x v="3"/>
    <x v="1"/>
    <x v="138"/>
    <n v="1203.58"/>
    <n v="1856.16"/>
    <s v="Valid"/>
    <n v="1856.16"/>
    <s v="Medium"/>
    <n v="0.129"/>
    <s v="Valid"/>
    <x v="31"/>
    <n v="22"/>
    <x v="138"/>
    <n v="26478.76"/>
    <n v="9088.9779200000085"/>
    <n v="0.25553994860295032"/>
    <n v="0"/>
    <n v="0"/>
  </r>
  <r>
    <s v="ORD-2024-232632"/>
    <d v="2024-02-14T00:00:00"/>
    <x v="31"/>
    <s v="Q1-2024"/>
    <d v="2024-02-14T00:00:00"/>
    <s v="Valid"/>
    <n v="0"/>
    <d v="2024-02-14T00:00:00"/>
    <x v="1"/>
    <s v="Asia → China → Beijing"/>
    <s v="China-2024-02"/>
    <x v="9"/>
    <s v="Beijing"/>
    <s v="Corporate"/>
    <x v="3"/>
    <x v="4"/>
    <x v="6"/>
    <x v="139"/>
    <n v="65.930000000000007"/>
    <n v="84.9"/>
    <s v="Valid"/>
    <n v="84.9"/>
    <s v="Low"/>
    <n v="0.25900000000000001"/>
    <s v="Valid"/>
    <x v="100"/>
    <n v="23"/>
    <x v="139"/>
    <n v="1516.39"/>
    <n v="-69.439300000000003"/>
    <n v="-4.7990093926489688E-2"/>
    <n v="1"/>
    <n v="1"/>
  </r>
  <r>
    <s v="ORD-2023-906481"/>
    <d v="2023-05-02T00:00:00"/>
    <x v="15"/>
    <s v="Q2-2023"/>
    <d v="2023-05-18T00:00:00"/>
    <s v="Valid"/>
    <n v="16"/>
    <d v="2023-05-18T00:00:00"/>
    <x v="1"/>
    <s v="Asia → India → Delhi"/>
    <s v="India-2023-05"/>
    <x v="4"/>
    <s v="Delhi"/>
    <s v="Small Business"/>
    <x v="2"/>
    <x v="11"/>
    <x v="5"/>
    <x v="140"/>
    <n v="1463.92"/>
    <n v="2252.2399999999998"/>
    <s v="Valid"/>
    <n v="2252.2399999999998"/>
    <s v="High"/>
    <n v="0.11799999999999999"/>
    <s v="Valid"/>
    <x v="84"/>
    <n v="44"/>
    <x v="140"/>
    <n v="64412.480000000003"/>
    <n v="22992.449919999992"/>
    <n v="0.26305667130040061"/>
    <n v="0"/>
    <n v="0"/>
  </r>
  <r>
    <s v="ORD-2024-902741"/>
    <d v="2024-12-23T00:00:00"/>
    <x v="6"/>
    <s v="Q4-2024"/>
    <d v="2025-01-11T00:00:00"/>
    <s v="Valid"/>
    <n v="19"/>
    <d v="2025-01-11T00:00:00"/>
    <x v="3"/>
    <s v="Europe → Germany → Berlin"/>
    <s v="Germany-2024-12"/>
    <x v="6"/>
    <s v="Berlin"/>
    <s v="Education"/>
    <x v="0"/>
    <x v="11"/>
    <x v="3"/>
    <x v="141"/>
    <n v="501.81"/>
    <n v="921.62"/>
    <s v="Valid"/>
    <n v="921.62"/>
    <s v="Medium"/>
    <n v="0.01"/>
    <s v="Valid"/>
    <x v="19"/>
    <n v="9"/>
    <x v="141"/>
    <n v="4516.29"/>
    <n v="3695.3442000000005"/>
    <n v="0.45001325071202031"/>
    <n v="0"/>
    <n v="0"/>
  </r>
  <r>
    <s v="ORD-2023-912395"/>
    <d v="2023-07-26T00:00:00"/>
    <x v="24"/>
    <s v="Q3-2023"/>
    <d v="2023-08-25T00:00:00"/>
    <s v="Valid"/>
    <n v="30"/>
    <d v="2023-08-25T00:00:00"/>
    <x v="2"/>
    <s v="Americas → USA → New York"/>
    <s v="USA-2023-07"/>
    <x v="10"/>
    <s v="New York"/>
    <s v="Consumer"/>
    <x v="0"/>
    <x v="12"/>
    <x v="6"/>
    <x v="142"/>
    <n v="1261.48"/>
    <n v="1643.18"/>
    <s v="Valid"/>
    <n v="1643.18"/>
    <s v="Medium"/>
    <n v="0.151"/>
    <s v="Valid"/>
    <x v="101"/>
    <n v="23"/>
    <x v="142"/>
    <n v="29014.04"/>
    <n v="3072.3358599999992"/>
    <n v="9.5752037357079045E-2"/>
    <n v="0"/>
    <n v="0"/>
  </r>
  <r>
    <s v="ORD-2024-389102"/>
    <d v="2024-06-15T00:00:00"/>
    <x v="17"/>
    <s v="Q2-2024"/>
    <d v="2024-07-06T00:00:00"/>
    <s v="Valid"/>
    <n v="21"/>
    <d v="2024-07-06T00:00:00"/>
    <x v="2"/>
    <s v="Americas → Canada → Toronto"/>
    <s v="Canada-2024-06"/>
    <x v="3"/>
    <s v="Toronto"/>
    <s v="Enterprise"/>
    <x v="3"/>
    <x v="4"/>
    <x v="1"/>
    <x v="143"/>
    <n v="817.23"/>
    <n v="1467.17"/>
    <s v="Valid"/>
    <n v="1467.17"/>
    <s v="Medium"/>
    <n v="0.245"/>
    <s v="Valid"/>
    <x v="102"/>
    <n v="9"/>
    <x v="143"/>
    <n v="7355.07"/>
    <n v="2614.3501500000002"/>
    <n v="0.26223693160328893"/>
    <n v="0"/>
    <n v="1"/>
  </r>
  <r>
    <s v="ORD-2023-309373"/>
    <d v="2023-07-05T00:00:00"/>
    <x v="24"/>
    <s v="Q3-2023"/>
    <d v="2023-07-14T00:00:00"/>
    <s v="Valid"/>
    <n v="9"/>
    <d v="2023-07-14T00:00:00"/>
    <x v="2"/>
    <s v="Americas → Brazil → Brasília"/>
    <s v="Brazil-2023-07"/>
    <x v="5"/>
    <s v="Brasília"/>
    <s v="Enterprise"/>
    <x v="4"/>
    <x v="5"/>
    <x v="2"/>
    <x v="144"/>
    <n v="578.85"/>
    <n v="998.76"/>
    <s v="Valid"/>
    <n v="998.76"/>
    <s v="Medium"/>
    <n v="8.2000000000000003E-2"/>
    <s v="Valid"/>
    <x v="103"/>
    <n v="28"/>
    <x v="144"/>
    <n v="16207.800000000001"/>
    <n v="9464.3270399999983"/>
    <n v="0.36866158480960831"/>
    <n v="0"/>
    <n v="0"/>
  </r>
  <r>
    <s v="ORD-2023-825495"/>
    <d v="2023-11-30T00:00:00"/>
    <x v="30"/>
    <s v="Q4-2023"/>
    <d v="2023-11-29T00:00:00"/>
    <s v="Invalid RequiredDate"/>
    <n v="-1"/>
    <d v="2023-12-26T00:00:00"/>
    <x v="0"/>
    <s v="Africa → South Africa → Durban"/>
    <s v="South Africa-2023-11"/>
    <x v="11"/>
    <s v="Durban"/>
    <s v="Small Business"/>
    <x v="2"/>
    <x v="6"/>
    <x v="4"/>
    <x v="145"/>
    <n v="275.56"/>
    <n v="630.72"/>
    <s v="Valid"/>
    <n v="630.72"/>
    <s v="Medium"/>
    <n v="0.107"/>
    <s v="Valid"/>
    <x v="104"/>
    <n v="23"/>
    <x v="145"/>
    <n v="6337.88"/>
    <n v="6616.4780800000017"/>
    <n v="0.5107530638831933"/>
    <n v="1"/>
    <n v="0"/>
  </r>
  <r>
    <s v="ORD-2025-244832"/>
    <d v="2025-09-11T00:00:00"/>
    <x v="11"/>
    <s v="Q3-2025"/>
    <d v="2025-09-28T00:00:00"/>
    <s v="Valid"/>
    <n v="17"/>
    <d v="2025-09-28T00:00:00"/>
    <x v="0"/>
    <s v="Africa → Kenya → Nairobi"/>
    <s v="Kenya-2025-09"/>
    <x v="0"/>
    <s v="Nairobi"/>
    <s v="Non-Profit"/>
    <x v="3"/>
    <x v="1"/>
    <x v="4"/>
    <x v="146"/>
    <n v="891.46"/>
    <n v="728.61"/>
    <s v="Valid"/>
    <n v="728.61"/>
    <s v="Medium"/>
    <n v="0.185"/>
    <s v="Valid"/>
    <x v="57"/>
    <n v="6"/>
    <x v="146"/>
    <n v="5348.76"/>
    <n v="-1785.8571000000006"/>
    <n v="-0.50123653383874167"/>
    <n v="0"/>
    <n v="0"/>
  </r>
  <r>
    <s v="ORD-2024-211453"/>
    <d v="2024-04-04T00:00:00"/>
    <x v="20"/>
    <s v="Q2-2024"/>
    <d v="2024-04-24T00:00:00"/>
    <s v="Valid"/>
    <n v="20"/>
    <d v="2024-04-24T00:00:00"/>
    <x v="3"/>
    <s v="Europe → Germany → Frankfurt"/>
    <s v="Germany-2024-04"/>
    <x v="6"/>
    <s v="Frankfurt"/>
    <s v="Non-Profit"/>
    <x v="4"/>
    <x v="7"/>
    <x v="6"/>
    <x v="147"/>
    <n v="683.42"/>
    <n v="951.51"/>
    <s v="Valid"/>
    <n v="951.51"/>
    <s v="Medium"/>
    <n v="0"/>
    <s v="Valid"/>
    <x v="5"/>
    <n v="14"/>
    <x v="147"/>
    <n v="9567.8799999999992"/>
    <n v="3753.26"/>
    <n v="0.28175216235247136"/>
    <n v="0"/>
    <n v="0"/>
  </r>
  <r>
    <s v="ORD-2023-192324"/>
    <d v="2023-09-14T00:00:00"/>
    <x v="27"/>
    <s v="Q3-2023"/>
    <d v="2023-09-16T00:00:00"/>
    <s v="Valid"/>
    <n v="2"/>
    <d v="2023-09-16T00:00:00"/>
    <x v="3"/>
    <s v="Europe → France → Lyon"/>
    <s v="France-2023-09"/>
    <x v="7"/>
    <s v="Lyon"/>
    <s v="Non-Profit"/>
    <x v="4"/>
    <x v="5"/>
    <x v="1"/>
    <x v="148"/>
    <n v="376.83"/>
    <n v="732.88"/>
    <s v="Valid"/>
    <n v="732.88"/>
    <s v="Medium"/>
    <n v="0.188"/>
    <s v="Valid"/>
    <x v="69"/>
    <n v="25"/>
    <x v="148"/>
    <n v="9420.75"/>
    <n v="5456.7140000000018"/>
    <n v="0.36677716040852132"/>
    <n v="1"/>
    <n v="0"/>
  </r>
  <r>
    <s v="ORD-2024-438404"/>
    <d v="2024-09-23T00:00:00"/>
    <x v="29"/>
    <s v="Q3-2024"/>
    <d v="2024-10-18T00:00:00"/>
    <s v="Valid"/>
    <n v="25"/>
    <d v="2024-10-18T00:00:00"/>
    <x v="2"/>
    <s v="Americas → Canada → Vancouver"/>
    <s v="Canada-2024-09"/>
    <x v="3"/>
    <s v="Vancouver"/>
    <s v="Small Business"/>
    <x v="1"/>
    <x v="13"/>
    <x v="3"/>
    <x v="149"/>
    <n v="1297"/>
    <n v="2411.52"/>
    <s v="Valid"/>
    <n v="2411.52"/>
    <s v="High"/>
    <n v="2.1000000000000001E-2"/>
    <s v="Valid"/>
    <x v="105"/>
    <n v="18"/>
    <x v="149"/>
    <n v="23346"/>
    <n v="19149.805439999996"/>
    <n v="0.45062813239385913"/>
    <n v="0"/>
    <n v="0"/>
  </r>
  <r>
    <s v="ORD-2025-246470"/>
    <d v="2025-04-16T00:00:00"/>
    <x v="19"/>
    <s v="Q2-2025"/>
    <d v="2025-05-16T00:00:00"/>
    <s v="Valid"/>
    <n v="30"/>
    <d v="2025-05-16T00:00:00"/>
    <x v="2"/>
    <s v="Americas → Canada → Montreal"/>
    <s v="Canada-2025-04"/>
    <x v="3"/>
    <s v="Montreal"/>
    <s v="Enterprise"/>
    <x v="3"/>
    <x v="11"/>
    <x v="1"/>
    <x v="150"/>
    <n v="763.32"/>
    <n v="568.29"/>
    <s v="Valid"/>
    <n v="568.29"/>
    <s v="Low"/>
    <n v="0.13100000000000001"/>
    <s v="Valid"/>
    <x v="2"/>
    <n v="16"/>
    <x v="150"/>
    <n v="12213.12"/>
    <n v="-4311.6158400000013"/>
    <n v="-0.54567026134426555"/>
    <n v="0"/>
    <n v="0"/>
  </r>
  <r>
    <s v="ORD-2023-497686"/>
    <d v="2023-07-03T00:00:00"/>
    <x v="24"/>
    <s v="Q3-2023"/>
    <d v="2023-07-23T00:00:00"/>
    <s v="Valid"/>
    <n v="20"/>
    <d v="2023-07-23T00:00:00"/>
    <x v="0"/>
    <s v="Africa → South Africa → Johannesburg"/>
    <s v="South Africa-2023-07"/>
    <x v="11"/>
    <s v="Johannesburg"/>
    <s v="Small Business"/>
    <x v="3"/>
    <x v="9"/>
    <x v="4"/>
    <x v="151"/>
    <n v="1001.96"/>
    <n v="1254.95"/>
    <s v="Valid"/>
    <n v="1254.95"/>
    <s v="Medium"/>
    <n v="4.4999999999999998E-2"/>
    <s v="Valid"/>
    <x v="106"/>
    <n v="18"/>
    <x v="151"/>
    <n v="18035.28"/>
    <n v="3537.3105000000032"/>
    <n v="0.16397244920585699"/>
    <n v="0"/>
    <n v="0"/>
  </r>
  <r>
    <s v="ORD-2023-596758"/>
    <d v="2023-12-07T00:00:00"/>
    <x v="4"/>
    <s v="Q4-2023"/>
    <d v="2023-12-05T00:00:00"/>
    <s v="Invalid RequiredDate"/>
    <n v="-2"/>
    <d v="2024-01-02T00:00:00"/>
    <x v="1"/>
    <s v="Asia → Japan → Tokyo"/>
    <s v="Japan-2023-12"/>
    <x v="2"/>
    <s v="Tokyo"/>
    <s v="Non-Profit"/>
    <x v="2"/>
    <x v="10"/>
    <x v="1"/>
    <x v="152"/>
    <n v="1097.5899999999999"/>
    <n v="845.55"/>
    <s v="Valid"/>
    <n v="845.55"/>
    <s v="Medium"/>
    <n v="0.184"/>
    <s v="Valid"/>
    <x v="50"/>
    <n v="6"/>
    <x v="152"/>
    <n v="6585.5399999999991"/>
    <n v="-2445.7271999999994"/>
    <n v="-0.59078207594314402"/>
    <n v="1"/>
    <n v="0"/>
  </r>
  <r>
    <s v="ORD-2024-201376"/>
    <d v="2024-02-18T00:00:00"/>
    <x v="31"/>
    <s v="Q1-2024"/>
    <d v="2024-03-04T00:00:00"/>
    <s v="Valid"/>
    <n v="15"/>
    <d v="2024-03-04T00:00:00"/>
    <x v="0"/>
    <s v="Africa → Kenya → Kisumu"/>
    <s v="Kenya-2024-02"/>
    <x v="0"/>
    <s v="Kisumu"/>
    <s v="Education"/>
    <x v="4"/>
    <x v="11"/>
    <x v="1"/>
    <x v="153"/>
    <n v="928.68"/>
    <n v="2145.17"/>
    <s v="Valid"/>
    <n v="2145.17"/>
    <s v="High"/>
    <n v="0.13600000000000001"/>
    <s v="Valid"/>
    <x v="29"/>
    <n v="16"/>
    <x v="153"/>
    <n v="14858.88"/>
    <n v="14795.950080000001"/>
    <n v="0.49893896003062177"/>
    <n v="0"/>
    <n v="0"/>
  </r>
  <r>
    <s v="ORD-2023-842488"/>
    <d v="2023-10-31T00:00:00"/>
    <x v="32"/>
    <s v="Q4-2023"/>
    <d v="2023-11-02T00:00:00"/>
    <s v="Valid"/>
    <n v="2"/>
    <d v="2023-11-02T00:00:00"/>
    <x v="0"/>
    <s v="Africa → Kenya → Kisumu"/>
    <s v="Kenya-2023-10"/>
    <x v="0"/>
    <s v="Kisumu"/>
    <s v="Education"/>
    <x v="0"/>
    <x v="7"/>
    <x v="6"/>
    <x v="154"/>
    <n v="867.89"/>
    <n v="1349.94"/>
    <s v="Valid"/>
    <n v="1349.94"/>
    <s v="Medium"/>
    <n v="0.184"/>
    <s v="Valid"/>
    <x v="50"/>
    <n v="10"/>
    <x v="154"/>
    <n v="8678.9"/>
    <n v="2336.6104000000032"/>
    <n v="0.21212003031652557"/>
    <n v="1"/>
    <n v="0"/>
  </r>
  <r>
    <s v="ORD-2024-136321"/>
    <d v="2024-08-07T00:00:00"/>
    <x v="21"/>
    <s v="Q3-2024"/>
    <d v="2024-08-17T00:00:00"/>
    <s v="Valid"/>
    <n v="10"/>
    <d v="2024-08-17T00:00:00"/>
    <x v="1"/>
    <s v="Asia → Japan → Osaka"/>
    <s v="Japan-2024-08"/>
    <x v="2"/>
    <s v="Osaka"/>
    <s v="Consumer"/>
    <x v="1"/>
    <x v="11"/>
    <x v="2"/>
    <x v="155"/>
    <n v="436.58"/>
    <n v="527.48"/>
    <s v="Valid"/>
    <n v="527.48"/>
    <s v="Low"/>
    <n v="0.111"/>
    <s v="Valid"/>
    <x v="94"/>
    <n v="19"/>
    <x v="155"/>
    <n v="8295.02"/>
    <n v="614.64468000000124"/>
    <n v="6.8986286473802644E-2"/>
    <n v="0"/>
    <n v="0"/>
  </r>
  <r>
    <s v="ORD-2024-764468"/>
    <d v="2024-02-01T00:00:00"/>
    <x v="31"/>
    <s v="Q1-2024"/>
    <d v="2024-02-21T00:00:00"/>
    <s v="Valid"/>
    <n v="20"/>
    <d v="2024-02-21T00:00:00"/>
    <x v="3"/>
    <s v="Europe → France → Paris"/>
    <s v="France-2024-02"/>
    <x v="7"/>
    <s v="Paris"/>
    <s v="Small Business"/>
    <x v="2"/>
    <x v="8"/>
    <x v="2"/>
    <x v="156"/>
    <n v="656.2"/>
    <n v="1467.17"/>
    <s v="Valid"/>
    <n v="1467.17"/>
    <s v="Medium"/>
    <n v="1.7999999999999999E-2"/>
    <s v="Valid"/>
    <x v="107"/>
    <n v="5"/>
    <x v="156"/>
    <n v="3281"/>
    <n v="3922.8047000000006"/>
    <n v="0.54454623124360946"/>
    <n v="0"/>
    <n v="0"/>
  </r>
  <r>
    <s v="ORD-2024-553449"/>
    <d v="2024-08-27T00:00:00"/>
    <x v="21"/>
    <s v="Q3-2024"/>
    <d v="2024-09-18T00:00:00"/>
    <s v="Valid"/>
    <n v="22"/>
    <d v="2024-09-18T00:00:00"/>
    <x v="1"/>
    <s v="Asia → India → Delhi"/>
    <s v="India-2024-08"/>
    <x v="4"/>
    <s v="Delhi"/>
    <s v="Consumer"/>
    <x v="4"/>
    <x v="5"/>
    <x v="0"/>
    <x v="157"/>
    <n v="896.75"/>
    <n v="1651.14"/>
    <s v="Valid"/>
    <n v="1651.14"/>
    <s v="Medium"/>
    <n v="2.5000000000000001E-2"/>
    <s v="Valid"/>
    <x v="108"/>
    <n v="15"/>
    <x v="157"/>
    <n v="13451.25"/>
    <n v="10696.672500000001"/>
    <n v="0.44296450346815552"/>
    <n v="0"/>
    <n v="0"/>
  </r>
  <r>
    <s v="ORD-2025-766923"/>
    <d v="2025-02-15T00:00:00"/>
    <x v="26"/>
    <s v="Q1-2025"/>
    <d v="2025-02-15T00:00:00"/>
    <s v="Valid"/>
    <n v="0"/>
    <d v="2025-02-15T00:00:00"/>
    <x v="3"/>
    <s v="Europe → Germany → Frankfurt"/>
    <s v="Germany-2025-02"/>
    <x v="6"/>
    <s v="Frankfurt"/>
    <s v="Small Business"/>
    <x v="2"/>
    <x v="4"/>
    <x v="6"/>
    <x v="158"/>
    <n v="815.83"/>
    <n v="1982.18"/>
    <s v="Valid"/>
    <n v="1982.18"/>
    <s v="High"/>
    <n v="0.127"/>
    <s v="Valid"/>
    <x v="109"/>
    <n v="6"/>
    <x v="158"/>
    <n v="4894.9800000000005"/>
    <n v="5487.6788399999996"/>
    <n v="0.52854272923408507"/>
    <n v="1"/>
    <n v="0"/>
  </r>
  <r>
    <s v="ORD-2025-418232"/>
    <d v="2025-08-01T00:00:00"/>
    <x v="28"/>
    <s v="Q3-2025"/>
    <d v="2025-08-21T00:00:00"/>
    <s v="Valid"/>
    <n v="20"/>
    <d v="2025-08-21T00:00:00"/>
    <x v="1"/>
    <s v="Asia → China → Shanghai"/>
    <s v="China-2025-08"/>
    <x v="9"/>
    <s v="Shanghai"/>
    <s v="Corporate"/>
    <x v="4"/>
    <x v="2"/>
    <x v="3"/>
    <x v="159"/>
    <n v="1220.4100000000001"/>
    <n v="2552.2199999999998"/>
    <s v="Valid"/>
    <n v="2552.2199999999998"/>
    <s v="High"/>
    <n v="0.18099999999999999"/>
    <s v="Valid"/>
    <x v="110"/>
    <n v="14"/>
    <x v="159"/>
    <n v="17085.740000000002"/>
    <n v="12178.014519999993"/>
    <n v="0.41614668793360271"/>
    <n v="0"/>
    <n v="0"/>
  </r>
  <r>
    <s v="ORD-2023-848013"/>
    <d v="2023-02-20T00:00:00"/>
    <x v="2"/>
    <s v="Q1-2023"/>
    <d v="2023-03-04T00:00:00"/>
    <s v="Valid"/>
    <n v="12"/>
    <d v="2023-03-04T00:00:00"/>
    <x v="1"/>
    <s v="Asia → India → Delhi"/>
    <s v="India-2023-02"/>
    <x v="4"/>
    <s v="Delhi"/>
    <s v="Consumer"/>
    <x v="3"/>
    <x v="12"/>
    <x v="5"/>
    <x v="160"/>
    <n v="299.75"/>
    <n v="523.01"/>
    <s v="Valid"/>
    <n v="523.01"/>
    <s v="Low"/>
    <n v="0.157"/>
    <s v="Valid"/>
    <x v="86"/>
    <n v="50"/>
    <x v="160"/>
    <n v="14987.5"/>
    <n v="7057.3714999999975"/>
    <n v="0.32013665854210122"/>
    <n v="0"/>
    <n v="0"/>
  </r>
  <r>
    <s v="ORD-2024-357368"/>
    <d v="2024-10-30T00:00:00"/>
    <x v="1"/>
    <s v="Q4-2024"/>
    <d v="2024-11-24T00:00:00"/>
    <s v="Valid"/>
    <n v="25"/>
    <d v="2024-11-24T00:00:00"/>
    <x v="1"/>
    <s v="Asia → China → Shenzhen"/>
    <s v="China-2024-10"/>
    <x v="9"/>
    <s v="Shenzhen"/>
    <s v="Small Business"/>
    <x v="1"/>
    <x v="6"/>
    <x v="0"/>
    <x v="161"/>
    <n v="811.05"/>
    <n v="1217.71"/>
    <s v="Valid"/>
    <n v="1217.71"/>
    <s v="Medium"/>
    <n v="7.1999999999999995E-2"/>
    <s v="Valid"/>
    <x v="3"/>
    <n v="5"/>
    <x v="161"/>
    <n v="4055.25"/>
    <n v="1594.9244000000008"/>
    <n v="0.28227879125288602"/>
    <n v="0"/>
    <n v="0"/>
  </r>
  <r>
    <s v="ORD-2024-219735"/>
    <d v="2024-04-03T00:00:00"/>
    <x v="20"/>
    <s v="Q2-2024"/>
    <d v="2024-04-07T00:00:00"/>
    <s v="Valid"/>
    <n v="4"/>
    <d v="2024-04-07T00:00:00"/>
    <x v="2"/>
    <s v="Americas → Brazil → Brasília"/>
    <s v="Brazil-2024-04"/>
    <x v="5"/>
    <s v="Brasília"/>
    <s v="Non-Profit"/>
    <x v="4"/>
    <x v="13"/>
    <x v="3"/>
    <x v="162"/>
    <n v="1023.27"/>
    <n v="1343.64"/>
    <s v="Valid"/>
    <n v="1343.64"/>
    <s v="Medium"/>
    <n v="0.13300000000000001"/>
    <s v="Valid"/>
    <x v="111"/>
    <n v="7"/>
    <x v="162"/>
    <n v="7162.8899999999994"/>
    <n v="991.66116000000147"/>
    <n v="0.12160830688810116"/>
    <n v="1"/>
    <n v="0"/>
  </r>
  <r>
    <s v="ORD-2023-240507"/>
    <d v="2023-03-25T00:00:00"/>
    <x v="22"/>
    <s v="Q1-2023"/>
    <d v="2023-03-26T00:00:00"/>
    <s v="Valid"/>
    <n v="1"/>
    <d v="2023-03-26T00:00:00"/>
    <x v="1"/>
    <s v="Asia → Japan → Osaka"/>
    <s v="Japan-2023-03"/>
    <x v="2"/>
    <s v="Osaka"/>
    <s v="Small Business"/>
    <x v="3"/>
    <x v="2"/>
    <x v="5"/>
    <x v="163"/>
    <n v="135.12"/>
    <n v="301.7"/>
    <s v="Valid"/>
    <n v="301.7"/>
    <s v="Low"/>
    <n v="0.14000000000000001"/>
    <s v="Valid"/>
    <x v="77"/>
    <n v="47"/>
    <x v="163"/>
    <n v="6350.64"/>
    <n v="5844.0739999999996"/>
    <n v="0.47923009920527859"/>
    <n v="1"/>
    <n v="0"/>
  </r>
  <r>
    <s v="ORD-2024-134084"/>
    <d v="2024-06-04T00:00:00"/>
    <x v="17"/>
    <s v="Q2-2024"/>
    <d v="2024-06-16T00:00:00"/>
    <s v="Valid"/>
    <n v="12"/>
    <d v="2024-06-16T00:00:00"/>
    <x v="1"/>
    <s v="Asia → China → Shanghai"/>
    <s v="China-2024-06"/>
    <x v="9"/>
    <s v="Shanghai"/>
    <s v="Corporate"/>
    <x v="0"/>
    <x v="1"/>
    <x v="1"/>
    <x v="164"/>
    <n v="918.42"/>
    <n v="1511.71"/>
    <s v="Valid"/>
    <n v="1511.71"/>
    <s v="Medium"/>
    <n v="0.02"/>
    <s v="Valid"/>
    <x v="112"/>
    <n v="8"/>
    <x v="164"/>
    <n v="7347.36"/>
    <n v="4504.4463999999998"/>
    <n v="0.38006412254590999"/>
    <n v="0"/>
    <n v="0"/>
  </r>
  <r>
    <s v="ORD-2023-884625"/>
    <d v="2023-02-19T00:00:00"/>
    <x v="2"/>
    <s v="Q1-2023"/>
    <d v="2023-03-12T00:00:00"/>
    <s v="Valid"/>
    <n v="21"/>
    <d v="2023-03-12T00:00:00"/>
    <x v="3"/>
    <s v="Europe → Germany → Berlin"/>
    <s v="Germany-2023-02"/>
    <x v="6"/>
    <s v="Berlin"/>
    <s v="Small Business"/>
    <x v="4"/>
    <x v="4"/>
    <x v="5"/>
    <x v="165"/>
    <n v="1234.81"/>
    <n v="2055.2399999999998"/>
    <s v="Valid"/>
    <n v="2055.2399999999998"/>
    <s v="High"/>
    <n v="5.2999999999999999E-2"/>
    <s v="Valid"/>
    <x v="113"/>
    <n v="44"/>
    <x v="165"/>
    <n v="54331.64"/>
    <n v="31306.100319999998"/>
    <n v="0.36556429680441616"/>
    <n v="0"/>
    <n v="0"/>
  </r>
  <r>
    <s v="ORD-2023-157993"/>
    <d v="2023-04-18T00:00:00"/>
    <x v="12"/>
    <s v="Q2-2023"/>
    <d v="2023-05-18T00:00:00"/>
    <s v="Valid"/>
    <n v="30"/>
    <d v="2023-05-18T00:00:00"/>
    <x v="1"/>
    <s v="Asia → China → Shenzhen"/>
    <s v="China-2023-04"/>
    <x v="9"/>
    <s v="Shenzhen"/>
    <s v="Non-Profit"/>
    <x v="0"/>
    <x v="10"/>
    <x v="4"/>
    <x v="166"/>
    <n v="329.03"/>
    <n v="391.15"/>
    <s v="Valid"/>
    <n v="391.15"/>
    <s v="Low"/>
    <n v="0.19700000000000001"/>
    <s v="Valid"/>
    <x v="114"/>
    <n v="46"/>
    <x v="166"/>
    <n v="15135.38"/>
    <n v="-687.08130000000165"/>
    <n v="-4.7554477815440081E-2"/>
    <n v="0"/>
    <n v="0"/>
  </r>
  <r>
    <s v="ORD-2024-329104"/>
    <d v="2024-05-23T00:00:00"/>
    <x v="7"/>
    <s v="Q2-2024"/>
    <d v="2024-06-14T00:00:00"/>
    <s v="Valid"/>
    <n v="22"/>
    <d v="2024-06-14T00:00:00"/>
    <x v="3"/>
    <s v="Europe → France → Marseille"/>
    <s v="France-2024-05"/>
    <x v="7"/>
    <s v="Marseille"/>
    <s v="Small Business"/>
    <x v="1"/>
    <x v="13"/>
    <x v="5"/>
    <x v="167"/>
    <n v="1481.74"/>
    <n v="1848.97"/>
    <s v="Valid"/>
    <n v="1848.97"/>
    <s v="Medium"/>
    <n v="0.254"/>
    <s v="Valid"/>
    <x v="115"/>
    <n v="9"/>
    <x v="167"/>
    <n v="13335.66"/>
    <n v="-921.67541999999958"/>
    <n v="-7.4244930309072407E-2"/>
    <n v="0"/>
    <n v="1"/>
  </r>
  <r>
    <s v="ORD-2023-304451"/>
    <d v="2023-10-07T00:00:00"/>
    <x v="32"/>
    <s v="Q4-2023"/>
    <d v="2023-10-23T00:00:00"/>
    <s v="Valid"/>
    <n v="16"/>
    <d v="2023-10-23T00:00:00"/>
    <x v="1"/>
    <s v="Asia → India → Hyderabad"/>
    <s v="India-2023-10"/>
    <x v="4"/>
    <s v="Hyderabad"/>
    <s v="Consumer"/>
    <x v="0"/>
    <x v="3"/>
    <x v="5"/>
    <x v="168"/>
    <n v="906.81"/>
    <n v="1395.56"/>
    <s v="Valid"/>
    <n v="1395.56"/>
    <s v="Medium"/>
    <n v="0.185"/>
    <s v="Valid"/>
    <x v="57"/>
    <n v="6"/>
    <x v="168"/>
    <n v="5440.86"/>
    <n v="1383.4284000000007"/>
    <n v="0.20272126834498974"/>
    <n v="0"/>
    <n v="0"/>
  </r>
  <r>
    <s v="ORD-2024-942981"/>
    <d v="2024-10-09T00:00:00"/>
    <x v="1"/>
    <s v="Q4-2024"/>
    <d v="2024-11-08T00:00:00"/>
    <s v="Valid"/>
    <n v="30"/>
    <d v="2024-11-08T00:00:00"/>
    <x v="3"/>
    <s v="Europe → United Kingdom → Manchester"/>
    <s v="United Kingdom-2024-10"/>
    <x v="8"/>
    <s v="Manchester"/>
    <s v="Small Business"/>
    <x v="3"/>
    <x v="1"/>
    <x v="0"/>
    <x v="169"/>
    <n v="343.85"/>
    <n v="538.04"/>
    <s v="Valid"/>
    <n v="538.04"/>
    <s v="Low"/>
    <n v="0.13900000000000001"/>
    <s v="Valid"/>
    <x v="23"/>
    <n v="5"/>
    <x v="169"/>
    <n v="1719.25"/>
    <n v="597.01219999999967"/>
    <n v="0.25774810813732563"/>
    <n v="0"/>
    <n v="0"/>
  </r>
  <r>
    <s v="ORD-2024-605629"/>
    <d v="2024-07-15T00:00:00"/>
    <x v="14"/>
    <s v="Q3-2024"/>
    <d v="2024-07-15T00:00:00"/>
    <s v="Valid"/>
    <n v="0"/>
    <d v="2024-07-15T00:00:00"/>
    <x v="1"/>
    <s v="Asia → Japan → Tokyo"/>
    <s v="Japan-2024-07"/>
    <x v="2"/>
    <s v="Tokyo"/>
    <s v="Small Business"/>
    <x v="2"/>
    <x v="3"/>
    <x v="6"/>
    <x v="170"/>
    <n v="801.77"/>
    <n v="1218.92"/>
    <s v="Valid"/>
    <n v="1218.92"/>
    <s v="Medium"/>
    <n v="0.254"/>
    <s v="Valid"/>
    <x v="115"/>
    <n v="16"/>
    <x v="170"/>
    <n v="12828.32"/>
    <n v="1720.7091200000013"/>
    <n v="0.11826968698788344"/>
    <n v="1"/>
    <n v="1"/>
  </r>
  <r>
    <s v="ORD-2023-450877"/>
    <d v="2023-09-21T00:00:00"/>
    <x v="27"/>
    <s v="Q3-2023"/>
    <d v="2023-10-10T00:00:00"/>
    <s v="Valid"/>
    <n v="19"/>
    <d v="2023-10-10T00:00:00"/>
    <x v="1"/>
    <s v="Asia → Japan → Tokyo"/>
    <s v="Japan-2023-09"/>
    <x v="2"/>
    <s v="Tokyo"/>
    <s v="Education"/>
    <x v="1"/>
    <x v="14"/>
    <x v="0"/>
    <x v="171"/>
    <n v="845.63"/>
    <n v="2062.12"/>
    <s v="Valid"/>
    <n v="2062.12"/>
    <s v="High"/>
    <n v="0.13400000000000001"/>
    <s v="Valid"/>
    <x v="60"/>
    <n v="5"/>
    <x v="171"/>
    <n v="4228.1499999999996"/>
    <n v="4700.8295999999991"/>
    <n v="0.52646884757133949"/>
    <n v="0"/>
    <n v="0"/>
  </r>
  <r>
    <s v="ORD-2023-286994"/>
    <d v="2023-02-24T00:00:00"/>
    <x v="2"/>
    <s v="Q1-2023"/>
    <d v="2023-03-09T00:00:00"/>
    <s v="Valid"/>
    <n v="13"/>
    <d v="2023-03-09T00:00:00"/>
    <x v="2"/>
    <s v="Americas → USA → New York"/>
    <s v="USA-2023-02"/>
    <x v="10"/>
    <s v="New York"/>
    <s v="Enterprise"/>
    <x v="1"/>
    <x v="12"/>
    <x v="0"/>
    <x v="172"/>
    <n v="6.85"/>
    <n v="10.18"/>
    <s v="Valid"/>
    <n v="10.18"/>
    <s v="Low"/>
    <n v="4.7E-2"/>
    <s v="Valid"/>
    <x v="58"/>
    <n v="10"/>
    <x v="172"/>
    <n v="68.5"/>
    <n v="28.5154"/>
    <n v="0.2939265312517394"/>
    <n v="0"/>
    <n v="0"/>
  </r>
  <r>
    <s v="ORD-2025-700847"/>
    <d v="2025-05-21T00:00:00"/>
    <x v="8"/>
    <s v="Q2-2025"/>
    <d v="2025-05-19T00:00:00"/>
    <s v="Invalid RequiredDate"/>
    <n v="-2"/>
    <d v="2025-06-16T00:00:00"/>
    <x v="0"/>
    <s v="Africa → South Africa → Johannesburg"/>
    <s v="South Africa-2025-05"/>
    <x v="11"/>
    <s v="Johannesburg"/>
    <s v="Non-Profit"/>
    <x v="3"/>
    <x v="7"/>
    <x v="4"/>
    <x v="173"/>
    <n v="1263.8399999999999"/>
    <n v="2281.7199999999998"/>
    <s v="Valid"/>
    <n v="2281.7199999999998"/>
    <s v="High"/>
    <n v="7.8E-2"/>
    <s v="Valid"/>
    <x v="116"/>
    <n v="15"/>
    <x v="173"/>
    <n v="18957.599999999999"/>
    <n v="12598.587599999999"/>
    <n v="0.39924301882398494"/>
    <n v="1"/>
    <n v="0"/>
  </r>
  <r>
    <s v="ORD-2024-970848"/>
    <d v="2024-05-23T00:00:00"/>
    <x v="7"/>
    <s v="Q2-2024"/>
    <d v="2024-06-03T00:00:00"/>
    <s v="Valid"/>
    <n v="11"/>
    <d v="2024-06-03T00:00:00"/>
    <x v="0"/>
    <s v="Africa → South Africa → Johannesburg"/>
    <s v="South Africa-2024-05"/>
    <x v="11"/>
    <s v="Johannesburg"/>
    <s v="Small Business"/>
    <x v="3"/>
    <x v="9"/>
    <x v="1"/>
    <x v="174"/>
    <n v="180.89"/>
    <n v="249.57"/>
    <s v="Valid"/>
    <n v="249.57"/>
    <s v="Low"/>
    <n v="2.1999999999999999E-2"/>
    <s v="Valid"/>
    <x v="117"/>
    <n v="8"/>
    <x v="174"/>
    <n v="1447.12"/>
    <n v="505.51567999999997"/>
    <n v="0.25888888806948362"/>
    <n v="0"/>
    <n v="0"/>
  </r>
  <r>
    <s v="ORD-2025-845715"/>
    <d v="2025-04-14T00:00:00"/>
    <x v="19"/>
    <s v="Q2-2025"/>
    <d v="2025-05-04T00:00:00"/>
    <s v="Valid"/>
    <n v="20"/>
    <d v="2025-05-04T00:00:00"/>
    <x v="3"/>
    <s v="Europe → United Kingdom → Birmingham"/>
    <s v="United Kingdom-2025-04"/>
    <x v="8"/>
    <s v="Birmingham"/>
    <s v="Enterprise"/>
    <x v="2"/>
    <x v="11"/>
    <x v="5"/>
    <x v="175"/>
    <n v="1413.87"/>
    <n v="3275"/>
    <s v="Valid"/>
    <n v="3275"/>
    <s v="High"/>
    <n v="0.255"/>
    <s v="Valid"/>
    <x v="48"/>
    <n v="38"/>
    <x v="175"/>
    <n v="53727.06"/>
    <n v="38988.19"/>
    <n v="0.42051539525590453"/>
    <n v="0"/>
    <n v="1"/>
  </r>
  <r>
    <s v="ORD-2023-664749"/>
    <d v="2023-08-27T00:00:00"/>
    <x v="25"/>
    <s v="Q3-2023"/>
    <d v="2023-09-11T00:00:00"/>
    <s v="Valid"/>
    <n v="15"/>
    <d v="2023-09-11T00:00:00"/>
    <x v="3"/>
    <s v="Europe → United Kingdom → London"/>
    <s v="United Kingdom-2023-08"/>
    <x v="8"/>
    <s v="London"/>
    <s v="Consumer"/>
    <x v="2"/>
    <x v="13"/>
    <x v="1"/>
    <x v="176"/>
    <n v="943.79"/>
    <n v="1913.76"/>
    <s v="Valid"/>
    <n v="1913.76"/>
    <s v="High"/>
    <n v="9.0999999999999998E-2"/>
    <s v="Valid"/>
    <x v="118"/>
    <n v="9"/>
    <x v="176"/>
    <n v="8494.11"/>
    <n v="7162.3605599999992"/>
    <n v="0.45746967891338081"/>
    <n v="0"/>
    <n v="0"/>
  </r>
  <r>
    <s v="ORD-2024-960952"/>
    <d v="2024-02-03T00:00:00"/>
    <x v="31"/>
    <s v="Q1-2024"/>
    <d v="2024-02-21T00:00:00"/>
    <s v="Valid"/>
    <n v="18"/>
    <d v="2024-02-21T00:00:00"/>
    <x v="3"/>
    <s v="Europe → Germany → Frankfurt"/>
    <s v="Germany-2024-02"/>
    <x v="6"/>
    <s v="Frankfurt"/>
    <s v="Corporate"/>
    <x v="0"/>
    <x v="10"/>
    <x v="0"/>
    <x v="177"/>
    <n v="39.229999999999997"/>
    <n v="30.09"/>
    <s v="Valid"/>
    <n v="30.09"/>
    <s v="Low"/>
    <n v="0.17699999999999999"/>
    <s v="Valid"/>
    <x v="119"/>
    <n v="13"/>
    <x v="177"/>
    <n v="509.98999999999995"/>
    <n v="-188.05708999999996"/>
    <n v="-0.58414993981199359"/>
    <n v="0"/>
    <n v="0"/>
  </r>
  <r>
    <s v="ORD-2023-987700"/>
    <d v="2023-04-05T00:00:00"/>
    <x v="12"/>
    <s v="Q2-2023"/>
    <d v="2023-04-16T00:00:00"/>
    <s v="Valid"/>
    <n v="11"/>
    <d v="2023-04-16T00:00:00"/>
    <x v="2"/>
    <s v="Americas → Canada → Vancouver"/>
    <s v="Canada-2023-04"/>
    <x v="3"/>
    <s v="Vancouver"/>
    <s v="Non-Profit"/>
    <x v="1"/>
    <x v="7"/>
    <x v="5"/>
    <x v="178"/>
    <n v="213.1"/>
    <n v="501.31"/>
    <s v="Valid"/>
    <n v="501.31"/>
    <s v="Low"/>
    <n v="5.6000000000000001E-2"/>
    <s v="Valid"/>
    <x v="120"/>
    <n v="15"/>
    <x v="178"/>
    <n v="3196.5"/>
    <n v="3902.0495999999994"/>
    <n v="0.54969674368409005"/>
    <n v="0"/>
    <n v="0"/>
  </r>
  <r>
    <s v="ORD-2025-652467"/>
    <d v="2025-08-21T00:00:00"/>
    <x v="28"/>
    <s v="Q3-2025"/>
    <d v="2025-09-12T00:00:00"/>
    <s v="Valid"/>
    <n v="22"/>
    <d v="2025-09-12T00:00:00"/>
    <x v="1"/>
    <s v="Asia → China → Shenzhen"/>
    <s v="China-2025-08"/>
    <x v="9"/>
    <s v="Shenzhen"/>
    <s v="Education"/>
    <x v="0"/>
    <x v="5"/>
    <x v="1"/>
    <x v="179"/>
    <n v="352.66"/>
    <n v="411.18"/>
    <s v="Valid"/>
    <n v="411.18"/>
    <s v="Low"/>
    <n v="0.17299999999999999"/>
    <s v="Valid"/>
    <x v="121"/>
    <n v="13"/>
    <x v="179"/>
    <n v="4584.58"/>
    <n v="-163.98382000000038"/>
    <n v="-3.7095408248758066E-2"/>
    <n v="0"/>
    <n v="0"/>
  </r>
  <r>
    <s v="ORD-2025-667201"/>
    <d v="2025-09-15T00:00:00"/>
    <x v="11"/>
    <s v="Q3-2025"/>
    <d v="2025-09-18T00:00:00"/>
    <s v="Valid"/>
    <n v="3"/>
    <d v="2025-09-18T00:00:00"/>
    <x v="2"/>
    <s v="Americas → Brazil → Rio de Janeiro"/>
    <s v="Brazil-2025-09"/>
    <x v="5"/>
    <s v="Rio de Janeiro"/>
    <s v="Non-Profit"/>
    <x v="4"/>
    <x v="4"/>
    <x v="6"/>
    <x v="180"/>
    <n v="5.5"/>
    <n v="5.92"/>
    <s v="Valid"/>
    <n v="5.92"/>
    <s v="Low"/>
    <n v="0.21199999999999999"/>
    <s v="Valid"/>
    <x v="122"/>
    <n v="4"/>
    <x v="180"/>
    <n v="22"/>
    <n v="-3.3401600000000009"/>
    <n v="-0.17900260666758133"/>
    <n v="1"/>
    <n v="1"/>
  </r>
  <r>
    <s v="ORD-2024-237478"/>
    <d v="2024-10-03T00:00:00"/>
    <x v="1"/>
    <s v="Q4-2024"/>
    <d v="2024-10-11T00:00:00"/>
    <s v="Valid"/>
    <n v="8"/>
    <d v="2024-10-11T00:00:00"/>
    <x v="1"/>
    <s v="Asia → China → Beijing"/>
    <s v="China-2024-10"/>
    <x v="9"/>
    <s v="Beijing"/>
    <s v="Enterprise"/>
    <x v="4"/>
    <x v="5"/>
    <x v="3"/>
    <x v="181"/>
    <n v="1132.6099999999999"/>
    <n v="2206.63"/>
    <s v="Valid"/>
    <n v="2206.63"/>
    <s v="High"/>
    <n v="6.3E-2"/>
    <s v="Valid"/>
    <x v="95"/>
    <n v="20"/>
    <x v="181"/>
    <n v="22652.199999999997"/>
    <n v="18700.046200000012"/>
    <n v="0.45221355351671338"/>
    <n v="0"/>
    <n v="0"/>
  </r>
  <r>
    <s v="ORD-2025-898843"/>
    <d v="2025-02-02T00:00:00"/>
    <x v="26"/>
    <s v="Q1-2025"/>
    <d v="2025-03-04T00:00:00"/>
    <s v="Valid"/>
    <n v="30"/>
    <d v="2025-03-04T00:00:00"/>
    <x v="1"/>
    <s v="Asia → Japan → Osaka"/>
    <s v="Japan-2025-02"/>
    <x v="2"/>
    <s v="Osaka"/>
    <s v="Education"/>
    <x v="3"/>
    <x v="4"/>
    <x v="6"/>
    <x v="182"/>
    <n v="766.59"/>
    <n v="1912.8"/>
    <s v="Valid"/>
    <n v="1912.8"/>
    <s v="High"/>
    <n v="0.19600000000000001"/>
    <s v="Valid"/>
    <x v="123"/>
    <n v="5"/>
    <x v="182"/>
    <n v="3832.9500000000003"/>
    <n v="3856.5059999999999"/>
    <n v="0.50153170783472845"/>
    <n v="0"/>
    <n v="0"/>
  </r>
  <r>
    <s v="ORD-2023-334213"/>
    <d v="2023-08-19T00:00:00"/>
    <x v="25"/>
    <s v="Q3-2023"/>
    <d v="2023-08-23T00:00:00"/>
    <s v="Valid"/>
    <n v="4"/>
    <d v="2023-08-23T00:00:00"/>
    <x v="0"/>
    <s v="Africa → Nigeria → Abuja"/>
    <s v="Nigeria-2023-08"/>
    <x v="1"/>
    <s v="Abuja"/>
    <s v="Small Business"/>
    <x v="1"/>
    <x v="1"/>
    <x v="5"/>
    <x v="183"/>
    <n v="790.63"/>
    <n v="1382.31"/>
    <s v="Valid"/>
    <n v="1382.31"/>
    <s v="Medium"/>
    <n v="0.10100000000000001"/>
    <s v="Valid"/>
    <x v="27"/>
    <n v="7"/>
    <x v="183"/>
    <n v="5534.41"/>
    <n v="3164.4668300000012"/>
    <n v="0.36377878338116448"/>
    <n v="1"/>
    <n v="0"/>
  </r>
  <r>
    <s v="ORD-2024-640340"/>
    <d v="2024-10-22T00:00:00"/>
    <x v="1"/>
    <s v="Q4-2024"/>
    <d v="2024-10-29T00:00:00"/>
    <s v="Valid"/>
    <n v="7"/>
    <d v="2024-10-29T00:00:00"/>
    <x v="0"/>
    <s v="Africa → Nigeria → Port Harcourt"/>
    <s v="Nigeria-2024-10"/>
    <x v="1"/>
    <s v="Port Harcourt"/>
    <s v="Enterprise"/>
    <x v="3"/>
    <x v="12"/>
    <x v="5"/>
    <x v="184"/>
    <n v="1023.06"/>
    <n v="1355.61"/>
    <s v="Valid"/>
    <n v="1355.61"/>
    <s v="Medium"/>
    <n v="0.153"/>
    <s v="Valid"/>
    <x v="124"/>
    <n v="23"/>
    <x v="184"/>
    <n v="23530.379999999997"/>
    <n v="2878.2584100000022"/>
    <n v="0.10898927711888809"/>
    <n v="1"/>
    <n v="0"/>
  </r>
  <r>
    <s v="ORD-2023-399631"/>
    <d v="2023-06-22T00:00:00"/>
    <x v="23"/>
    <s v="Q2-2023"/>
    <d v="2023-07-21T00:00:00"/>
    <s v="Valid"/>
    <n v="29"/>
    <d v="2023-07-21T00:00:00"/>
    <x v="3"/>
    <s v="Europe → France → Lyon"/>
    <s v="France-2023-06"/>
    <x v="7"/>
    <s v="Lyon"/>
    <s v="Corporate"/>
    <x v="0"/>
    <x v="1"/>
    <x v="6"/>
    <x v="185"/>
    <n v="734.34"/>
    <n v="887.9"/>
    <s v="Valid"/>
    <n v="887.9"/>
    <s v="Medium"/>
    <n v="2.5000000000000001E-2"/>
    <s v="Valid"/>
    <x v="108"/>
    <n v="12"/>
    <x v="185"/>
    <n v="8812.08"/>
    <n v="1576.3499999999985"/>
    <n v="0.15174092716608753"/>
    <n v="0"/>
    <n v="0"/>
  </r>
  <r>
    <s v="ORD-2025-542939"/>
    <d v="2025-01-13T00:00:00"/>
    <x v="10"/>
    <s v="Q1-2025"/>
    <d v="2025-02-08T00:00:00"/>
    <s v="Valid"/>
    <n v="26"/>
    <d v="2025-02-08T00:00:00"/>
    <x v="3"/>
    <s v="Europe → France → Paris"/>
    <s v="France-2025-01"/>
    <x v="7"/>
    <s v="Paris"/>
    <s v="Non-Profit"/>
    <x v="5"/>
    <x v="6"/>
    <x v="5"/>
    <x v="186"/>
    <n v="594.74"/>
    <n v="1020.69"/>
    <s v="Valid"/>
    <n v="1020.69"/>
    <s v="Medium"/>
    <n v="0.21099999999999999"/>
    <s v="Valid"/>
    <x v="125"/>
    <n v="6"/>
    <x v="186"/>
    <n v="3568.44"/>
    <n v="1263.5064600000001"/>
    <n v="0.26149016146176424"/>
    <n v="0"/>
    <n v="1"/>
  </r>
  <r>
    <s v="ORD-2023-521818"/>
    <d v="2023-01-29T00:00:00"/>
    <x v="5"/>
    <s v="Q1-2023"/>
    <d v="2023-02-28T00:00:00"/>
    <s v="Valid"/>
    <n v="30"/>
    <d v="2023-02-28T00:00:00"/>
    <x v="1"/>
    <s v="Asia → India → Bengaluru"/>
    <s v="India-2023-01"/>
    <x v="4"/>
    <s v="Bengaluru"/>
    <s v="Non-Profit"/>
    <x v="0"/>
    <x v="5"/>
    <x v="6"/>
    <x v="187"/>
    <n v="1262.0999999999999"/>
    <n v="1395.53"/>
    <s v="Valid"/>
    <n v="1395.53"/>
    <s v="Medium"/>
    <n v="0.23300000000000001"/>
    <s v="Valid"/>
    <x v="126"/>
    <n v="25"/>
    <x v="187"/>
    <n v="31552.499999999996"/>
    <n v="-4793.2122499999969"/>
    <n v="-0.17912331205452198"/>
    <n v="0"/>
    <n v="1"/>
  </r>
  <r>
    <s v="ORD-2023-825836"/>
    <d v="2023-07-19T00:00:00"/>
    <x v="24"/>
    <s v="Q3-2023"/>
    <d v="2023-07-31T00:00:00"/>
    <s v="Valid"/>
    <n v="12"/>
    <d v="2023-07-31T00:00:00"/>
    <x v="2"/>
    <s v="Americas → Brazil → Rio de Janeiro"/>
    <s v="Brazil-2023-07"/>
    <x v="5"/>
    <s v="Rio de Janeiro"/>
    <s v="Corporate"/>
    <x v="0"/>
    <x v="0"/>
    <x v="5"/>
    <x v="188"/>
    <n v="1334.64"/>
    <n v="2273.42"/>
    <s v="Valid"/>
    <n v="2273.42"/>
    <s v="High"/>
    <n v="0.11799999999999999"/>
    <s v="Valid"/>
    <x v="84"/>
    <n v="14"/>
    <x v="188"/>
    <n v="18684.960000000003"/>
    <n v="9387.2301599999992"/>
    <n v="0.33439607335575267"/>
    <n v="0"/>
    <n v="0"/>
  </r>
  <r>
    <s v="ORD-2024-503082"/>
    <d v="2024-05-19T00:00:00"/>
    <x v="7"/>
    <s v="Q2-2024"/>
    <d v="2024-06-08T00:00:00"/>
    <s v="Valid"/>
    <n v="20"/>
    <d v="2024-06-08T00:00:00"/>
    <x v="2"/>
    <s v="Americas → Brazil → Brasília"/>
    <s v="Brazil-2024-05"/>
    <x v="5"/>
    <s v="Brasília"/>
    <s v="Small Business"/>
    <x v="0"/>
    <x v="6"/>
    <x v="5"/>
    <x v="189"/>
    <n v="1075.9000000000001"/>
    <n v="1242.1500000000001"/>
    <s v="Valid"/>
    <n v="1242.1500000000001"/>
    <s v="Medium"/>
    <n v="1.2E-2"/>
    <s v="Valid"/>
    <x v="83"/>
    <n v="7"/>
    <x v="189"/>
    <n v="7531.3000000000011"/>
    <n v="1059.4094000000005"/>
    <n v="0.12332036280961853"/>
    <n v="0"/>
    <n v="0"/>
  </r>
  <r>
    <s v="ORD-2024-760799"/>
    <d v="2024-02-03T00:00:00"/>
    <x v="31"/>
    <s v="Q1-2024"/>
    <d v="2024-02-19T00:00:00"/>
    <s v="Valid"/>
    <n v="16"/>
    <d v="2024-02-19T00:00:00"/>
    <x v="1"/>
    <s v="Asia → China → Shenzhen"/>
    <s v="China-2024-02"/>
    <x v="9"/>
    <s v="Shenzhen"/>
    <s v="Small Business"/>
    <x v="1"/>
    <x v="10"/>
    <x v="4"/>
    <x v="190"/>
    <n v="993.75"/>
    <n v="1310.29"/>
    <s v="Valid"/>
    <n v="1310.29"/>
    <s v="Medium"/>
    <n v="0.215"/>
    <s v="Valid"/>
    <x v="65"/>
    <n v="19"/>
    <x v="190"/>
    <n v="18881.25"/>
    <n v="661.72535000000062"/>
    <n v="3.3860010471742245E-2"/>
    <n v="0"/>
    <n v="1"/>
  </r>
  <r>
    <s v="ORD-2023-197661"/>
    <d v="2023-08-08T00:00:00"/>
    <x v="25"/>
    <s v="Q3-2023"/>
    <d v="2023-08-22T00:00:00"/>
    <s v="Valid"/>
    <n v="14"/>
    <d v="2023-08-22T00:00:00"/>
    <x v="3"/>
    <s v="Europe → United Kingdom → Birmingham"/>
    <s v="United Kingdom-2023-08"/>
    <x v="8"/>
    <s v="Birmingham"/>
    <s v="Non-Profit"/>
    <x v="4"/>
    <x v="13"/>
    <x v="5"/>
    <x v="191"/>
    <n v="446.69"/>
    <n v="967.25"/>
    <s v="Valid"/>
    <n v="967.25"/>
    <s v="Medium"/>
    <n v="9.4E-2"/>
    <s v="Valid"/>
    <x v="12"/>
    <n v="10"/>
    <x v="191"/>
    <n v="4466.8999999999996"/>
    <n v="4296.3850000000002"/>
    <n v="0.49027105702941309"/>
    <n v="0"/>
    <n v="0"/>
  </r>
  <r>
    <s v="ORD-2024-212990"/>
    <d v="2024-08-12T00:00:00"/>
    <x v="21"/>
    <s v="Q3-2024"/>
    <d v="2024-09-03T00:00:00"/>
    <s v="Valid"/>
    <n v="22"/>
    <d v="2024-09-03T00:00:00"/>
    <x v="2"/>
    <s v="Americas → USA → Austin"/>
    <s v="USA-2024-08"/>
    <x v="10"/>
    <s v="Austin"/>
    <s v="Consumer"/>
    <x v="3"/>
    <x v="2"/>
    <x v="4"/>
    <x v="192"/>
    <n v="797.8"/>
    <n v="886.22"/>
    <s v="Valid"/>
    <n v="886.22"/>
    <s v="Medium"/>
    <n v="0.23599999999999999"/>
    <s v="Valid"/>
    <x v="127"/>
    <n v="36"/>
    <x v="192"/>
    <n v="28720.799999999999"/>
    <n v="-4346.2051199999987"/>
    <n v="-0.17830881462428633"/>
    <n v="0"/>
    <n v="1"/>
  </r>
  <r>
    <s v="ORD-2023-925146"/>
    <d v="2023-10-15T00:00:00"/>
    <x v="32"/>
    <s v="Q4-2023"/>
    <d v="2023-11-13T00:00:00"/>
    <s v="Valid"/>
    <n v="29"/>
    <d v="2023-11-13T00:00:00"/>
    <x v="1"/>
    <s v="Asia → China → Shenzhen"/>
    <s v="China-2023-10"/>
    <x v="9"/>
    <s v="Shenzhen"/>
    <s v="Non-Profit"/>
    <x v="3"/>
    <x v="1"/>
    <x v="1"/>
    <x v="193"/>
    <n v="986.44"/>
    <n v="790.61"/>
    <s v="Valid"/>
    <n v="790.61"/>
    <s v="Medium"/>
    <n v="7.1999999999999995E-2"/>
    <s v="Valid"/>
    <x v="3"/>
    <n v="6"/>
    <x v="193"/>
    <n v="5918.64"/>
    <n v="-1516.5235200000006"/>
    <n v="-0.34449872621271499"/>
    <n v="0"/>
    <n v="0"/>
  </r>
  <r>
    <s v="ORD-2023-177794"/>
    <d v="2023-05-04T00:00:00"/>
    <x v="15"/>
    <s v="Q2-2023"/>
    <d v="2023-05-26T00:00:00"/>
    <s v="Valid"/>
    <n v="22"/>
    <d v="2023-05-26T00:00:00"/>
    <x v="2"/>
    <s v="Americas → USA → San Francisco"/>
    <s v="USA-2023-05"/>
    <x v="10"/>
    <s v="San Francisco"/>
    <s v="Enterprise"/>
    <x v="1"/>
    <x v="1"/>
    <x v="2"/>
    <x v="194"/>
    <n v="249.71"/>
    <n v="361.33"/>
    <s v="Valid"/>
    <n v="361.33"/>
    <s v="Low"/>
    <n v="9.4E-2"/>
    <s v="Valid"/>
    <x v="12"/>
    <n v="12"/>
    <x v="194"/>
    <n v="2996.52"/>
    <n v="931.85976000000028"/>
    <n v="0.23721223937881206"/>
    <n v="0"/>
    <n v="0"/>
  </r>
  <r>
    <s v="ORD-2024-444710"/>
    <d v="2024-09-22T00:00:00"/>
    <x v="29"/>
    <s v="Q3-2024"/>
    <d v="2024-10-01T00:00:00"/>
    <s v="Valid"/>
    <n v="9"/>
    <d v="2024-10-01T00:00:00"/>
    <x v="2"/>
    <s v="Americas → Brazil → São Paulo"/>
    <s v="Brazil-2024-09"/>
    <x v="5"/>
    <s v="São Paulo"/>
    <s v="Non-Profit"/>
    <x v="1"/>
    <x v="11"/>
    <x v="5"/>
    <x v="195"/>
    <n v="1378.8"/>
    <n v="1952.04"/>
    <s v="Valid"/>
    <n v="1952.04"/>
    <s v="High"/>
    <n v="0.159"/>
    <s v="Valid"/>
    <x v="128"/>
    <n v="19"/>
    <x v="195"/>
    <n v="26197.200000000001"/>
    <n v="4994.4471599999997"/>
    <n v="0.16012130216723058"/>
    <n v="0"/>
    <n v="0"/>
  </r>
  <r>
    <s v="ORD-2024-668926"/>
    <d v="2024-10-23T00:00:00"/>
    <x v="1"/>
    <s v="Q4-2024"/>
    <d v="2024-11-14T00:00:00"/>
    <s v="Valid"/>
    <n v="22"/>
    <d v="2024-11-14T00:00:00"/>
    <x v="1"/>
    <s v="Asia → Japan → Osaka"/>
    <s v="Japan-2024-10"/>
    <x v="2"/>
    <s v="Osaka"/>
    <s v="Non-Profit"/>
    <x v="4"/>
    <x v="5"/>
    <x v="3"/>
    <x v="196"/>
    <n v="1406.4"/>
    <n v="1564.76"/>
    <s v="Valid"/>
    <n v="1564.76"/>
    <s v="Medium"/>
    <n v="0.185"/>
    <s v="Valid"/>
    <x v="57"/>
    <n v="17"/>
    <x v="196"/>
    <n v="23908.800000000003"/>
    <n v="-2229.0502000000051"/>
    <n v="-0.10281715520536151"/>
    <n v="0"/>
    <n v="0"/>
  </r>
  <r>
    <s v="ORD-2024-968374"/>
    <d v="2024-02-11T00:00:00"/>
    <x v="31"/>
    <s v="Q1-2024"/>
    <d v="2024-03-03T00:00:00"/>
    <s v="Valid"/>
    <n v="21"/>
    <d v="2024-03-03T00:00:00"/>
    <x v="0"/>
    <s v="Africa → Kenya → Kisumu"/>
    <s v="Kenya-2024-02"/>
    <x v="0"/>
    <s v="Kisumu"/>
    <s v="Enterprise"/>
    <x v="1"/>
    <x v="5"/>
    <x v="3"/>
    <x v="197"/>
    <n v="516.86"/>
    <n v="852.54"/>
    <s v="Valid"/>
    <n v="852.54"/>
    <s v="Medium"/>
    <n v="5.0999999999999997E-2"/>
    <s v="Valid"/>
    <x v="129"/>
    <n v="14"/>
    <x v="197"/>
    <n v="7236.04"/>
    <n v="4090.8064399999994"/>
    <n v="0.36116022775355994"/>
    <n v="0"/>
    <n v="0"/>
  </r>
  <r>
    <s v="ORD-2023-575584"/>
    <d v="2023-01-30T00:00:00"/>
    <x v="5"/>
    <s v="Q1-2023"/>
    <d v="2023-02-21T00:00:00"/>
    <s v="Valid"/>
    <n v="22"/>
    <d v="2023-02-21T00:00:00"/>
    <x v="3"/>
    <s v="Europe → Germany → Munich"/>
    <s v="Germany-2023-01"/>
    <x v="6"/>
    <s v="Munich"/>
    <s v="Small Business"/>
    <x v="2"/>
    <x v="3"/>
    <x v="2"/>
    <x v="198"/>
    <n v="1142.8800000000001"/>
    <n v="1465.29"/>
    <s v="Valid"/>
    <n v="1465.29"/>
    <s v="Medium"/>
    <n v="0.186"/>
    <s v="Valid"/>
    <x v="62"/>
    <n v="7"/>
    <x v="198"/>
    <n v="8000.1600000000008"/>
    <n v="349.06241999999929"/>
    <n v="4.1807775915017401E-2"/>
    <n v="0"/>
    <n v="0"/>
  </r>
  <r>
    <s v="ORD-2023-701153"/>
    <d v="2023-04-14T00:00:00"/>
    <x v="12"/>
    <s v="Q2-2023"/>
    <d v="2023-05-13T00:00:00"/>
    <s v="Valid"/>
    <n v="29"/>
    <d v="2023-05-13T00:00:00"/>
    <x v="3"/>
    <s v="Europe → Germany → Frankfurt"/>
    <s v="Germany-2023-04"/>
    <x v="6"/>
    <s v="Frankfurt"/>
    <s v="Consumer"/>
    <x v="4"/>
    <x v="1"/>
    <x v="1"/>
    <x v="199"/>
    <n v="1320.33"/>
    <n v="2645.23"/>
    <s v="Valid"/>
    <n v="2645.23"/>
    <s v="High"/>
    <n v="0.155"/>
    <s v="Valid"/>
    <x v="130"/>
    <n v="25"/>
    <x v="199"/>
    <n v="33008.25"/>
    <n v="22872.233749999999"/>
    <n v="0.40930629470436536"/>
    <n v="0"/>
    <n v="0"/>
  </r>
  <r>
    <s v="ORD-2023-382017"/>
    <d v="2023-01-13T00:00:00"/>
    <x v="5"/>
    <s v="Q1-2023"/>
    <d v="2023-01-19T00:00:00"/>
    <s v="Valid"/>
    <n v="6"/>
    <d v="2023-01-19T00:00:00"/>
    <x v="2"/>
    <s v="Americas → USA → Chicago"/>
    <s v="USA-2023-01"/>
    <x v="10"/>
    <s v="Chicago"/>
    <s v="Corporate"/>
    <x v="4"/>
    <x v="10"/>
    <x v="3"/>
    <x v="200"/>
    <n v="833.57"/>
    <n v="881.57"/>
    <s v="Valid"/>
    <n v="881.57"/>
    <s v="Medium"/>
    <n v="5.7000000000000002E-2"/>
    <s v="Valid"/>
    <x v="91"/>
    <n v="18"/>
    <x v="200"/>
    <n v="15004.26"/>
    <n v="-40.490820000000895"/>
    <n v="-2.7059238560107821E-3"/>
    <n v="1"/>
    <n v="0"/>
  </r>
  <r>
    <s v="ORD-2024-999607"/>
    <d v="2024-01-12T00:00:00"/>
    <x v="9"/>
    <s v="Q1-2024"/>
    <d v="2024-01-29T00:00:00"/>
    <s v="Valid"/>
    <n v="17"/>
    <d v="2024-01-29T00:00:00"/>
    <x v="2"/>
    <s v="Americas → USA → Chicago"/>
    <s v="USA-2024-01"/>
    <x v="10"/>
    <s v="Chicago"/>
    <s v="Education"/>
    <x v="3"/>
    <x v="8"/>
    <x v="1"/>
    <x v="201"/>
    <n v="493.76"/>
    <n v="625.04"/>
    <s v="Valid"/>
    <n v="625.04"/>
    <s v="Medium"/>
    <n v="0.25800000000000001"/>
    <s v="Valid"/>
    <x v="131"/>
    <n v="10"/>
    <x v="201"/>
    <n v="4937.6000000000004"/>
    <n v="-299.80320000000029"/>
    <n v="-6.464345311549663E-2"/>
    <n v="0"/>
    <n v="1"/>
  </r>
  <r>
    <s v="ORD-2023-133848"/>
    <d v="2023-08-15T00:00:00"/>
    <x v="25"/>
    <s v="Q3-2023"/>
    <d v="2023-09-07T00:00:00"/>
    <s v="Valid"/>
    <n v="23"/>
    <d v="2023-09-07T00:00:00"/>
    <x v="2"/>
    <s v="Americas → USA → New York"/>
    <s v="USA-2023-08"/>
    <x v="10"/>
    <s v="New York"/>
    <s v="Enterprise"/>
    <x v="1"/>
    <x v="11"/>
    <x v="3"/>
    <x v="202"/>
    <n v="590.33000000000004"/>
    <n v="973.04"/>
    <s v="Valid"/>
    <n v="973.04"/>
    <s v="Medium"/>
    <n v="0"/>
    <s v="Valid"/>
    <x v="5"/>
    <n v="26"/>
    <x v="202"/>
    <n v="15348.580000000002"/>
    <n v="9950.4599999999991"/>
    <n v="0.39331373838691108"/>
    <n v="0"/>
    <n v="0"/>
  </r>
  <r>
    <s v="ORD-2023-586275"/>
    <d v="2023-01-20T00:00:00"/>
    <x v="5"/>
    <s v="Q1-2023"/>
    <d v="2023-02-03T00:00:00"/>
    <s v="Valid"/>
    <n v="14"/>
    <d v="2023-02-03T00:00:00"/>
    <x v="0"/>
    <s v="Africa → Kenya → Kisumu"/>
    <s v="Kenya-2023-01"/>
    <x v="0"/>
    <s v="Kisumu"/>
    <s v="Corporate"/>
    <x v="0"/>
    <x v="12"/>
    <x v="2"/>
    <x v="203"/>
    <n v="884.36"/>
    <n v="1545.34"/>
    <s v="Valid"/>
    <n v="1545.34"/>
    <s v="Medium"/>
    <n v="0.24299999999999999"/>
    <s v="Valid"/>
    <x v="28"/>
    <n v="41"/>
    <x v="203"/>
    <n v="36258.76"/>
    <n v="11703.957579999995"/>
    <n v="0.24402198562827965"/>
    <n v="0"/>
    <n v="1"/>
  </r>
  <r>
    <s v="ORD-2025-964661"/>
    <d v="2025-02-04T00:00:00"/>
    <x v="26"/>
    <s v="Q1-2025"/>
    <d v="2025-02-25T00:00:00"/>
    <s v="Valid"/>
    <n v="21"/>
    <d v="2025-02-25T00:00:00"/>
    <x v="3"/>
    <s v="Europe → United Kingdom → Birmingham"/>
    <s v="United Kingdom-2025-02"/>
    <x v="8"/>
    <s v="Birmingham"/>
    <s v="Corporate"/>
    <x v="2"/>
    <x v="14"/>
    <x v="5"/>
    <x v="204"/>
    <n v="1016.32"/>
    <n v="2253.42"/>
    <s v="Valid"/>
    <n v="2253.42"/>
    <s v="High"/>
    <n v="5.5E-2"/>
    <s v="Valid"/>
    <x v="132"/>
    <n v="12"/>
    <x v="204"/>
    <n v="12195.84"/>
    <n v="13357.942800000001"/>
    <n v="0.52273837124419797"/>
    <n v="0"/>
    <n v="0"/>
  </r>
  <r>
    <s v="ORD-2023-390998"/>
    <d v="2023-04-19T00:00:00"/>
    <x v="12"/>
    <s v="Q2-2023"/>
    <d v="2023-04-28T00:00:00"/>
    <s v="Valid"/>
    <n v="9"/>
    <d v="2023-04-28T00:00:00"/>
    <x v="3"/>
    <s v="Europe → Germany → Berlin"/>
    <s v="Germany-2023-04"/>
    <x v="6"/>
    <s v="Berlin"/>
    <s v="Education"/>
    <x v="1"/>
    <x v="6"/>
    <x v="5"/>
    <x v="205"/>
    <n v="1178.42"/>
    <n v="2446.56"/>
    <s v="Valid"/>
    <n v="2446.56"/>
    <s v="High"/>
    <n v="2.9000000000000001E-2"/>
    <s v="Valid"/>
    <x v="133"/>
    <n v="11"/>
    <x v="205"/>
    <n v="12962.62"/>
    <n v="13169.08736"/>
    <n v="0.5039505141618883"/>
    <n v="0"/>
    <n v="0"/>
  </r>
  <r>
    <s v="ORD-2023-920483"/>
    <d v="2023-07-02T00:00:00"/>
    <x v="24"/>
    <s v="Q3-2023"/>
    <d v="2023-08-01T00:00:00"/>
    <s v="Valid"/>
    <n v="30"/>
    <d v="2023-08-01T00:00:00"/>
    <x v="3"/>
    <s v="Europe → United Kingdom → Birmingham"/>
    <s v="United Kingdom-2023-07"/>
    <x v="8"/>
    <s v="Birmingham"/>
    <s v="Small Business"/>
    <x v="0"/>
    <x v="5"/>
    <x v="0"/>
    <x v="206"/>
    <n v="137.46"/>
    <n v="188.3"/>
    <s v="Valid"/>
    <n v="188.3"/>
    <s v="Low"/>
    <n v="3.7999999999999999E-2"/>
    <s v="Valid"/>
    <x v="16"/>
    <n v="37"/>
    <x v="206"/>
    <n v="5086.0200000000004"/>
    <n v="1616.3301999999994"/>
    <n v="0.24115872071262398"/>
    <n v="0"/>
    <n v="0"/>
  </r>
  <r>
    <s v="ORD-2025-146850"/>
    <d v="2025-01-21T00:00:00"/>
    <x v="10"/>
    <s v="Q1-2025"/>
    <d v="2025-02-14T00:00:00"/>
    <s v="Valid"/>
    <n v="24"/>
    <d v="2025-02-14T00:00:00"/>
    <x v="0"/>
    <s v="Africa → Kenya → Nairobi"/>
    <s v="Kenya-2025-01"/>
    <x v="0"/>
    <s v="Nairobi"/>
    <s v="Small Business"/>
    <x v="0"/>
    <x v="1"/>
    <x v="6"/>
    <x v="207"/>
    <n v="1030.44"/>
    <n v="2562.84"/>
    <s v="Valid"/>
    <n v="2562.84"/>
    <s v="High"/>
    <n v="0.14799999999999999"/>
    <s v="Valid"/>
    <x v="134"/>
    <n v="13"/>
    <x v="207"/>
    <n v="13395.720000000001"/>
    <n v="14990.295839999995"/>
    <n v="0.52808734852027039"/>
    <n v="0"/>
    <n v="0"/>
  </r>
  <r>
    <s v="ORD-2024-687100"/>
    <d v="2024-09-10T00:00:00"/>
    <x v="29"/>
    <s v="Q3-2024"/>
    <d v="2024-10-07T00:00:00"/>
    <s v="Valid"/>
    <n v="27"/>
    <d v="2024-10-07T00:00:00"/>
    <x v="0"/>
    <s v="Africa → Kenya → Kisumu"/>
    <s v="Kenya-2024-09"/>
    <x v="0"/>
    <s v="Kisumu"/>
    <s v="Consumer"/>
    <x v="0"/>
    <x v="4"/>
    <x v="1"/>
    <x v="208"/>
    <n v="1248.3900000000001"/>
    <n v="1805.11"/>
    <s v="Valid"/>
    <n v="1805.11"/>
    <s v="Medium"/>
    <n v="0.20300000000000001"/>
    <s v="Valid"/>
    <x v="90"/>
    <n v="11"/>
    <x v="208"/>
    <n v="13732.29"/>
    <n v="2093.1093699999965"/>
    <n v="0.13226265707820786"/>
    <n v="0"/>
    <n v="1"/>
  </r>
  <r>
    <s v="ORD-2025-629393"/>
    <d v="2025-07-21T00:00:00"/>
    <x v="13"/>
    <s v="Q3-2025"/>
    <d v="2025-08-07T00:00:00"/>
    <s v="Valid"/>
    <n v="17"/>
    <d v="2025-08-07T00:00:00"/>
    <x v="0"/>
    <s v="Africa → Nigeria → Lagos"/>
    <s v="Nigeria-2025-07"/>
    <x v="1"/>
    <s v="Lagos"/>
    <s v="Enterprise"/>
    <x v="4"/>
    <x v="12"/>
    <x v="6"/>
    <x v="209"/>
    <n v="1204.95"/>
    <n v="2065.73"/>
    <s v="Valid"/>
    <n v="2065.73"/>
    <s v="High"/>
    <n v="0.13600000000000001"/>
    <s v="Valid"/>
    <x v="29"/>
    <n v="10"/>
    <x v="209"/>
    <n v="12049.5"/>
    <n v="5798.4071999999978"/>
    <n v="0.32487882949100039"/>
    <n v="0"/>
    <n v="0"/>
  </r>
  <r>
    <s v="ORD-2024-686712"/>
    <d v="2024-10-02T00:00:00"/>
    <x v="1"/>
    <s v="Q4-2024"/>
    <d v="2024-10-23T00:00:00"/>
    <s v="Valid"/>
    <n v="21"/>
    <d v="2024-10-23T00:00:00"/>
    <x v="0"/>
    <s v="Africa → South Africa → Durban"/>
    <s v="South Africa-2024-10"/>
    <x v="11"/>
    <s v="Durban"/>
    <s v="Corporate"/>
    <x v="2"/>
    <x v="8"/>
    <x v="0"/>
    <x v="210"/>
    <n v="1095.6099999999999"/>
    <n v="2366.5100000000002"/>
    <s v="Valid"/>
    <n v="2366.5100000000002"/>
    <s v="High"/>
    <n v="0.152"/>
    <s v="Valid"/>
    <x v="135"/>
    <n v="9"/>
    <x v="210"/>
    <n v="9860.49"/>
    <n v="8200.7143200000046"/>
    <n v="0.4540513564158607"/>
    <n v="0"/>
    <n v="0"/>
  </r>
  <r>
    <s v="ORD-2025-586799"/>
    <d v="2025-07-14T00:00:00"/>
    <x v="13"/>
    <s v="Q3-2025"/>
    <d v="2025-08-04T00:00:00"/>
    <s v="Valid"/>
    <n v="21"/>
    <d v="2025-08-04T00:00:00"/>
    <x v="2"/>
    <s v="Americas → Canada → Montreal"/>
    <s v="Canada-2025-07"/>
    <x v="3"/>
    <s v="Montreal"/>
    <s v="Consumer"/>
    <x v="1"/>
    <x v="10"/>
    <x v="5"/>
    <x v="211"/>
    <n v="90.3"/>
    <n v="131.76"/>
    <s v="Valid"/>
    <n v="131.76"/>
    <s v="Low"/>
    <n v="0.10199999999999999"/>
    <s v="Valid"/>
    <x v="4"/>
    <n v="15"/>
    <x v="211"/>
    <n v="1354.5"/>
    <n v="420.30719999999997"/>
    <n v="0.23681851189244668"/>
    <n v="0"/>
    <n v="0"/>
  </r>
  <r>
    <s v="ORD-2024-988736"/>
    <d v="2024-09-09T00:00:00"/>
    <x v="29"/>
    <s v="Q3-2024"/>
    <d v="2024-10-01T00:00:00"/>
    <s v="Valid"/>
    <n v="22"/>
    <d v="2024-10-01T00:00:00"/>
    <x v="1"/>
    <s v="Asia → China → Shenzhen"/>
    <s v="China-2024-09"/>
    <x v="9"/>
    <s v="Shenzhen"/>
    <s v="Consumer"/>
    <x v="4"/>
    <x v="4"/>
    <x v="1"/>
    <x v="212"/>
    <n v="1166.18"/>
    <n v="1335.02"/>
    <s v="Valid"/>
    <n v="1335.02"/>
    <s v="Medium"/>
    <n v="0.128"/>
    <s v="Valid"/>
    <x v="136"/>
    <n v="6"/>
    <x v="212"/>
    <n v="6997.08"/>
    <n v="-12.25536000000011"/>
    <n v="-1.7545694604582242E-3"/>
    <n v="0"/>
    <n v="0"/>
  </r>
  <r>
    <s v="ORD-2025-564184"/>
    <d v="2025-01-29T00:00:00"/>
    <x v="10"/>
    <s v="Q1-2025"/>
    <d v="2025-02-06T00:00:00"/>
    <s v="Valid"/>
    <n v="8"/>
    <d v="2025-02-06T00:00:00"/>
    <x v="0"/>
    <s v="Africa → Kenya → Kisumu"/>
    <s v="Kenya-2025-01"/>
    <x v="0"/>
    <s v="Kisumu"/>
    <s v="Education"/>
    <x v="0"/>
    <x v="5"/>
    <x v="3"/>
    <x v="213"/>
    <n v="1445.27"/>
    <n v="2691.45"/>
    <s v="Valid"/>
    <n v="2691.45"/>
    <s v="High"/>
    <n v="0"/>
    <s v="Valid"/>
    <x v="5"/>
    <n v="9"/>
    <x v="213"/>
    <n v="13007.43"/>
    <n v="11215.619999999999"/>
    <n v="0.46301436028906351"/>
    <n v="0"/>
    <n v="0"/>
  </r>
  <r>
    <s v="ORD-2023-653343"/>
    <d v="2023-11-10T00:00:00"/>
    <x v="30"/>
    <s v="Q4-2023"/>
    <d v="2023-11-28T00:00:00"/>
    <s v="Valid"/>
    <n v="18"/>
    <d v="2023-11-28T00:00:00"/>
    <x v="2"/>
    <s v="Americas → Brazil → Brasília"/>
    <s v="Brazil-2023-11"/>
    <x v="5"/>
    <s v="Brasília"/>
    <s v="Education"/>
    <x v="2"/>
    <x v="4"/>
    <x v="6"/>
    <x v="214"/>
    <n v="388.51"/>
    <n v="776.46"/>
    <s v="Valid"/>
    <n v="776.46"/>
    <s v="Medium"/>
    <n v="0.157"/>
    <s v="Valid"/>
    <x v="86"/>
    <n v="12"/>
    <x v="214"/>
    <n v="4662.12"/>
    <n v="3192.54936"/>
    <n v="0.40645241876864946"/>
    <n v="0"/>
    <n v="0"/>
  </r>
  <r>
    <s v="ORD-2024-197852"/>
    <d v="2024-02-29T00:00:00"/>
    <x v="31"/>
    <s v="Q1-2024"/>
    <d v="2024-03-30T00:00:00"/>
    <s v="Valid"/>
    <n v="30"/>
    <d v="2024-03-30T00:00:00"/>
    <x v="1"/>
    <s v="Asia → Japan → Nagoya"/>
    <s v="Japan-2024-02"/>
    <x v="2"/>
    <s v="Nagoya"/>
    <s v="Small Business"/>
    <x v="4"/>
    <x v="2"/>
    <x v="2"/>
    <x v="215"/>
    <n v="231.11"/>
    <n v="318.17"/>
    <s v="Valid"/>
    <n v="318.17"/>
    <s v="Low"/>
    <n v="0.20100000000000001"/>
    <s v="Valid"/>
    <x v="137"/>
    <n v="60"/>
    <x v="215"/>
    <n v="13866.6"/>
    <n v="1386.4697999999989"/>
    <n v="9.0897754889969692E-2"/>
    <n v="0"/>
    <n v="1"/>
  </r>
  <r>
    <s v="ORD-2023-431328"/>
    <d v="2023-12-20T00:00:00"/>
    <x v="4"/>
    <s v="Q4-2023"/>
    <d v="2024-01-14T00:00:00"/>
    <s v="Valid"/>
    <n v="25"/>
    <d v="2024-01-14T00:00:00"/>
    <x v="1"/>
    <s v="Asia → India → Mumbai"/>
    <s v="India-2023-12"/>
    <x v="4"/>
    <s v="Mumbai"/>
    <s v="Non-Profit"/>
    <x v="2"/>
    <x v="4"/>
    <x v="5"/>
    <x v="216"/>
    <n v="1085.6099999999999"/>
    <n v="1246.4100000000001"/>
    <s v="Valid"/>
    <n v="1246.4100000000001"/>
    <s v="Medium"/>
    <n v="0.113"/>
    <s v="Valid"/>
    <x v="138"/>
    <n v="7"/>
    <x v="216"/>
    <n v="7599.2699999999995"/>
    <n v="139.68969000000106"/>
    <n v="1.8050189637310417E-2"/>
    <n v="0"/>
    <n v="0"/>
  </r>
  <r>
    <s v="ORD-2023-613317"/>
    <d v="2023-01-22T00:00:00"/>
    <x v="5"/>
    <s v="Q1-2023"/>
    <d v="2023-01-21T00:00:00"/>
    <s v="Invalid RequiredDate"/>
    <n v="-1"/>
    <d v="2023-02-17T00:00:00"/>
    <x v="3"/>
    <s v="Europe → Germany → Munich"/>
    <s v="Germany-2023-01"/>
    <x v="6"/>
    <s v="Munich"/>
    <s v="Corporate"/>
    <x v="4"/>
    <x v="9"/>
    <x v="5"/>
    <x v="217"/>
    <n v="150.86000000000001"/>
    <n v="346.96"/>
    <s v="Valid"/>
    <n v="346.96"/>
    <s v="Low"/>
    <n v="0.19600000000000001"/>
    <s v="Valid"/>
    <x v="123"/>
    <n v="8"/>
    <x v="217"/>
    <n v="1206.8800000000001"/>
    <n v="1024.7667200000001"/>
    <n v="0.45919755614365343"/>
    <n v="1"/>
    <n v="0"/>
  </r>
  <r>
    <s v="ORD-2024-720756"/>
    <d v="2024-10-11T00:00:00"/>
    <x v="1"/>
    <s v="Q4-2024"/>
    <d v="2024-11-09T00:00:00"/>
    <s v="Valid"/>
    <n v="29"/>
    <d v="2024-11-09T00:00:00"/>
    <x v="1"/>
    <s v="Asia → China → Shanghai"/>
    <s v="China-2024-10"/>
    <x v="9"/>
    <s v="Shanghai"/>
    <s v="Non-Profit"/>
    <x v="1"/>
    <x v="9"/>
    <x v="1"/>
    <x v="218"/>
    <n v="391.64"/>
    <n v="504.76"/>
    <s v="Valid"/>
    <n v="504.76"/>
    <s v="Low"/>
    <n v="4.0000000000000001E-3"/>
    <s v="Valid"/>
    <x v="139"/>
    <n v="13"/>
    <x v="218"/>
    <n v="5091.32"/>
    <n v="1444.3124800000005"/>
    <n v="0.22099046793402319"/>
    <n v="0"/>
    <n v="0"/>
  </r>
  <r>
    <s v="ORD-2024-777623"/>
    <d v="2024-09-19T00:00:00"/>
    <x v="29"/>
    <s v="Q3-2024"/>
    <d v="2024-10-14T00:00:00"/>
    <s v="Valid"/>
    <n v="25"/>
    <d v="2024-10-14T00:00:00"/>
    <x v="2"/>
    <s v="Americas → Brazil → Rio de Janeiro"/>
    <s v="Brazil-2024-09"/>
    <x v="5"/>
    <s v="Rio de Janeiro"/>
    <s v="Small Business"/>
    <x v="0"/>
    <x v="11"/>
    <x v="1"/>
    <x v="219"/>
    <n v="386.96"/>
    <n v="937.46"/>
    <s v="Valid"/>
    <n v="937.46"/>
    <s v="Medium"/>
    <n v="0.26600000000000001"/>
    <s v="Valid"/>
    <x v="140"/>
    <n v="41"/>
    <x v="219"/>
    <n v="15865.359999999999"/>
    <n v="12346.561240000001"/>
    <n v="0.43763631462626335"/>
    <n v="0"/>
    <n v="1"/>
  </r>
  <r>
    <s v="ORD-2025-762212"/>
    <d v="2025-08-25T00:00:00"/>
    <x v="28"/>
    <s v="Q3-2025"/>
    <d v="2025-09-24T00:00:00"/>
    <s v="Valid"/>
    <n v="30"/>
    <d v="2025-09-24T00:00:00"/>
    <x v="0"/>
    <s v="Africa → Kenya → Nairobi"/>
    <s v="Kenya-2025-08"/>
    <x v="0"/>
    <s v="Nairobi"/>
    <s v="Consumer"/>
    <x v="4"/>
    <x v="5"/>
    <x v="0"/>
    <x v="220"/>
    <n v="589.14"/>
    <n v="1300.58"/>
    <s v="Valid"/>
    <n v="1300.58"/>
    <s v="Medium"/>
    <n v="5.5E-2"/>
    <s v="Valid"/>
    <x v="132"/>
    <n v="11"/>
    <x v="220"/>
    <n v="6480.54"/>
    <n v="7038.989099999998"/>
    <n v="0.52065342275863724"/>
    <n v="0"/>
    <n v="0"/>
  </r>
  <r>
    <s v="ORD-2023-271918"/>
    <d v="2023-09-25T00:00:00"/>
    <x v="27"/>
    <s v="Q3-2023"/>
    <d v="2023-10-02T00:00:00"/>
    <s v="Valid"/>
    <n v="7"/>
    <d v="2023-10-02T00:00:00"/>
    <x v="2"/>
    <s v="Americas → USA → New York"/>
    <s v="USA-2023-09"/>
    <x v="10"/>
    <s v="New York"/>
    <s v="Education"/>
    <x v="2"/>
    <x v="2"/>
    <x v="6"/>
    <x v="221"/>
    <n v="145.58000000000001"/>
    <n v="228.15"/>
    <s v="Valid"/>
    <n v="228.15"/>
    <s v="Low"/>
    <n v="0.20399999999999999"/>
    <s v="Valid"/>
    <x v="53"/>
    <n v="5"/>
    <x v="221"/>
    <n v="727.90000000000009"/>
    <n v="180.13699999999994"/>
    <n v="0.19838068272548359"/>
    <n v="1"/>
    <n v="1"/>
  </r>
  <r>
    <s v="ORD-2023-713375"/>
    <d v="2023-08-26T00:00:00"/>
    <x v="25"/>
    <s v="Q3-2023"/>
    <d v="2023-09-10T00:00:00"/>
    <s v="Valid"/>
    <n v="15"/>
    <d v="2023-09-10T00:00:00"/>
    <x v="0"/>
    <s v="Africa → South Africa → Cape Town"/>
    <s v="South Africa-2023-08"/>
    <x v="11"/>
    <s v="Cape Town"/>
    <s v="Non-Profit"/>
    <x v="4"/>
    <x v="13"/>
    <x v="0"/>
    <x v="222"/>
    <n v="241.14"/>
    <n v="496.52"/>
    <s v="Valid"/>
    <n v="496.52"/>
    <s v="Low"/>
    <n v="9.2999999999999999E-2"/>
    <s v="Valid"/>
    <x v="141"/>
    <n v="10"/>
    <x v="222"/>
    <n v="2411.3999999999996"/>
    <n v="2092.0364"/>
    <n v="0.46454223268257994"/>
    <n v="0"/>
    <n v="0"/>
  </r>
  <r>
    <s v="ORD-2025-678688"/>
    <d v="2025-07-16T00:00:00"/>
    <x v="13"/>
    <s v="Q3-2025"/>
    <d v="2025-07-17T00:00:00"/>
    <s v="Valid"/>
    <n v="1"/>
    <d v="2025-07-17T00:00:00"/>
    <x v="0"/>
    <s v="Africa → South Africa → Durban"/>
    <s v="South Africa-2025-07"/>
    <x v="11"/>
    <s v="Durban"/>
    <s v="Small Business"/>
    <x v="3"/>
    <x v="5"/>
    <x v="2"/>
    <x v="223"/>
    <n v="1198.9000000000001"/>
    <n v="2941.2"/>
    <s v="Valid"/>
    <n v="2941.2"/>
    <s v="High"/>
    <n v="5.0999999999999997E-2"/>
    <s v="Valid"/>
    <x v="129"/>
    <n v="24"/>
    <x v="223"/>
    <n v="28773.600000000002"/>
    <n v="38215.171199999982"/>
    <n v="0.57047129713583977"/>
    <n v="1"/>
    <n v="0"/>
  </r>
  <r>
    <s v="ORD-2023-501220"/>
    <d v="2023-04-19T00:00:00"/>
    <x v="12"/>
    <s v="Q2-2023"/>
    <d v="2023-05-07T00:00:00"/>
    <s v="Valid"/>
    <n v="18"/>
    <d v="2023-05-07T00:00:00"/>
    <x v="3"/>
    <s v="Europe → United Kingdom → Birmingham"/>
    <s v="United Kingdom-2023-04"/>
    <x v="8"/>
    <s v="Birmingham"/>
    <s v="Enterprise"/>
    <x v="0"/>
    <x v="13"/>
    <x v="4"/>
    <x v="224"/>
    <n v="1089.1500000000001"/>
    <n v="1088.2"/>
    <s v="Valid"/>
    <n v="1088.2"/>
    <s v="Medium"/>
    <n v="5.0999999999999997E-2"/>
    <s v="Valid"/>
    <x v="129"/>
    <n v="15"/>
    <x v="224"/>
    <n v="16337.250000000002"/>
    <n v="-846.72300000000178"/>
    <n v="-5.4660696824582002E-2"/>
    <n v="0"/>
    <n v="0"/>
  </r>
  <r>
    <s v="ORD-2023-195665"/>
    <d v="2023-12-19T00:00:00"/>
    <x v="4"/>
    <s v="Q4-2023"/>
    <d v="2023-12-20T00:00:00"/>
    <s v="Valid"/>
    <n v="1"/>
    <d v="2023-12-20T00:00:00"/>
    <x v="2"/>
    <s v="Americas → Brazil → Rio de Janeiro"/>
    <s v="Brazil-2023-12"/>
    <x v="5"/>
    <s v="Rio de Janeiro"/>
    <s v="Consumer"/>
    <x v="3"/>
    <x v="1"/>
    <x v="3"/>
    <x v="225"/>
    <n v="1080.43"/>
    <n v="2529.15"/>
    <s v="Valid"/>
    <n v="2529.15"/>
    <s v="High"/>
    <n v="0.14699999999999999"/>
    <s v="Valid"/>
    <x v="6"/>
    <n v="10"/>
    <x v="225"/>
    <n v="10804.300000000001"/>
    <n v="10769.349499999998"/>
    <n v="0.49918997247081437"/>
    <n v="1"/>
    <n v="0"/>
  </r>
  <r>
    <s v="ORD-2023-290237"/>
    <d v="2023-07-30T00:00:00"/>
    <x v="24"/>
    <s v="Q3-2023"/>
    <d v="2023-08-07T00:00:00"/>
    <s v="Valid"/>
    <n v="8"/>
    <d v="2023-08-07T00:00:00"/>
    <x v="1"/>
    <s v="Asia → Japan → Nagoya"/>
    <s v="Japan-2023-07"/>
    <x v="2"/>
    <s v="Nagoya"/>
    <s v="Education"/>
    <x v="2"/>
    <x v="8"/>
    <x v="2"/>
    <x v="226"/>
    <n v="1352.44"/>
    <n v="2698.01"/>
    <s v="Valid"/>
    <n v="2698.01"/>
    <s v="High"/>
    <n v="0.13100000000000001"/>
    <s v="Valid"/>
    <x v="2"/>
    <n v="13"/>
    <x v="226"/>
    <n v="17581.72"/>
    <n v="12897.698970000001"/>
    <n v="0.42316091992090887"/>
    <n v="0"/>
    <n v="0"/>
  </r>
  <r>
    <s v="ORD-2023-302041"/>
    <d v="2023-10-04T00:00:00"/>
    <x v="32"/>
    <s v="Q4-2023"/>
    <d v="2023-10-29T00:00:00"/>
    <s v="Valid"/>
    <n v="25"/>
    <d v="2023-10-29T00:00:00"/>
    <x v="2"/>
    <s v="Americas → USA → San Francisco"/>
    <s v="USA-2023-10"/>
    <x v="10"/>
    <s v="San Francisco"/>
    <s v="Small Business"/>
    <x v="3"/>
    <x v="7"/>
    <x v="6"/>
    <x v="227"/>
    <n v="1239.8399999999999"/>
    <n v="1482.75"/>
    <s v="Valid"/>
    <n v="1482.75"/>
    <s v="Medium"/>
    <n v="6.7000000000000004E-2"/>
    <s v="Valid"/>
    <x v="142"/>
    <n v="4"/>
    <x v="227"/>
    <n v="4959.3599999999997"/>
    <n v="574.26300000000083"/>
    <n v="0.10377703721413634"/>
    <n v="0"/>
    <n v="0"/>
  </r>
  <r>
    <s v="ORD-2025-289139"/>
    <d v="2025-08-10T00:00:00"/>
    <x v="28"/>
    <s v="Q3-2025"/>
    <d v="2025-08-30T00:00:00"/>
    <s v="Valid"/>
    <n v="20"/>
    <d v="2025-08-30T00:00:00"/>
    <x v="2"/>
    <s v="Americas → USA → San Francisco"/>
    <s v="USA-2025-08"/>
    <x v="10"/>
    <s v="San Francisco"/>
    <s v="Corporate"/>
    <x v="2"/>
    <x v="11"/>
    <x v="1"/>
    <x v="228"/>
    <n v="933.29"/>
    <n v="1456.81"/>
    <s v="Valid"/>
    <n v="1456.81"/>
    <s v="Medium"/>
    <n v="0.123"/>
    <s v="Valid"/>
    <x v="81"/>
    <n v="13"/>
    <x v="228"/>
    <n v="12132.77"/>
    <n v="4476.3208099999974"/>
    <n v="0.26951028573489977"/>
    <n v="0"/>
    <n v="0"/>
  </r>
  <r>
    <s v="ORD-2023-949710"/>
    <d v="2023-03-07T00:00:00"/>
    <x v="22"/>
    <s v="Q1-2023"/>
    <d v="2023-04-01T00:00:00"/>
    <s v="Valid"/>
    <n v="25"/>
    <d v="2023-04-01T00:00:00"/>
    <x v="0"/>
    <s v="Africa → Kenya → Nairobi"/>
    <s v="Kenya-2023-03"/>
    <x v="0"/>
    <s v="Nairobi"/>
    <s v="Consumer"/>
    <x v="2"/>
    <x v="14"/>
    <x v="1"/>
    <x v="229"/>
    <n v="1024.0999999999999"/>
    <n v="918.19"/>
    <s v="Valid"/>
    <n v="918.19"/>
    <s v="Medium"/>
    <n v="0.189"/>
    <s v="Valid"/>
    <x v="51"/>
    <n v="10"/>
    <x v="229"/>
    <n v="10241"/>
    <n v="-2794.4790999999996"/>
    <n v="-0.37527311579827827"/>
    <n v="0"/>
    <n v="0"/>
  </r>
  <r>
    <s v="ORD-2023-603650"/>
    <d v="2023-05-23T00:00:00"/>
    <x v="15"/>
    <s v="Q2-2023"/>
    <d v="2023-06-10T00:00:00"/>
    <s v="Valid"/>
    <n v="18"/>
    <d v="2023-06-10T00:00:00"/>
    <x v="1"/>
    <s v="Asia → China → Shanghai"/>
    <s v="China-2023-05"/>
    <x v="9"/>
    <s v="Shanghai"/>
    <s v="Corporate"/>
    <x v="3"/>
    <x v="6"/>
    <x v="0"/>
    <x v="230"/>
    <n v="54.62"/>
    <n v="48.94"/>
    <s v="Valid"/>
    <n v="48.94"/>
    <s v="Low"/>
    <n v="0.14799999999999999"/>
    <s v="Valid"/>
    <x v="134"/>
    <n v="16"/>
    <x v="230"/>
    <n v="873.92"/>
    <n v="-206.76991999999996"/>
    <n v="-0.3099301434543783"/>
    <n v="0"/>
    <n v="0"/>
  </r>
  <r>
    <s v="ORD-2025-757957"/>
    <d v="2025-04-24T00:00:00"/>
    <x v="19"/>
    <s v="Q2-2025"/>
    <d v="2025-05-06T00:00:00"/>
    <s v="Valid"/>
    <n v="12"/>
    <d v="2025-05-06T00:00:00"/>
    <x v="2"/>
    <s v="Americas → Brazil → Brasília"/>
    <s v="Brazil-2025-04"/>
    <x v="5"/>
    <s v="Brasília"/>
    <s v="Consumer"/>
    <x v="1"/>
    <x v="0"/>
    <x v="3"/>
    <x v="231"/>
    <n v="394.13"/>
    <n v="932.29"/>
    <s v="Valid"/>
    <n v="932.29"/>
    <s v="Medium"/>
    <n v="0.109"/>
    <s v="Valid"/>
    <x v="14"/>
    <n v="7"/>
    <x v="231"/>
    <n v="2758.91"/>
    <n v="3055.7827299999999"/>
    <n v="0.5255278089303268"/>
    <n v="0"/>
    <n v="0"/>
  </r>
  <r>
    <s v="ORD-2024-423853"/>
    <d v="2024-09-03T00:00:00"/>
    <x v="29"/>
    <s v="Q3-2024"/>
    <d v="2024-09-08T00:00:00"/>
    <s v="Valid"/>
    <n v="5"/>
    <d v="2024-09-08T00:00:00"/>
    <x v="0"/>
    <s v="Africa → Nigeria → Lagos"/>
    <s v="Nigeria-2024-09"/>
    <x v="1"/>
    <s v="Lagos"/>
    <s v="Small Business"/>
    <x v="4"/>
    <x v="11"/>
    <x v="1"/>
    <x v="232"/>
    <n v="197.63"/>
    <n v="325.79000000000002"/>
    <s v="Valid"/>
    <n v="325.79000000000002"/>
    <s v="Low"/>
    <n v="0.11600000000000001"/>
    <s v="Valid"/>
    <x v="143"/>
    <n v="10"/>
    <x v="232"/>
    <n v="1976.3"/>
    <n v="903.68360000000007"/>
    <n v="0.31378081458519419"/>
    <n v="1"/>
    <n v="0"/>
  </r>
  <r>
    <s v="ORD-2024-569164"/>
    <d v="2024-09-05T00:00:00"/>
    <x v="29"/>
    <s v="Q3-2024"/>
    <d v="2024-09-25T00:00:00"/>
    <s v="Valid"/>
    <n v="20"/>
    <d v="2024-09-25T00:00:00"/>
    <x v="1"/>
    <s v="Asia → Japan → Osaka"/>
    <s v="Japan-2024-09"/>
    <x v="2"/>
    <s v="Osaka"/>
    <s v="Enterprise"/>
    <x v="3"/>
    <x v="14"/>
    <x v="5"/>
    <x v="233"/>
    <n v="195.54"/>
    <n v="405.97"/>
    <s v="Valid"/>
    <n v="405.97"/>
    <s v="Low"/>
    <n v="0.187"/>
    <s v="Valid"/>
    <x v="37"/>
    <n v="16"/>
    <x v="233"/>
    <n v="3128.64"/>
    <n v="2152.21776"/>
    <n v="0.40755079152141377"/>
    <n v="0"/>
    <n v="0"/>
  </r>
  <r>
    <s v="ORD-2023-946143"/>
    <d v="2023-03-14T00:00:00"/>
    <x v="22"/>
    <s v="Q1-2023"/>
    <d v="2023-03-30T00:00:00"/>
    <s v="Valid"/>
    <n v="16"/>
    <d v="2023-03-30T00:00:00"/>
    <x v="0"/>
    <s v="Africa → South Africa → Cape Town"/>
    <s v="South Africa-2023-03"/>
    <x v="11"/>
    <s v="Cape Town"/>
    <s v="Consumer"/>
    <x v="3"/>
    <x v="11"/>
    <x v="0"/>
    <x v="234"/>
    <n v="1309.77"/>
    <n v="1589.07"/>
    <s v="Valid"/>
    <n v="1589.07"/>
    <s v="Medium"/>
    <n v="0.10199999999999999"/>
    <s v="Valid"/>
    <x v="4"/>
    <n v="10"/>
    <x v="234"/>
    <n v="13097.7"/>
    <n v="1172.1485999999986"/>
    <n v="8.2141628328137886E-2"/>
    <n v="0"/>
    <n v="0"/>
  </r>
  <r>
    <s v="ORD-2024-281211"/>
    <d v="2024-01-11T00:00:00"/>
    <x v="9"/>
    <s v="Q1-2024"/>
    <d v="2024-02-02T00:00:00"/>
    <s v="Valid"/>
    <n v="22"/>
    <d v="2024-02-02T00:00:00"/>
    <x v="1"/>
    <s v="Asia → Japan → Nagoya"/>
    <s v="Japan-2024-01"/>
    <x v="2"/>
    <s v="Nagoya"/>
    <s v="Small Business"/>
    <x v="1"/>
    <x v="15"/>
    <x v="1"/>
    <x v="235"/>
    <n v="1237.68"/>
    <n v="1432.8"/>
    <s v="Valid"/>
    <n v="1432.8"/>
    <s v="Medium"/>
    <n v="6.8000000000000005E-2"/>
    <s v="Valid"/>
    <x v="55"/>
    <n v="13"/>
    <x v="235"/>
    <n v="16089.84"/>
    <n v="1269.9647999999979"/>
    <n v="7.315547695559331E-2"/>
    <n v="0"/>
    <n v="0"/>
  </r>
  <r>
    <s v="ORD-2024-805860"/>
    <d v="2024-09-13T00:00:00"/>
    <x v="29"/>
    <s v="Q3-2024"/>
    <d v="2024-10-02T00:00:00"/>
    <s v="Valid"/>
    <n v="19"/>
    <d v="2024-10-02T00:00:00"/>
    <x v="0"/>
    <s v="Africa → Kenya → Mombasa"/>
    <s v="Kenya-2024-09"/>
    <x v="0"/>
    <s v="Mombasa"/>
    <s v="Small Business"/>
    <x v="0"/>
    <x v="12"/>
    <x v="3"/>
    <x v="236"/>
    <n v="1338.99"/>
    <n v="1765.76"/>
    <s v="Valid"/>
    <n v="1765.76"/>
    <s v="Medium"/>
    <n v="0.126"/>
    <s v="Valid"/>
    <x v="38"/>
    <n v="24"/>
    <x v="236"/>
    <n v="32135.760000000002"/>
    <n v="4902.8217599999989"/>
    <n v="0.1323706666677725"/>
    <n v="0"/>
    <n v="0"/>
  </r>
  <r>
    <s v="ORD-2025-132174"/>
    <d v="2025-07-17T00:00:00"/>
    <x v="13"/>
    <s v="Q3-2025"/>
    <d v="2025-07-23T00:00:00"/>
    <s v="Valid"/>
    <n v="6"/>
    <d v="2025-07-23T00:00:00"/>
    <x v="2"/>
    <s v="Americas → Canada → Vancouver"/>
    <s v="Canada-2025-07"/>
    <x v="3"/>
    <s v="Vancouver"/>
    <s v="Consumer"/>
    <x v="1"/>
    <x v="10"/>
    <x v="0"/>
    <x v="237"/>
    <n v="1364.89"/>
    <n v="2757.54"/>
    <s v="Valid"/>
    <n v="2757.54"/>
    <s v="High"/>
    <n v="0.17199999999999999"/>
    <s v="Valid"/>
    <x v="144"/>
    <n v="61"/>
    <x v="237"/>
    <n v="83258.290000000008"/>
    <n v="56019.54032"/>
    <n v="0.4022143379983118"/>
    <n v="1"/>
    <n v="0"/>
  </r>
  <r>
    <s v="ORD-2023-964434"/>
    <d v="2023-11-28T00:00:00"/>
    <x v="30"/>
    <s v="Q4-2023"/>
    <d v="2023-12-07T00:00:00"/>
    <s v="Valid"/>
    <n v="9"/>
    <d v="2023-12-07T00:00:00"/>
    <x v="1"/>
    <s v="Asia → India → Delhi"/>
    <s v="India-2023-11"/>
    <x v="4"/>
    <s v="Delhi"/>
    <s v="Enterprise"/>
    <x v="2"/>
    <x v="4"/>
    <x v="3"/>
    <x v="238"/>
    <n v="699.33"/>
    <n v="873.75"/>
    <s v="Valid"/>
    <n v="873.75"/>
    <s v="Medium"/>
    <n v="0.23499999999999999"/>
    <s v="Valid"/>
    <x v="145"/>
    <n v="10"/>
    <x v="238"/>
    <n v="6993.3"/>
    <n v="-309.11250000000018"/>
    <n v="-4.6245336475076469E-2"/>
    <n v="0"/>
    <n v="1"/>
  </r>
  <r>
    <s v="ORD-2024-897622"/>
    <d v="2024-03-30T00:00:00"/>
    <x v="0"/>
    <s v="Q1-2024"/>
    <d v="2024-04-24T00:00:00"/>
    <s v="Valid"/>
    <n v="25"/>
    <d v="2024-04-24T00:00:00"/>
    <x v="2"/>
    <s v="Americas → USA → Austin"/>
    <s v="USA-2024-03"/>
    <x v="10"/>
    <s v="Austin"/>
    <s v="Non-Profit"/>
    <x v="1"/>
    <x v="3"/>
    <x v="4"/>
    <x v="239"/>
    <n v="160.82"/>
    <n v="258.52"/>
    <s v="Valid"/>
    <n v="258.52"/>
    <s v="Low"/>
    <n v="0.13"/>
    <s v="Valid"/>
    <x v="49"/>
    <n v="17"/>
    <x v="239"/>
    <n v="2733.94"/>
    <n v="1089.5708"/>
    <n v="0.28496605789631874"/>
    <n v="0"/>
    <n v="0"/>
  </r>
  <r>
    <s v="ORD-2023-517216"/>
    <d v="2023-09-19T00:00:00"/>
    <x v="27"/>
    <s v="Q3-2023"/>
    <d v="2023-10-08T00:00:00"/>
    <s v="Valid"/>
    <n v="19"/>
    <d v="2023-10-08T00:00:00"/>
    <x v="1"/>
    <s v="Asia → India → Bengaluru"/>
    <s v="India-2023-09"/>
    <x v="4"/>
    <s v="Bengaluru"/>
    <s v="Education"/>
    <x v="4"/>
    <x v="1"/>
    <x v="1"/>
    <x v="240"/>
    <n v="385.32"/>
    <n v="606.76"/>
    <s v="Valid"/>
    <n v="606.76"/>
    <s v="Low"/>
    <n v="8.5999999999999993E-2"/>
    <s v="Valid"/>
    <x v="146"/>
    <n v="8"/>
    <x v="240"/>
    <n v="3082.56"/>
    <n v="1354.0691200000006"/>
    <n v="0.30520223425842735"/>
    <n v="0"/>
    <n v="0"/>
  </r>
  <r>
    <s v="ORD-2025-509940"/>
    <d v="2025-05-16T00:00:00"/>
    <x v="8"/>
    <s v="Q2-2025"/>
    <d v="2025-05-27T00:00:00"/>
    <s v="Valid"/>
    <n v="11"/>
    <d v="2025-05-27T00:00:00"/>
    <x v="1"/>
    <s v="Asia → China → Beijing"/>
    <s v="China-2025-05"/>
    <x v="9"/>
    <s v="Beijing"/>
    <s v="Enterprise"/>
    <x v="1"/>
    <x v="9"/>
    <x v="3"/>
    <x v="241"/>
    <n v="918.12"/>
    <n v="1337.69"/>
    <s v="Valid"/>
    <n v="1337.69"/>
    <s v="Medium"/>
    <n v="9.5000000000000001E-2"/>
    <s v="Valid"/>
    <x v="147"/>
    <n v="8"/>
    <x v="241"/>
    <n v="7344.96"/>
    <n v="2339.9156000000012"/>
    <n v="0.24160512707050164"/>
    <n v="0"/>
    <n v="0"/>
  </r>
  <r>
    <s v="ORD-2025-646342"/>
    <d v="2025-08-02T00:00:00"/>
    <x v="28"/>
    <s v="Q3-2025"/>
    <d v="2025-08-08T00:00:00"/>
    <s v="Valid"/>
    <n v="6"/>
    <d v="2025-08-08T00:00:00"/>
    <x v="1"/>
    <s v="Asia → Japan → Osaka"/>
    <s v="Japan-2025-08"/>
    <x v="2"/>
    <s v="Osaka"/>
    <s v="Consumer"/>
    <x v="4"/>
    <x v="13"/>
    <x v="4"/>
    <x v="242"/>
    <n v="1225.94"/>
    <n v="1793.08"/>
    <s v="Valid"/>
    <n v="1793.08"/>
    <s v="Medium"/>
    <n v="0.13600000000000001"/>
    <s v="Valid"/>
    <x v="29"/>
    <n v="22"/>
    <x v="242"/>
    <n v="26970.68"/>
    <n v="7112.1846399999922"/>
    <n v="0.20867332353434462"/>
    <n v="1"/>
    <n v="0"/>
  </r>
  <r>
    <s v="ORD-2024-866535"/>
    <d v="2024-12-04T00:00:00"/>
    <x v="6"/>
    <s v="Q4-2024"/>
    <d v="2024-12-12T00:00:00"/>
    <s v="Valid"/>
    <n v="8"/>
    <d v="2024-12-12T00:00:00"/>
    <x v="3"/>
    <s v="Europe → Germany → Frankfurt"/>
    <s v="Germany-2024-12"/>
    <x v="6"/>
    <s v="Frankfurt"/>
    <s v="Enterprise"/>
    <x v="2"/>
    <x v="5"/>
    <x v="1"/>
    <x v="243"/>
    <n v="72.06"/>
    <n v="122.74"/>
    <s v="Valid"/>
    <n v="122.74"/>
    <s v="Low"/>
    <n v="0.23799999999999999"/>
    <s v="Valid"/>
    <x v="148"/>
    <n v="8"/>
    <x v="243"/>
    <n v="576.48"/>
    <n v="171.74303999999995"/>
    <n v="0.22953455162246802"/>
    <n v="0"/>
    <n v="1"/>
  </r>
  <r>
    <s v="ORD-2023-747341"/>
    <d v="2023-04-19T00:00:00"/>
    <x v="12"/>
    <s v="Q2-2023"/>
    <d v="2023-04-28T00:00:00"/>
    <s v="Valid"/>
    <n v="9"/>
    <d v="2023-04-28T00:00:00"/>
    <x v="2"/>
    <s v="Americas → Brazil → Rio de Janeiro"/>
    <s v="Brazil-2023-04"/>
    <x v="5"/>
    <s v="Rio de Janeiro"/>
    <s v="Corporate"/>
    <x v="3"/>
    <x v="12"/>
    <x v="3"/>
    <x v="244"/>
    <n v="1013.54"/>
    <n v="927.93"/>
    <s v="Valid"/>
    <n v="927.93"/>
    <s v="Medium"/>
    <n v="0.17499999999999999"/>
    <s v="Valid"/>
    <x v="30"/>
    <n v="16"/>
    <x v="244"/>
    <n v="16216.64"/>
    <n v="-3967.9639999999999"/>
    <n v="-0.32395044166406234"/>
    <n v="0"/>
    <n v="0"/>
  </r>
  <r>
    <s v="ORD-2024-853298"/>
    <d v="2024-03-06T00:00:00"/>
    <x v="0"/>
    <s v="Q1-2024"/>
    <d v="2024-03-26T00:00:00"/>
    <s v="Valid"/>
    <n v="20"/>
    <d v="2024-03-26T00:00:00"/>
    <x v="0"/>
    <s v="Africa → Nigeria → Port Harcourt"/>
    <s v="Nigeria-2024-03"/>
    <x v="1"/>
    <s v="Port Harcourt"/>
    <s v="Consumer"/>
    <x v="2"/>
    <x v="2"/>
    <x v="3"/>
    <x v="245"/>
    <n v="65.64"/>
    <n v="151.88"/>
    <s v="Valid"/>
    <n v="151.88"/>
    <s v="Low"/>
    <n v="0.16700000000000001"/>
    <s v="Valid"/>
    <x v="149"/>
    <n v="23"/>
    <x v="245"/>
    <n v="1509.72"/>
    <n v="1400.1489199999999"/>
    <n v="0.48117250587356353"/>
    <n v="0"/>
    <n v="0"/>
  </r>
  <r>
    <s v="ORD-2024-544865"/>
    <d v="2024-02-16T00:00:00"/>
    <x v="31"/>
    <s v="Q1-2024"/>
    <d v="2024-03-04T00:00:00"/>
    <s v="Valid"/>
    <n v="17"/>
    <d v="2024-03-04T00:00:00"/>
    <x v="2"/>
    <s v="Americas → Canada → Montreal"/>
    <s v="Canada-2024-02"/>
    <x v="3"/>
    <s v="Montreal"/>
    <s v="Non-Profit"/>
    <x v="0"/>
    <x v="14"/>
    <x v="4"/>
    <x v="246"/>
    <n v="1350.98"/>
    <n v="2210.4"/>
    <s v="Valid"/>
    <n v="2210.4"/>
    <s v="High"/>
    <n v="0.26300000000000001"/>
    <s v="Valid"/>
    <x v="150"/>
    <n v="6"/>
    <x v="246"/>
    <n v="8105.88"/>
    <n v="1668.5088000000005"/>
    <n v="0.17070211080615091"/>
    <n v="0"/>
    <n v="1"/>
  </r>
  <r>
    <s v="ORD-2025-946490"/>
    <d v="2025-04-22T00:00:00"/>
    <x v="19"/>
    <s v="Q2-2025"/>
    <d v="2025-05-02T00:00:00"/>
    <s v="Valid"/>
    <n v="10"/>
    <d v="2025-05-02T00:00:00"/>
    <x v="3"/>
    <s v="Europe → Germany → Berlin"/>
    <s v="Germany-2025-04"/>
    <x v="6"/>
    <s v="Berlin"/>
    <s v="Corporate"/>
    <x v="2"/>
    <x v="0"/>
    <x v="5"/>
    <x v="247"/>
    <n v="20.149999999999999"/>
    <n v="39.74"/>
    <s v="Valid"/>
    <n v="39.74"/>
    <s v="Low"/>
    <n v="0.151"/>
    <s v="Valid"/>
    <x v="101"/>
    <n v="18"/>
    <x v="247"/>
    <n v="362.7"/>
    <n v="244.60668000000004"/>
    <n v="0.4027729120318585"/>
    <n v="0"/>
    <n v="0"/>
  </r>
  <r>
    <s v="ORD-2024-320972"/>
    <d v="2024-11-08T00:00:00"/>
    <x v="18"/>
    <s v="Q4-2024"/>
    <d v="2024-11-08T00:00:00"/>
    <s v="Valid"/>
    <n v="0"/>
    <d v="2024-11-08T00:00:00"/>
    <x v="0"/>
    <s v="Africa → Kenya → Nakuru"/>
    <s v="Kenya-2024-11"/>
    <x v="0"/>
    <s v="Nakuru"/>
    <s v="Enterprise"/>
    <x v="2"/>
    <x v="12"/>
    <x v="2"/>
    <x v="248"/>
    <n v="803.28"/>
    <n v="1009"/>
    <s v="Valid"/>
    <n v="1009"/>
    <s v="Medium"/>
    <n v="0.11"/>
    <s v="Valid"/>
    <x v="46"/>
    <n v="4"/>
    <x v="248"/>
    <n v="3213.12"/>
    <n v="378.92000000000007"/>
    <n v="0.10548880302001093"/>
    <n v="1"/>
    <n v="0"/>
  </r>
  <r>
    <s v="ORD-2025-248586"/>
    <d v="2025-09-12T00:00:00"/>
    <x v="11"/>
    <s v="Q3-2025"/>
    <d v="2025-09-30T00:00:00"/>
    <s v="Valid"/>
    <n v="18"/>
    <d v="2025-09-30T00:00:00"/>
    <x v="1"/>
    <s v="Asia → Japan → Nagoya"/>
    <s v="Japan-2025-09"/>
    <x v="2"/>
    <s v="Nagoya"/>
    <s v="Non-Profit"/>
    <x v="2"/>
    <x v="9"/>
    <x v="5"/>
    <x v="249"/>
    <n v="1212.99"/>
    <n v="1653.64"/>
    <s v="Valid"/>
    <n v="1653.64"/>
    <s v="Medium"/>
    <n v="0.107"/>
    <s v="Valid"/>
    <x v="104"/>
    <n v="8"/>
    <x v="249"/>
    <n v="9703.92"/>
    <n v="2109.6841600000007"/>
    <n v="0.17858090819931455"/>
    <n v="0"/>
    <n v="0"/>
  </r>
  <r>
    <s v="ORD-2024-664046"/>
    <d v="2024-09-02T00:00:00"/>
    <x v="29"/>
    <s v="Q3-2024"/>
    <d v="2024-09-08T00:00:00"/>
    <s v="Valid"/>
    <n v="6"/>
    <d v="2024-09-08T00:00:00"/>
    <x v="2"/>
    <s v="Americas → USA → Austin"/>
    <s v="USA-2024-09"/>
    <x v="10"/>
    <s v="Austin"/>
    <s v="Consumer"/>
    <x v="4"/>
    <x v="10"/>
    <x v="0"/>
    <x v="250"/>
    <n v="462.94"/>
    <n v="1015.7"/>
    <s v="Valid"/>
    <n v="1015.7"/>
    <s v="Medium"/>
    <n v="0.14299999999999999"/>
    <s v="Valid"/>
    <x v="17"/>
    <n v="14"/>
    <x v="250"/>
    <n v="6481.16"/>
    <n v="5705.2086000000018"/>
    <n v="0.46816314090483041"/>
    <n v="1"/>
    <n v="0"/>
  </r>
  <r>
    <s v="ORD-2023-276806"/>
    <d v="2023-03-04T00:00:00"/>
    <x v="22"/>
    <s v="Q1-2023"/>
    <d v="2023-03-24T00:00:00"/>
    <s v="Valid"/>
    <n v="20"/>
    <d v="2023-03-24T00:00:00"/>
    <x v="2"/>
    <s v="Americas → Canada → Montreal"/>
    <s v="Canada-2023-03"/>
    <x v="3"/>
    <s v="Montreal"/>
    <s v="Consumer"/>
    <x v="3"/>
    <x v="2"/>
    <x v="4"/>
    <x v="251"/>
    <n v="481.71"/>
    <n v="912.45"/>
    <s v="Valid"/>
    <n v="912.45"/>
    <s v="Medium"/>
    <n v="0.20300000000000001"/>
    <s v="Valid"/>
    <x v="90"/>
    <n v="24"/>
    <x v="251"/>
    <n v="11561.039999999999"/>
    <n v="5892.3036000000011"/>
    <n v="0.33760313983619739"/>
    <n v="0"/>
    <n v="1"/>
  </r>
  <r>
    <s v="ORD-2024-220234"/>
    <d v="2024-03-15T00:00:00"/>
    <x v="0"/>
    <s v="Q1-2024"/>
    <d v="2024-04-09T00:00:00"/>
    <s v="Valid"/>
    <n v="25"/>
    <d v="2024-04-09T00:00:00"/>
    <x v="2"/>
    <s v="Americas → Canada → Vancouver"/>
    <s v="Canada-2024-03"/>
    <x v="3"/>
    <s v="Vancouver"/>
    <s v="Consumer"/>
    <x v="1"/>
    <x v="9"/>
    <x v="5"/>
    <x v="252"/>
    <n v="648.64"/>
    <n v="815.19"/>
    <s v="Valid"/>
    <n v="815.19"/>
    <s v="Medium"/>
    <n v="0.22500000000000001"/>
    <s v="Valid"/>
    <x v="151"/>
    <n v="28"/>
    <x v="252"/>
    <n v="18161.919999999998"/>
    <n v="-472.29699999999866"/>
    <n v="-2.6699099240272032E-2"/>
    <n v="0"/>
    <n v="1"/>
  </r>
  <r>
    <s v="ORD-2024-301260"/>
    <d v="2024-07-29T00:00:00"/>
    <x v="14"/>
    <s v="Q3-2024"/>
    <d v="2024-07-31T00:00:00"/>
    <s v="Valid"/>
    <n v="2"/>
    <d v="2024-07-31T00:00:00"/>
    <x v="2"/>
    <s v="Americas → USA → New York"/>
    <s v="USA-2024-07"/>
    <x v="10"/>
    <s v="New York"/>
    <s v="Education"/>
    <x v="2"/>
    <x v="2"/>
    <x v="1"/>
    <x v="253"/>
    <n v="798.97"/>
    <n v="1814.06"/>
    <s v="Valid"/>
    <n v="1814.06"/>
    <s v="Medium"/>
    <n v="0.122"/>
    <s v="Valid"/>
    <x v="152"/>
    <n v="16"/>
    <x v="253"/>
    <n v="12783.52"/>
    <n v="12700.39488"/>
    <n v="0.49836906691159061"/>
    <n v="1"/>
    <n v="0"/>
  </r>
  <r>
    <s v="ORD-2024-350100"/>
    <d v="2024-10-27T00:00:00"/>
    <x v="1"/>
    <s v="Q4-2024"/>
    <d v="2024-11-20T00:00:00"/>
    <s v="Valid"/>
    <n v="24"/>
    <d v="2024-11-20T00:00:00"/>
    <x v="1"/>
    <s v="Asia → Japan → Nagoya"/>
    <s v="Japan-2024-10"/>
    <x v="2"/>
    <s v="Nagoya"/>
    <s v="Non-Profit"/>
    <x v="1"/>
    <x v="10"/>
    <x v="5"/>
    <x v="254"/>
    <n v="317.25"/>
    <n v="758.92"/>
    <s v="Valid"/>
    <n v="758.92"/>
    <s v="Medium"/>
    <n v="5.2999999999999999E-2"/>
    <s v="Valid"/>
    <x v="113"/>
    <n v="9"/>
    <x v="254"/>
    <n v="2855.25"/>
    <n v="3613.0251599999992"/>
    <n v="0.5585762928489888"/>
    <n v="0"/>
    <n v="0"/>
  </r>
  <r>
    <s v="ORD-2024-855600"/>
    <d v="2024-04-29T00:00:00"/>
    <x v="20"/>
    <s v="Q2-2024"/>
    <d v="2024-05-19T00:00:00"/>
    <s v="Valid"/>
    <n v="20"/>
    <d v="2024-05-19T00:00:00"/>
    <x v="3"/>
    <s v="Europe → Germany → Frankfurt"/>
    <s v="Germany-2024-04"/>
    <x v="6"/>
    <s v="Frankfurt"/>
    <s v="Enterprise"/>
    <x v="2"/>
    <x v="0"/>
    <x v="4"/>
    <x v="255"/>
    <n v="668.97"/>
    <n v="1667.44"/>
    <s v="Valid"/>
    <n v="1667.44"/>
    <s v="Medium"/>
    <n v="3.4000000000000002E-2"/>
    <s v="Valid"/>
    <x v="75"/>
    <n v="15"/>
    <x v="255"/>
    <n v="10034.550000000001"/>
    <n v="14126.6556"/>
    <n v="0.58468339013679016"/>
    <n v="0"/>
    <n v="0"/>
  </r>
  <r>
    <s v="ORD-2023-474313"/>
    <d v="2023-10-05T00:00:00"/>
    <x v="32"/>
    <s v="Q4-2023"/>
    <d v="2023-10-06T00:00:00"/>
    <s v="Valid"/>
    <n v="1"/>
    <d v="2023-10-06T00:00:00"/>
    <x v="1"/>
    <s v="Asia → India → Bengaluru"/>
    <s v="India-2023-10"/>
    <x v="4"/>
    <s v="Bengaluru"/>
    <s v="Non-Profit"/>
    <x v="1"/>
    <x v="2"/>
    <x v="0"/>
    <x v="256"/>
    <n v="1470.26"/>
    <n v="2562.5500000000002"/>
    <s v="Valid"/>
    <n v="2562.5500000000002"/>
    <s v="High"/>
    <n v="0.17299999999999999"/>
    <s v="Valid"/>
    <x v="121"/>
    <n v="9"/>
    <x v="256"/>
    <n v="13232.34"/>
    <n v="5840.7196499999991"/>
    <n v="0.30622877279157462"/>
    <n v="1"/>
    <n v="0"/>
  </r>
  <r>
    <s v="ORD-2023-256951"/>
    <d v="2023-04-19T00:00:00"/>
    <x v="12"/>
    <s v="Q2-2023"/>
    <d v="2023-05-07T00:00:00"/>
    <s v="Valid"/>
    <n v="18"/>
    <d v="2023-05-07T00:00:00"/>
    <x v="3"/>
    <s v="Europe → United Kingdom → London"/>
    <s v="United Kingdom-2023-04"/>
    <x v="8"/>
    <s v="London"/>
    <s v="Non-Profit"/>
    <x v="4"/>
    <x v="10"/>
    <x v="2"/>
    <x v="257"/>
    <n v="516.96"/>
    <n v="745.38"/>
    <s v="Valid"/>
    <n v="745.38"/>
    <s v="Medium"/>
    <n v="0.19700000000000001"/>
    <s v="Valid"/>
    <x v="114"/>
    <n v="4"/>
    <x v="257"/>
    <n v="2067.84"/>
    <n v="326.32055999999966"/>
    <n v="0.13629852794835101"/>
    <n v="0"/>
    <n v="0"/>
  </r>
  <r>
    <s v="ORD-2025-184754"/>
    <d v="2025-06-27T00:00:00"/>
    <x v="16"/>
    <s v="Q2-2025"/>
    <d v="2025-07-05T00:00:00"/>
    <s v="Valid"/>
    <n v="8"/>
    <d v="2025-07-05T00:00:00"/>
    <x v="3"/>
    <s v="Europe → Germany → Munich"/>
    <s v="Germany-2025-06"/>
    <x v="6"/>
    <s v="Munich"/>
    <s v="Small Business"/>
    <x v="4"/>
    <x v="3"/>
    <x v="5"/>
    <x v="258"/>
    <n v="314.93"/>
    <n v="687.95"/>
    <s v="Valid"/>
    <n v="687.95"/>
    <s v="Medium"/>
    <n v="0.20499999999999999"/>
    <s v="Valid"/>
    <x v="44"/>
    <n v="8"/>
    <x v="258"/>
    <n v="2519.44"/>
    <n v="1855.922"/>
    <n v="0.424175645352316"/>
    <n v="0"/>
    <n v="1"/>
  </r>
  <r>
    <s v="ORD-2023-888140"/>
    <d v="2023-10-11T00:00:00"/>
    <x v="32"/>
    <s v="Q4-2023"/>
    <d v="2023-10-13T00:00:00"/>
    <s v="Valid"/>
    <n v="2"/>
    <d v="2023-10-13T00:00:00"/>
    <x v="2"/>
    <s v="Americas → Brazil → Brasília"/>
    <s v="Brazil-2023-10"/>
    <x v="5"/>
    <s v="Brasília"/>
    <s v="Consumer"/>
    <x v="3"/>
    <x v="15"/>
    <x v="6"/>
    <x v="259"/>
    <n v="715.94"/>
    <n v="550.07000000000005"/>
    <s v="Valid"/>
    <n v="550.07000000000005"/>
    <s v="Low"/>
    <n v="0.14000000000000001"/>
    <s v="Valid"/>
    <x v="77"/>
    <n v="16"/>
    <x v="259"/>
    <n v="11455.04"/>
    <n v="-3886.0768000000007"/>
    <n v="-0.51342260456491595"/>
    <n v="1"/>
    <n v="0"/>
  </r>
  <r>
    <s v="ORD-2023-638181"/>
    <d v="2023-05-20T00:00:00"/>
    <x v="15"/>
    <s v="Q2-2023"/>
    <d v="2023-06-07T00:00:00"/>
    <s v="Valid"/>
    <n v="18"/>
    <d v="2023-06-07T00:00:00"/>
    <x v="0"/>
    <s v="Africa → Nigeria → Port Harcourt"/>
    <s v="Nigeria-2023-05"/>
    <x v="1"/>
    <s v="Port Harcourt"/>
    <s v="Enterprise"/>
    <x v="3"/>
    <x v="6"/>
    <x v="0"/>
    <x v="260"/>
    <n v="1120.06"/>
    <n v="2068.21"/>
    <s v="Valid"/>
    <n v="2068.21"/>
    <s v="High"/>
    <n v="7.8E-2"/>
    <s v="Valid"/>
    <x v="116"/>
    <n v="12"/>
    <x v="260"/>
    <n v="13440.72"/>
    <n v="9441.9554400000034"/>
    <n v="0.41262462795303284"/>
    <n v="0"/>
    <n v="0"/>
  </r>
  <r>
    <s v="ORD-2023-521280"/>
    <d v="2023-05-27T00:00:00"/>
    <x v="15"/>
    <s v="Q2-2023"/>
    <d v="2023-06-19T00:00:00"/>
    <s v="Valid"/>
    <n v="23"/>
    <d v="2023-06-19T00:00:00"/>
    <x v="3"/>
    <s v="Europe → Germany → Berlin"/>
    <s v="Germany-2023-05"/>
    <x v="6"/>
    <s v="Berlin"/>
    <s v="Education"/>
    <x v="0"/>
    <x v="7"/>
    <x v="6"/>
    <x v="261"/>
    <n v="1471.58"/>
    <n v="2576.65"/>
    <s v="Valid"/>
    <n v="2576.65"/>
    <s v="High"/>
    <n v="4.0000000000000001E-3"/>
    <s v="Valid"/>
    <x v="139"/>
    <n v="7"/>
    <x v="261"/>
    <n v="10301.06"/>
    <n v="7663.3438000000006"/>
    <n v="0.4265849223451546"/>
    <n v="0"/>
    <n v="0"/>
  </r>
  <r>
    <s v="ORD-2023-630430"/>
    <d v="2023-08-04T00:00:00"/>
    <x v="25"/>
    <s v="Q3-2023"/>
    <d v="2023-08-24T00:00:00"/>
    <s v="Valid"/>
    <n v="20"/>
    <d v="2023-08-24T00:00:00"/>
    <x v="2"/>
    <s v="Americas → Brazil → Brasília"/>
    <s v="Brazil-2023-08"/>
    <x v="5"/>
    <s v="Brasília"/>
    <s v="Non-Profit"/>
    <x v="4"/>
    <x v="15"/>
    <x v="2"/>
    <x v="262"/>
    <n v="582.88"/>
    <n v="1044.1400000000001"/>
    <s v="Valid"/>
    <n v="1044.1400000000001"/>
    <s v="Medium"/>
    <n v="0.216"/>
    <s v="Valid"/>
    <x v="153"/>
    <n v="10"/>
    <x v="262"/>
    <n v="5828.8"/>
    <n v="2357.2576000000008"/>
    <n v="0.28796005539956138"/>
    <n v="0"/>
    <n v="1"/>
  </r>
  <r>
    <s v="ORD-2025-908258"/>
    <d v="2025-06-21T00:00:00"/>
    <x v="16"/>
    <s v="Q2-2025"/>
    <d v="2025-06-27T00:00:00"/>
    <s v="Valid"/>
    <n v="6"/>
    <d v="2025-06-27T00:00:00"/>
    <x v="0"/>
    <s v="Africa → South Africa → Durban"/>
    <s v="South Africa-2025-06"/>
    <x v="11"/>
    <s v="Durban"/>
    <s v="Enterprise"/>
    <x v="3"/>
    <x v="13"/>
    <x v="3"/>
    <x v="263"/>
    <n v="93.91"/>
    <n v="99.04"/>
    <s v="Valid"/>
    <n v="99.04"/>
    <s v="Low"/>
    <n v="5.7000000000000002E-2"/>
    <s v="Valid"/>
    <x v="91"/>
    <n v="6"/>
    <x v="263"/>
    <n v="563.46"/>
    <n v="-3.0916800000001103"/>
    <n v="-5.5172283829323376E-3"/>
    <n v="1"/>
    <n v="0"/>
  </r>
  <r>
    <s v="ORD-2025-440093"/>
    <d v="2025-04-16T00:00:00"/>
    <x v="19"/>
    <s v="Q2-2025"/>
    <d v="2025-04-26T00:00:00"/>
    <s v="Valid"/>
    <n v="10"/>
    <d v="2025-04-26T00:00:00"/>
    <x v="0"/>
    <s v="Africa → Nigeria → Port Harcourt"/>
    <s v="Nigeria-2025-04"/>
    <x v="1"/>
    <s v="Port Harcourt"/>
    <s v="Enterprise"/>
    <x v="2"/>
    <x v="9"/>
    <x v="4"/>
    <x v="264"/>
    <n v="1457.44"/>
    <n v="1996.81"/>
    <s v="Valid"/>
    <n v="1996.81"/>
    <s v="High"/>
    <n v="0.126"/>
    <s v="Valid"/>
    <x v="38"/>
    <n v="23"/>
    <x v="264"/>
    <n v="33521.120000000003"/>
    <n v="6618.7546199999924"/>
    <n v="0.16489225944672353"/>
    <n v="0"/>
    <n v="0"/>
  </r>
  <r>
    <s v="ORD-2025-898022"/>
    <d v="2025-09-02T00:00:00"/>
    <x v="11"/>
    <s v="Q3-2025"/>
    <d v="2025-09-11T00:00:00"/>
    <s v="Valid"/>
    <n v="9"/>
    <d v="2025-09-11T00:00:00"/>
    <x v="2"/>
    <s v="Americas → Canada → Toronto"/>
    <s v="Canada-2025-09"/>
    <x v="3"/>
    <s v="Toronto"/>
    <s v="Corporate"/>
    <x v="3"/>
    <x v="12"/>
    <x v="1"/>
    <x v="265"/>
    <n v="1207.6300000000001"/>
    <n v="921.68"/>
    <s v="Valid"/>
    <n v="921.68"/>
    <s v="Medium"/>
    <n v="0.19600000000000001"/>
    <s v="Valid"/>
    <x v="123"/>
    <n v="17"/>
    <x v="265"/>
    <n v="20529.710000000003"/>
    <n v="-7932.1877600000025"/>
    <n v="-0.62966253274897988"/>
    <n v="0"/>
    <n v="0"/>
  </r>
  <r>
    <s v="ORD-2024-500511"/>
    <d v="2024-10-08T00:00:00"/>
    <x v="1"/>
    <s v="Q4-2024"/>
    <d v="2024-10-08T00:00:00"/>
    <s v="Valid"/>
    <n v="0"/>
    <d v="2024-10-08T00:00:00"/>
    <x v="3"/>
    <s v="Europe → United Kingdom → London"/>
    <s v="United Kingdom-2024-10"/>
    <x v="8"/>
    <s v="London"/>
    <s v="Corporate"/>
    <x v="1"/>
    <x v="6"/>
    <x v="5"/>
    <x v="266"/>
    <n v="1108.1099999999999"/>
    <n v="2503.79"/>
    <s v="Valid"/>
    <n v="2503.79"/>
    <s v="High"/>
    <n v="0.184"/>
    <s v="Valid"/>
    <x v="50"/>
    <n v="19"/>
    <x v="266"/>
    <n v="21054.089999999997"/>
    <n v="17764.670160000009"/>
    <n v="0.45763105485025896"/>
    <n v="1"/>
    <n v="0"/>
  </r>
  <r>
    <s v="ORD-2023-632893"/>
    <d v="2023-05-07T00:00:00"/>
    <x v="15"/>
    <s v="Q2-2023"/>
    <d v="2023-05-05T00:00:00"/>
    <s v="Invalid RequiredDate"/>
    <n v="-2"/>
    <d v="2023-06-02T00:00:00"/>
    <x v="0"/>
    <s v="Africa → Nigeria → Port Harcourt"/>
    <s v="Nigeria-2023-05"/>
    <x v="1"/>
    <s v="Port Harcourt"/>
    <s v="Non-Profit"/>
    <x v="2"/>
    <x v="8"/>
    <x v="0"/>
    <x v="267"/>
    <n v="1269.6500000000001"/>
    <n v="2462.77"/>
    <s v="Valid"/>
    <n v="2462.77"/>
    <s v="High"/>
    <n v="0.107"/>
    <s v="Valid"/>
    <x v="104"/>
    <n v="8"/>
    <x v="267"/>
    <n v="10157.200000000001"/>
    <n v="7436.8288800000009"/>
    <n v="0.42269050089225502"/>
    <n v="1"/>
    <n v="0"/>
  </r>
  <r>
    <s v="ORD-2023-967239"/>
    <d v="2023-12-24T00:00:00"/>
    <x v="4"/>
    <s v="Q4-2023"/>
    <d v="2024-01-01T00:00:00"/>
    <s v="Valid"/>
    <n v="8"/>
    <d v="2024-01-01T00:00:00"/>
    <x v="2"/>
    <s v="Americas → Brazil → São Paulo"/>
    <s v="Brazil-2023-12"/>
    <x v="5"/>
    <s v="São Paulo"/>
    <s v="Education"/>
    <x v="4"/>
    <x v="0"/>
    <x v="3"/>
    <x v="268"/>
    <n v="526.49"/>
    <n v="496.2"/>
    <s v="Valid"/>
    <n v="496.2"/>
    <s v="Low"/>
    <n v="0"/>
    <s v="Valid"/>
    <x v="5"/>
    <n v="14"/>
    <x v="268"/>
    <n v="7370.8600000000006"/>
    <n v="-424.0600000000004"/>
    <n v="-6.1043933897621985E-2"/>
    <n v="0"/>
    <n v="0"/>
  </r>
  <r>
    <s v="ORD-2024-885858"/>
    <d v="2024-01-10T00:00:00"/>
    <x v="9"/>
    <s v="Q1-2024"/>
    <d v="2024-01-23T00:00:00"/>
    <s v="Valid"/>
    <n v="13"/>
    <d v="2024-01-23T00:00:00"/>
    <x v="3"/>
    <s v="Europe → France → Marseille"/>
    <s v="France-2024-01"/>
    <x v="7"/>
    <s v="Marseille"/>
    <s v="Corporate"/>
    <x v="4"/>
    <x v="8"/>
    <x v="1"/>
    <x v="269"/>
    <n v="720"/>
    <n v="907.59"/>
    <s v="Valid"/>
    <n v="907.59"/>
    <s v="Medium"/>
    <n v="0.154"/>
    <s v="Valid"/>
    <x v="68"/>
    <n v="10"/>
    <x v="269"/>
    <n v="7200"/>
    <n v="478.21139999999923"/>
    <n v="6.2281614179052078E-2"/>
    <n v="0"/>
    <n v="0"/>
  </r>
  <r>
    <s v="ORD-2023-253245"/>
    <d v="2023-08-03T00:00:00"/>
    <x v="25"/>
    <s v="Q3-2023"/>
    <d v="2023-08-14T00:00:00"/>
    <s v="Valid"/>
    <n v="11"/>
    <d v="2023-08-14T00:00:00"/>
    <x v="2"/>
    <s v="Americas → Brazil → Brasília"/>
    <s v="Brazil-2023-08"/>
    <x v="5"/>
    <s v="Brasília"/>
    <s v="Corporate"/>
    <x v="4"/>
    <x v="1"/>
    <x v="6"/>
    <x v="270"/>
    <n v="232.73"/>
    <n v="334.19"/>
    <s v="Valid"/>
    <n v="334.19"/>
    <s v="Low"/>
    <n v="0.13400000000000001"/>
    <s v="Valid"/>
    <x v="60"/>
    <n v="25"/>
    <x v="270"/>
    <n v="5818.25"/>
    <n v="1416.9634999999998"/>
    <n v="0.1958426658729559"/>
    <n v="0"/>
    <n v="0"/>
  </r>
  <r>
    <s v="ORD-2025-484073"/>
    <d v="2025-02-19T00:00:00"/>
    <x v="26"/>
    <s v="Q1-2025"/>
    <d v="2025-03-09T00:00:00"/>
    <s v="Valid"/>
    <n v="18"/>
    <d v="2025-03-09T00:00:00"/>
    <x v="1"/>
    <s v="Asia → India → Delhi"/>
    <s v="India-2025-02"/>
    <x v="4"/>
    <s v="Delhi"/>
    <s v="Small Business"/>
    <x v="4"/>
    <x v="7"/>
    <x v="5"/>
    <x v="271"/>
    <n v="325.87"/>
    <n v="538.79"/>
    <s v="Valid"/>
    <n v="538.79"/>
    <s v="Low"/>
    <n v="0.17399999999999999"/>
    <s v="Valid"/>
    <x v="154"/>
    <n v="16"/>
    <x v="271"/>
    <n v="5213.92"/>
    <n v="1906.7286400000003"/>
    <n v="0.26777457172778013"/>
    <n v="0"/>
    <n v="0"/>
  </r>
  <r>
    <s v="ORD-2024-745822"/>
    <d v="2024-03-31T00:00:00"/>
    <x v="0"/>
    <s v="Q1-2024"/>
    <d v="2024-04-17T00:00:00"/>
    <s v="Valid"/>
    <n v="17"/>
    <d v="2024-04-17T00:00:00"/>
    <x v="3"/>
    <s v="Europe → Germany → Frankfurt"/>
    <s v="Germany-2024-03"/>
    <x v="6"/>
    <s v="Frankfurt"/>
    <s v="Education"/>
    <x v="4"/>
    <x v="10"/>
    <x v="5"/>
    <x v="272"/>
    <n v="1025.51"/>
    <n v="1436.54"/>
    <s v="Valid"/>
    <n v="1436.54"/>
    <s v="Medium"/>
    <n v="0.13900000000000001"/>
    <s v="Valid"/>
    <x v="23"/>
    <n v="28"/>
    <x v="272"/>
    <n v="28714.28"/>
    <n v="5917.8263200000001"/>
    <n v="0.17087688127656453"/>
    <n v="0"/>
    <n v="0"/>
  </r>
  <r>
    <s v="ORD-2023-369160"/>
    <d v="2023-07-24T00:00:00"/>
    <x v="24"/>
    <s v="Q3-2023"/>
    <d v="2023-08-13T00:00:00"/>
    <s v="Valid"/>
    <n v="20"/>
    <d v="2023-08-13T00:00:00"/>
    <x v="2"/>
    <s v="Americas → Canada → Montreal"/>
    <s v="Canada-2023-07"/>
    <x v="3"/>
    <s v="Montreal"/>
    <s v="Education"/>
    <x v="4"/>
    <x v="0"/>
    <x v="5"/>
    <x v="273"/>
    <n v="1082.3800000000001"/>
    <n v="1766.55"/>
    <s v="Valid"/>
    <n v="1766.55"/>
    <s v="Medium"/>
    <n v="0.16400000000000001"/>
    <s v="Valid"/>
    <x v="155"/>
    <n v="20"/>
    <x v="273"/>
    <n v="21647.600000000002"/>
    <n v="7889.1159999999982"/>
    <n v="0.26709523157550752"/>
    <n v="0"/>
    <n v="0"/>
  </r>
  <r>
    <s v="ORD-2024-834983"/>
    <d v="2024-03-16T00:00:00"/>
    <x v="0"/>
    <s v="Q1-2024"/>
    <d v="2024-04-13T00:00:00"/>
    <s v="Valid"/>
    <n v="28"/>
    <d v="2024-04-13T00:00:00"/>
    <x v="3"/>
    <s v="Europe → France → Paris"/>
    <s v="France-2024-03"/>
    <x v="7"/>
    <s v="Paris"/>
    <s v="Small Business"/>
    <x v="1"/>
    <x v="11"/>
    <x v="1"/>
    <x v="274"/>
    <n v="287.61"/>
    <n v="628.54"/>
    <s v="Valid"/>
    <n v="628.54"/>
    <s v="Medium"/>
    <n v="0.13500000000000001"/>
    <s v="Valid"/>
    <x v="156"/>
    <n v="21"/>
    <x v="274"/>
    <n v="6039.81"/>
    <n v="5377.619099999999"/>
    <n v="0.47100087531964613"/>
    <n v="0"/>
    <n v="0"/>
  </r>
  <r>
    <s v="ORD-2024-499009"/>
    <d v="2024-01-25T00:00:00"/>
    <x v="9"/>
    <s v="Q1-2024"/>
    <d v="2024-01-27T00:00:00"/>
    <s v="Valid"/>
    <n v="2"/>
    <d v="2024-01-27T00:00:00"/>
    <x v="2"/>
    <s v="Americas → Brazil → São Paulo"/>
    <s v="Brazil-2024-01"/>
    <x v="5"/>
    <s v="São Paulo"/>
    <s v="Non-Profit"/>
    <x v="2"/>
    <x v="13"/>
    <x v="4"/>
    <x v="275"/>
    <n v="1410.97"/>
    <n v="1650.75"/>
    <s v="Valid"/>
    <n v="1650.75"/>
    <s v="Medium"/>
    <n v="0.13500000000000001"/>
    <s v="Valid"/>
    <x v="156"/>
    <n v="6"/>
    <x v="275"/>
    <n v="8465.82"/>
    <n v="101.57250000000022"/>
    <n v="1.1855707556295596E-2"/>
    <n v="1"/>
    <n v="0"/>
  </r>
  <r>
    <s v="ORD-2024-948800"/>
    <d v="2024-03-27T00:00:00"/>
    <x v="0"/>
    <s v="Q1-2024"/>
    <d v="2024-04-11T00:00:00"/>
    <s v="Valid"/>
    <n v="15"/>
    <d v="2024-04-11T00:00:00"/>
    <x v="2"/>
    <s v="Americas → USA → San Francisco"/>
    <s v="USA-2024-03"/>
    <x v="10"/>
    <s v="San Francisco"/>
    <s v="Small Business"/>
    <x v="4"/>
    <x v="7"/>
    <x v="2"/>
    <x v="276"/>
    <n v="1338.35"/>
    <n v="2247.14"/>
    <s v="Valid"/>
    <n v="2247.14"/>
    <s v="High"/>
    <n v="0.115"/>
    <s v="Valid"/>
    <x v="157"/>
    <n v="40"/>
    <x v="276"/>
    <n v="53534"/>
    <n v="26014.755999999994"/>
    <n v="0.32702907384246205"/>
    <n v="0"/>
    <n v="0"/>
  </r>
  <r>
    <s v="ORD-2025-678328"/>
    <d v="2025-06-24T00:00:00"/>
    <x v="16"/>
    <s v="Q2-2025"/>
    <d v="2025-07-14T00:00:00"/>
    <s v="Valid"/>
    <n v="20"/>
    <d v="2025-07-14T00:00:00"/>
    <x v="3"/>
    <s v="Europe → Germany → Berlin"/>
    <s v="Germany-2025-06"/>
    <x v="6"/>
    <s v="Berlin"/>
    <s v="Corporate"/>
    <x v="4"/>
    <x v="7"/>
    <x v="6"/>
    <x v="277"/>
    <n v="385.08"/>
    <n v="893.19"/>
    <s v="Valid"/>
    <n v="893.19"/>
    <s v="Medium"/>
    <n v="0.151"/>
    <s v="Valid"/>
    <x v="101"/>
    <n v="8"/>
    <x v="277"/>
    <n v="3080.64"/>
    <n v="2985.9064800000001"/>
    <n v="0.49219213762621666"/>
    <n v="0"/>
    <n v="0"/>
  </r>
  <r>
    <s v="ORD-2024-580808"/>
    <d v="2024-06-16T00:00:00"/>
    <x v="17"/>
    <s v="Q2-2024"/>
    <d v="2024-07-03T00:00:00"/>
    <s v="Valid"/>
    <n v="17"/>
    <d v="2024-07-03T00:00:00"/>
    <x v="0"/>
    <s v="Africa → South Africa → Johannesburg"/>
    <s v="South Africa-2024-06"/>
    <x v="11"/>
    <s v="Johannesburg"/>
    <s v="Enterprise"/>
    <x v="2"/>
    <x v="9"/>
    <x v="3"/>
    <x v="278"/>
    <n v="1173.83"/>
    <n v="2328.9"/>
    <s v="Valid"/>
    <n v="2328.9"/>
    <s v="High"/>
    <n v="0.12"/>
    <s v="Valid"/>
    <x v="18"/>
    <n v="17"/>
    <x v="278"/>
    <n v="19955.11"/>
    <n v="14885.234000000004"/>
    <n v="0.42724130393201637"/>
    <n v="0"/>
    <n v="0"/>
  </r>
  <r>
    <s v="ORD-2023-211715"/>
    <d v="2023-10-30T00:00:00"/>
    <x v="32"/>
    <s v="Q4-2023"/>
    <d v="2023-11-14T00:00:00"/>
    <s v="Valid"/>
    <n v="15"/>
    <d v="2023-11-14T00:00:00"/>
    <x v="1"/>
    <s v="Asia → India → Bengaluru"/>
    <s v="India-2023-10"/>
    <x v="4"/>
    <s v="Bengaluru"/>
    <s v="Corporate"/>
    <x v="1"/>
    <x v="9"/>
    <x v="4"/>
    <x v="279"/>
    <n v="953.46"/>
    <n v="2066.75"/>
    <s v="Valid"/>
    <n v="2066.75"/>
    <s v="High"/>
    <n v="0.13800000000000001"/>
    <s v="Valid"/>
    <x v="158"/>
    <n v="5"/>
    <x v="279"/>
    <n v="4767.3"/>
    <n v="4140.392499999999"/>
    <n v="0.46481089238318446"/>
    <n v="0"/>
    <n v="0"/>
  </r>
  <r>
    <s v="ORD-2023-715175"/>
    <d v="2023-06-15T00:00:00"/>
    <x v="23"/>
    <s v="Q2-2023"/>
    <d v="2023-06-23T00:00:00"/>
    <s v="Valid"/>
    <n v="8"/>
    <d v="2023-06-23T00:00:00"/>
    <x v="2"/>
    <s v="Americas → USA → San Francisco"/>
    <s v="USA-2023-06"/>
    <x v="10"/>
    <s v="San Francisco"/>
    <s v="Consumer"/>
    <x v="3"/>
    <x v="7"/>
    <x v="5"/>
    <x v="280"/>
    <n v="1097.0899999999999"/>
    <n v="2182.31"/>
    <s v="Valid"/>
    <n v="2182.31"/>
    <s v="High"/>
    <n v="0.112"/>
    <s v="Valid"/>
    <x v="0"/>
    <n v="9"/>
    <x v="280"/>
    <n v="9873.81"/>
    <n v="7567.2115200000026"/>
    <n v="0.43387432962699546"/>
    <n v="0"/>
    <n v="0"/>
  </r>
  <r>
    <s v="ORD-2025-685236"/>
    <d v="2025-03-14T00:00:00"/>
    <x v="3"/>
    <s v="Q1-2025"/>
    <d v="2025-03-29T00:00:00"/>
    <s v="Valid"/>
    <n v="15"/>
    <d v="2025-03-29T00:00:00"/>
    <x v="1"/>
    <s v="Asia → Japan → Tokyo"/>
    <s v="Japan-2025-03"/>
    <x v="2"/>
    <s v="Tokyo"/>
    <s v="Non-Profit"/>
    <x v="4"/>
    <x v="10"/>
    <x v="2"/>
    <x v="281"/>
    <n v="1106.96"/>
    <n v="2726.62"/>
    <s v="Valid"/>
    <n v="2726.62"/>
    <s v="High"/>
    <n v="0.317"/>
    <s v="High Discount"/>
    <x v="33"/>
    <n v="7"/>
    <x v="281"/>
    <n v="7748.72"/>
    <n v="5611.7179999999998"/>
    <n v="0.42002500217432992"/>
    <n v="0"/>
    <n v="1"/>
  </r>
  <r>
    <s v="ORD-2023-274037"/>
    <d v="2023-08-15T00:00:00"/>
    <x v="25"/>
    <s v="Q3-2023"/>
    <d v="2023-08-25T00:00:00"/>
    <s v="Valid"/>
    <n v="10"/>
    <d v="2023-08-25T00:00:00"/>
    <x v="0"/>
    <s v="Africa → Kenya → Nairobi"/>
    <s v="Kenya-2023-08"/>
    <x v="0"/>
    <s v="Nairobi"/>
    <s v="Small Business"/>
    <x v="0"/>
    <x v="13"/>
    <x v="3"/>
    <x v="282"/>
    <n v="91.85"/>
    <n v="111.29"/>
    <s v="Valid"/>
    <n v="111.29"/>
    <s v="Low"/>
    <n v="0"/>
    <s v="Valid"/>
    <x v="5"/>
    <n v="6"/>
    <x v="282"/>
    <n v="551.09999999999991"/>
    <n v="116.6400000000001"/>
    <n v="0.17467876718483258"/>
    <n v="0"/>
    <n v="0"/>
  </r>
  <r>
    <s v="ORD-2025-983096"/>
    <d v="2025-05-17T00:00:00"/>
    <x v="8"/>
    <s v="Q2-2025"/>
    <d v="2025-05-28T00:00:00"/>
    <s v="Valid"/>
    <n v="11"/>
    <d v="2025-05-28T00:00:00"/>
    <x v="1"/>
    <s v="Asia → India → Bengaluru"/>
    <s v="India-2025-05"/>
    <x v="4"/>
    <s v="Bengaluru"/>
    <s v="Corporate"/>
    <x v="3"/>
    <x v="5"/>
    <x v="4"/>
    <x v="283"/>
    <n v="623.4"/>
    <n v="1100.0899999999999"/>
    <s v="Valid"/>
    <n v="1100.0899999999999"/>
    <s v="Medium"/>
    <n v="0.114"/>
    <s v="Valid"/>
    <x v="59"/>
    <n v="12"/>
    <x v="283"/>
    <n v="7480.7999999999993"/>
    <n v="4215.3568799999994"/>
    <n v="0.36040529579490388"/>
    <n v="0"/>
    <n v="0"/>
  </r>
  <r>
    <s v="ORD-2024-366010"/>
    <d v="2024-01-13T00:00:00"/>
    <x v="9"/>
    <s v="Q1-2024"/>
    <d v="2024-02-05T00:00:00"/>
    <s v="Valid"/>
    <n v="23"/>
    <d v="2024-02-05T00:00:00"/>
    <x v="3"/>
    <s v="Europe → Germany → Frankfurt"/>
    <s v="Germany-2024-01"/>
    <x v="6"/>
    <s v="Frankfurt"/>
    <s v="Education"/>
    <x v="4"/>
    <x v="5"/>
    <x v="4"/>
    <x v="284"/>
    <n v="1017.93"/>
    <n v="1529.14"/>
    <s v="Valid"/>
    <n v="1529.14"/>
    <s v="Medium"/>
    <n v="0.155"/>
    <s v="Valid"/>
    <x v="130"/>
    <n v="12"/>
    <x v="284"/>
    <n v="12215.16"/>
    <n v="3290.3196000000007"/>
    <n v="0.21220366508366503"/>
    <n v="0"/>
    <n v="0"/>
  </r>
  <r>
    <s v="ORD-2023-610470"/>
    <d v="2023-06-24T00:00:00"/>
    <x v="23"/>
    <s v="Q2-2023"/>
    <d v="2023-07-21T00:00:00"/>
    <s v="Valid"/>
    <n v="27"/>
    <d v="2023-07-21T00:00:00"/>
    <x v="1"/>
    <s v="Asia → Japan → Nagoya"/>
    <s v="Japan-2023-06"/>
    <x v="2"/>
    <s v="Nagoya"/>
    <s v="Consumer"/>
    <x v="2"/>
    <x v="1"/>
    <x v="3"/>
    <x v="285"/>
    <n v="554.76"/>
    <n v="728.69"/>
    <s v="Valid"/>
    <n v="728.69"/>
    <s v="Medium"/>
    <n v="0.22"/>
    <s v="Valid"/>
    <x v="96"/>
    <n v="7"/>
    <x v="285"/>
    <n v="3883.3199999999997"/>
    <n v="95.32740000000058"/>
    <n v="2.395975074343119E-2"/>
    <n v="0"/>
    <n v="1"/>
  </r>
  <r>
    <s v="ORD-2025-541048"/>
    <d v="2025-04-04T00:00:00"/>
    <x v="19"/>
    <s v="Q2-2025"/>
    <d v="2025-04-13T00:00:00"/>
    <s v="Valid"/>
    <n v="9"/>
    <d v="2025-04-13T00:00:00"/>
    <x v="3"/>
    <s v="Europe → Germany → Munich"/>
    <s v="Germany-2025-04"/>
    <x v="6"/>
    <s v="Munich"/>
    <s v="Consumer"/>
    <x v="2"/>
    <x v="9"/>
    <x v="3"/>
    <x v="286"/>
    <n v="7.02"/>
    <n v="6.28"/>
    <s v="Valid"/>
    <n v="6.28"/>
    <s v="Low"/>
    <n v="0.13400000000000001"/>
    <s v="Valid"/>
    <x v="60"/>
    <n v="14"/>
    <x v="286"/>
    <n v="98.28"/>
    <n v="-22.141279999999995"/>
    <n v="-0.29080184169106066"/>
    <n v="0"/>
    <n v="0"/>
  </r>
  <r>
    <s v="ORD-2024-862371"/>
    <d v="2024-09-07T00:00:00"/>
    <x v="29"/>
    <s v="Q3-2024"/>
    <d v="2024-09-07T00:00:00"/>
    <s v="Valid"/>
    <n v="0"/>
    <d v="2024-09-07T00:00:00"/>
    <x v="1"/>
    <s v="Asia → India → Mumbai"/>
    <s v="India-2024-09"/>
    <x v="4"/>
    <s v="Mumbai"/>
    <s v="Education"/>
    <x v="3"/>
    <x v="5"/>
    <x v="2"/>
    <x v="287"/>
    <n v="1066.6500000000001"/>
    <n v="2569.77"/>
    <s v="Valid"/>
    <n v="2569.77"/>
    <s v="High"/>
    <n v="0.13400000000000001"/>
    <s v="Valid"/>
    <x v="60"/>
    <n v="9"/>
    <x v="287"/>
    <n v="9599.85"/>
    <n v="10428.937380000001"/>
    <n v="0.52069739331368348"/>
    <n v="1"/>
    <n v="0"/>
  </r>
  <r>
    <s v="ORD-2024-277241"/>
    <d v="2024-01-28T00:00:00"/>
    <x v="9"/>
    <s v="Q1-2024"/>
    <d v="2024-01-30T00:00:00"/>
    <s v="Valid"/>
    <n v="2"/>
    <d v="2024-01-30T00:00:00"/>
    <x v="0"/>
    <s v="Africa → South Africa → Cape Town"/>
    <s v="South Africa-2024-01"/>
    <x v="11"/>
    <s v="Cape Town"/>
    <s v="Consumer"/>
    <x v="4"/>
    <x v="9"/>
    <x v="6"/>
    <x v="288"/>
    <n v="798.45"/>
    <n v="1592.02"/>
    <s v="Valid"/>
    <n v="1592.02"/>
    <s v="Medium"/>
    <n v="6.6000000000000003E-2"/>
    <s v="Valid"/>
    <x v="71"/>
    <n v="18"/>
    <x v="288"/>
    <n v="14372.1"/>
    <n v="12392.940239999998"/>
    <n v="0.46302714768494585"/>
    <n v="1"/>
    <n v="0"/>
  </r>
  <r>
    <s v="ORD-2023-369150"/>
    <d v="2023-07-18T00:00:00"/>
    <x v="24"/>
    <s v="Q3-2023"/>
    <d v="2023-08-10T00:00:00"/>
    <s v="Valid"/>
    <n v="23"/>
    <d v="2023-08-10T00:00:00"/>
    <x v="0"/>
    <s v="Africa → South Africa → Johannesburg"/>
    <s v="South Africa-2023-07"/>
    <x v="11"/>
    <s v="Johannesburg"/>
    <s v="Small Business"/>
    <x v="0"/>
    <x v="4"/>
    <x v="0"/>
    <x v="289"/>
    <n v="1271.56"/>
    <n v="995.47"/>
    <s v="Valid"/>
    <n v="995.47"/>
    <s v="Medium"/>
    <n v="0.192"/>
    <s v="Valid"/>
    <x v="97"/>
    <n v="13"/>
    <x v="289"/>
    <n v="16530.28"/>
    <n v="-6073.8631199999982"/>
    <n v="-0.58087423155607754"/>
    <n v="0"/>
    <n v="0"/>
  </r>
  <r>
    <s v="ORD-2025-922513"/>
    <d v="2025-08-28T00:00:00"/>
    <x v="28"/>
    <s v="Q3-2025"/>
    <d v="2025-08-26T00:00:00"/>
    <s v="Invalid RequiredDate"/>
    <n v="-2"/>
    <d v="2025-09-23T00:00:00"/>
    <x v="0"/>
    <s v="Africa → Nigeria → Port Harcourt"/>
    <s v="Nigeria-2025-08"/>
    <x v="1"/>
    <s v="Port Harcourt"/>
    <s v="Small Business"/>
    <x v="0"/>
    <x v="8"/>
    <x v="6"/>
    <x v="290"/>
    <n v="521.05999999999995"/>
    <n v="1240.31"/>
    <s v="Valid"/>
    <n v="1240.31"/>
    <s v="Medium"/>
    <n v="0.14599999999999999"/>
    <s v="Valid"/>
    <x v="34"/>
    <n v="18"/>
    <x v="290"/>
    <n v="9379.0799999999981"/>
    <n v="9686.9653199999993"/>
    <n v="0.50807417885650974"/>
    <n v="1"/>
    <n v="0"/>
  </r>
  <r>
    <s v="ORD-2025-752845"/>
    <d v="2025-03-30T00:00:00"/>
    <x v="3"/>
    <s v="Q1-2025"/>
    <d v="2025-04-07T00:00:00"/>
    <s v="Valid"/>
    <n v="8"/>
    <d v="2025-04-07T00:00:00"/>
    <x v="2"/>
    <s v="Americas → Brazil → São Paulo"/>
    <s v="Brazil-2025-03"/>
    <x v="5"/>
    <s v="São Paulo"/>
    <s v="Non-Profit"/>
    <x v="4"/>
    <x v="4"/>
    <x v="1"/>
    <x v="291"/>
    <n v="71.62"/>
    <n v="118.37"/>
    <s v="Valid"/>
    <n v="118.37"/>
    <s v="Low"/>
    <n v="0.156"/>
    <s v="Valid"/>
    <x v="159"/>
    <n v="11"/>
    <x v="291"/>
    <n v="787.82"/>
    <n v="311.12708000000009"/>
    <n v="0.28311379652603474"/>
    <n v="0"/>
    <n v="0"/>
  </r>
  <r>
    <s v="ORD-2023-667815"/>
    <d v="2023-10-21T00:00:00"/>
    <x v="32"/>
    <s v="Q4-2023"/>
    <d v="2023-11-09T00:00:00"/>
    <s v="Valid"/>
    <n v="19"/>
    <d v="2023-11-09T00:00:00"/>
    <x v="3"/>
    <s v="Europe → United Kingdom → London"/>
    <s v="United Kingdom-2023-10"/>
    <x v="8"/>
    <s v="London"/>
    <s v="Non-Profit"/>
    <x v="4"/>
    <x v="8"/>
    <x v="6"/>
    <x v="292"/>
    <n v="1142.48"/>
    <n v="2105.5300000000002"/>
    <s v="Valid"/>
    <n v="2105.5300000000002"/>
    <s v="High"/>
    <n v="0.20699999999999999"/>
    <s v="Valid"/>
    <x v="160"/>
    <n v="14"/>
    <x v="292"/>
    <n v="15994.720000000001"/>
    <n v="7380.8740600000019"/>
    <n v="0.31575129346680658"/>
    <n v="0"/>
    <n v="1"/>
  </r>
  <r>
    <s v="ORD-2023-375011"/>
    <d v="2023-08-23T00:00:00"/>
    <x v="25"/>
    <s v="Q3-2023"/>
    <d v="2023-09-22T00:00:00"/>
    <s v="Valid"/>
    <n v="30"/>
    <d v="2023-09-22T00:00:00"/>
    <x v="3"/>
    <s v="Europe → United Kingdom → London"/>
    <s v="United Kingdom-2023-08"/>
    <x v="8"/>
    <s v="London"/>
    <s v="Consumer"/>
    <x v="3"/>
    <x v="7"/>
    <x v="6"/>
    <x v="293"/>
    <n v="209.81"/>
    <n v="523"/>
    <s v="Valid"/>
    <n v="523"/>
    <s v="Low"/>
    <n v="5.8999999999999997E-2"/>
    <s v="Valid"/>
    <x v="161"/>
    <n v="15"/>
    <x v="293"/>
    <n v="3147.15"/>
    <n v="4234.9950000000008"/>
    <n v="0.57368082041195356"/>
    <n v="0"/>
    <n v="0"/>
  </r>
  <r>
    <s v="ORD-2025-487025"/>
    <d v="2025-04-11T00:00:00"/>
    <x v="19"/>
    <s v="Q2-2025"/>
    <d v="2025-05-04T00:00:00"/>
    <s v="Valid"/>
    <n v="23"/>
    <d v="2025-05-04T00:00:00"/>
    <x v="1"/>
    <s v="Asia → Japan → Osaka"/>
    <s v="Japan-2025-04"/>
    <x v="2"/>
    <s v="Osaka"/>
    <s v="Small Business"/>
    <x v="1"/>
    <x v="12"/>
    <x v="0"/>
    <x v="294"/>
    <n v="786.2"/>
    <n v="1075.3"/>
    <s v="Valid"/>
    <n v="1075.3"/>
    <s v="Medium"/>
    <n v="0.08"/>
    <s v="Valid"/>
    <x v="162"/>
    <n v="9"/>
    <x v="294"/>
    <n v="7075.8"/>
    <n v="1827.6839999999984"/>
    <n v="0.20527739478163815"/>
    <n v="0"/>
    <n v="0"/>
  </r>
  <r>
    <s v="ORD-2025-398335"/>
    <d v="2025-06-01T00:00:00"/>
    <x v="16"/>
    <s v="Q2-2025"/>
    <d v="2025-06-27T00:00:00"/>
    <s v="Valid"/>
    <n v="26"/>
    <d v="2025-06-27T00:00:00"/>
    <x v="3"/>
    <s v="Europe → Germany → Munich"/>
    <s v="Germany-2025-06"/>
    <x v="6"/>
    <s v="Munich"/>
    <s v="Consumer"/>
    <x v="3"/>
    <x v="6"/>
    <x v="4"/>
    <x v="295"/>
    <n v="1362.31"/>
    <n v="3294.57"/>
    <s v="Valid"/>
    <n v="3294.57"/>
    <s v="High"/>
    <n v="0.113"/>
    <s v="Valid"/>
    <x v="138"/>
    <n v="7"/>
    <x v="295"/>
    <n v="9536.17"/>
    <n v="10919.815130000001"/>
    <n v="0.5338200561157721"/>
    <n v="0"/>
    <n v="0"/>
  </r>
  <r>
    <s v="ORD-2024-792137"/>
    <d v="2024-03-02T00:00:00"/>
    <x v="0"/>
    <s v="Q1-2024"/>
    <d v="2024-03-16T00:00:00"/>
    <s v="Valid"/>
    <n v="14"/>
    <d v="2024-03-16T00:00:00"/>
    <x v="2"/>
    <s v="Americas → Canada → Vancouver"/>
    <s v="Canada-2024-03"/>
    <x v="3"/>
    <s v="Vancouver"/>
    <s v="Non-Profit"/>
    <x v="4"/>
    <x v="7"/>
    <x v="1"/>
    <x v="296"/>
    <n v="248.24"/>
    <n v="464.05"/>
    <s v="Valid"/>
    <n v="464.05"/>
    <s v="Low"/>
    <n v="0.16900000000000001"/>
    <s v="Valid"/>
    <x v="36"/>
    <n v="11"/>
    <x v="296"/>
    <n v="2730.6400000000003"/>
    <n v="1511.2410499999996"/>
    <n v="0.3562667203975462"/>
    <n v="0"/>
    <n v="0"/>
  </r>
  <r>
    <s v="ORD-2023-602648"/>
    <d v="2023-06-20T00:00:00"/>
    <x v="23"/>
    <s v="Q2-2023"/>
    <d v="2023-07-08T00:00:00"/>
    <s v="Valid"/>
    <n v="18"/>
    <d v="2023-07-08T00:00:00"/>
    <x v="2"/>
    <s v="Americas → USA → Austin"/>
    <s v="USA-2023-06"/>
    <x v="10"/>
    <s v="Austin"/>
    <s v="Non-Profit"/>
    <x v="4"/>
    <x v="9"/>
    <x v="5"/>
    <x v="297"/>
    <n v="337"/>
    <n v="511.03"/>
    <s v="Valid"/>
    <n v="511.03"/>
    <s v="Low"/>
    <n v="0.108"/>
    <s v="Valid"/>
    <x v="85"/>
    <n v="7"/>
    <x v="297"/>
    <n v="2359"/>
    <n v="831.8713200000002"/>
    <n v="0.26070349963219458"/>
    <n v="0"/>
    <n v="0"/>
  </r>
  <r>
    <s v="ORD-2024-207096"/>
    <d v="2024-03-26T00:00:00"/>
    <x v="0"/>
    <s v="Q1-2024"/>
    <d v="2024-04-05T00:00:00"/>
    <s v="Valid"/>
    <n v="10"/>
    <d v="2024-04-05T00:00:00"/>
    <x v="2"/>
    <s v="Americas → USA → Austin"/>
    <s v="USA-2024-03"/>
    <x v="10"/>
    <s v="Austin"/>
    <s v="Consumer"/>
    <x v="4"/>
    <x v="1"/>
    <x v="5"/>
    <x v="298"/>
    <n v="5.66"/>
    <n v="4.22"/>
    <s v="Valid"/>
    <n v="4.22"/>
    <s v="Low"/>
    <n v="0.11899999999999999"/>
    <s v="Valid"/>
    <x v="45"/>
    <n v="18"/>
    <x v="298"/>
    <n v="101.88"/>
    <n v="-34.959239999999994"/>
    <n v="-0.52239753403876454"/>
    <n v="0"/>
    <n v="0"/>
  </r>
  <r>
    <s v="ORD-2025-939953"/>
    <d v="2025-01-22T00:00:00"/>
    <x v="10"/>
    <s v="Q1-2025"/>
    <d v="2025-01-22T00:00:00"/>
    <s v="Valid"/>
    <n v="0"/>
    <d v="2025-01-22T00:00:00"/>
    <x v="3"/>
    <s v="Europe → France → Lyon"/>
    <s v="France-2025-01"/>
    <x v="7"/>
    <s v="Lyon"/>
    <s v="Small Business"/>
    <x v="1"/>
    <x v="5"/>
    <x v="6"/>
    <x v="299"/>
    <n v="591.72"/>
    <n v="577.24"/>
    <s v="Valid"/>
    <n v="577.24"/>
    <s v="Low"/>
    <n v="0"/>
    <s v="Valid"/>
    <x v="5"/>
    <n v="22"/>
    <x v="299"/>
    <n v="13017.84"/>
    <n v="-318.55999999999949"/>
    <n v="-2.5084886702238195E-2"/>
    <n v="1"/>
    <n v="0"/>
  </r>
  <r>
    <s v="ORD-2025-191328"/>
    <d v="2025-05-10T00:00:00"/>
    <x v="8"/>
    <s v="Q2-2025"/>
    <d v="2025-05-27T00:00:00"/>
    <s v="Valid"/>
    <n v="17"/>
    <d v="2025-05-27T00:00:00"/>
    <x v="2"/>
    <s v="Americas → Canada → Vancouver"/>
    <s v="Canada-2025-05"/>
    <x v="3"/>
    <s v="Vancouver"/>
    <s v="Education"/>
    <x v="4"/>
    <x v="0"/>
    <x v="0"/>
    <x v="300"/>
    <n v="862.89"/>
    <n v="1426.03"/>
    <s v="Valid"/>
    <n v="1426.03"/>
    <s v="Medium"/>
    <n v="5.6000000000000001E-2"/>
    <s v="Valid"/>
    <x v="120"/>
    <n v="19"/>
    <x v="300"/>
    <n v="16394.91"/>
    <n v="9182.3640799999994"/>
    <n v="0.35900479665188778"/>
    <n v="0"/>
    <n v="0"/>
  </r>
  <r>
    <s v="ORD-2023-166668"/>
    <d v="2023-10-05T00:00:00"/>
    <x v="32"/>
    <s v="Q4-2023"/>
    <d v="2023-10-31T00:00:00"/>
    <s v="Valid"/>
    <n v="26"/>
    <d v="2023-10-31T00:00:00"/>
    <x v="1"/>
    <s v="Asia → China → Shanghai"/>
    <s v="China-2023-10"/>
    <x v="9"/>
    <s v="Shanghai"/>
    <s v="Consumer"/>
    <x v="5"/>
    <x v="1"/>
    <x v="1"/>
    <x v="301"/>
    <n v="649.91"/>
    <n v="1360.12"/>
    <s v="Valid"/>
    <n v="1360.12"/>
    <s v="Medium"/>
    <n v="0.19400000000000001"/>
    <s v="Valid"/>
    <x v="7"/>
    <n v="9"/>
    <x v="301"/>
    <n v="5849.19"/>
    <n v="4017.1204799999987"/>
    <n v="0.40715528749506769"/>
    <n v="0"/>
    <n v="0"/>
  </r>
  <r>
    <s v="ORD-2023-594700"/>
    <d v="2023-07-18T00:00:00"/>
    <x v="24"/>
    <s v="Q3-2023"/>
    <d v="2023-07-22T00:00:00"/>
    <s v="Valid"/>
    <n v="4"/>
    <d v="2023-07-22T00:00:00"/>
    <x v="2"/>
    <s v="Americas → Brazil → São Paulo"/>
    <s v="Brazil-2023-07"/>
    <x v="5"/>
    <s v="São Paulo"/>
    <s v="Consumer"/>
    <x v="4"/>
    <x v="9"/>
    <x v="2"/>
    <x v="302"/>
    <n v="1269.55"/>
    <n v="2071.1"/>
    <s v="Valid"/>
    <n v="2071.1"/>
    <s v="High"/>
    <n v="0.129"/>
    <s v="Valid"/>
    <x v="31"/>
    <n v="22"/>
    <x v="302"/>
    <n v="27930.1"/>
    <n v="11756.318200000002"/>
    <n v="0.29623026549672354"/>
    <n v="1"/>
    <n v="0"/>
  </r>
  <r>
    <s v="ORD-2025-278048"/>
    <d v="2025-06-22T00:00:00"/>
    <x v="16"/>
    <s v="Q2-2025"/>
    <d v="2025-07-08T00:00:00"/>
    <s v="Valid"/>
    <n v="16"/>
    <d v="2025-07-08T00:00:00"/>
    <x v="3"/>
    <s v="Europe → United Kingdom → London"/>
    <s v="United Kingdom-2025-06"/>
    <x v="8"/>
    <s v="London"/>
    <s v="Education"/>
    <x v="4"/>
    <x v="8"/>
    <x v="3"/>
    <x v="303"/>
    <n v="892.73"/>
    <n v="979.84"/>
    <s v="Valid"/>
    <n v="979.84"/>
    <s v="Medium"/>
    <n v="0.17399999999999999"/>
    <s v="Valid"/>
    <x v="154"/>
    <n v="10"/>
    <x v="303"/>
    <n v="8927.2999999999993"/>
    <n v="-833.82159999999931"/>
    <n v="-0.10302388649112838"/>
    <n v="0"/>
    <n v="0"/>
  </r>
  <r>
    <s v="ORD-2024-878493"/>
    <d v="2024-06-19T00:00:00"/>
    <x v="17"/>
    <s v="Q2-2024"/>
    <d v="2024-06-20T00:00:00"/>
    <s v="Valid"/>
    <n v="1"/>
    <d v="2024-06-20T00:00:00"/>
    <x v="0"/>
    <s v="Africa → Kenya → Kisumu"/>
    <s v="Kenya-2024-06"/>
    <x v="0"/>
    <s v="Kisumu"/>
    <s v="Small Business"/>
    <x v="4"/>
    <x v="1"/>
    <x v="4"/>
    <x v="304"/>
    <n v="231.63"/>
    <n v="537.39"/>
    <s v="Valid"/>
    <n v="537.39"/>
    <s v="Low"/>
    <n v="0.08"/>
    <s v="Valid"/>
    <x v="162"/>
    <n v="12"/>
    <x v="304"/>
    <n v="2779.56"/>
    <n v="3153.2256000000002"/>
    <n v="0.53149158129024587"/>
    <n v="1"/>
    <n v="0"/>
  </r>
  <r>
    <s v="ORD-2025-138578"/>
    <d v="2025-04-09T00:00:00"/>
    <x v="19"/>
    <s v="Q2-2025"/>
    <d v="2025-04-12T00:00:00"/>
    <s v="Valid"/>
    <n v="3"/>
    <d v="2025-04-12T00:00:00"/>
    <x v="3"/>
    <s v="Europe → France → Lyon"/>
    <s v="France-2025-04"/>
    <x v="7"/>
    <s v="Lyon"/>
    <s v="Small Business"/>
    <x v="3"/>
    <x v="10"/>
    <x v="5"/>
    <x v="305"/>
    <n v="86.68"/>
    <n v="213.32"/>
    <s v="Valid"/>
    <n v="213.32"/>
    <s v="Low"/>
    <n v="3.7999999999999999E-2"/>
    <s v="Valid"/>
    <x v="16"/>
    <n v="8"/>
    <x v="305"/>
    <n v="693.44"/>
    <n v="948.27071999999976"/>
    <n v="0.57761133459614611"/>
    <n v="1"/>
    <n v="0"/>
  </r>
  <r>
    <s v="ORD-2025-944081"/>
    <d v="2025-03-25T00:00:00"/>
    <x v="3"/>
    <s v="Q1-2025"/>
    <d v="2025-03-26T00:00:00"/>
    <s v="Valid"/>
    <n v="1"/>
    <d v="2025-03-26T00:00:00"/>
    <x v="0"/>
    <s v="Africa → Nigeria → Lagos"/>
    <s v="Nigeria-2025-03"/>
    <x v="1"/>
    <s v="Lagos"/>
    <s v="Education"/>
    <x v="3"/>
    <x v="3"/>
    <x v="6"/>
    <x v="306"/>
    <n v="1450.43"/>
    <n v="1994.67"/>
    <s v="Valid"/>
    <n v="1994.67"/>
    <s v="High"/>
    <n v="0.1"/>
    <s v="Valid"/>
    <x v="163"/>
    <n v="24"/>
    <x v="306"/>
    <n v="34810.32"/>
    <n v="8274.5520000000033"/>
    <n v="0.19205237513529116"/>
    <n v="1"/>
    <n v="0"/>
  </r>
  <r>
    <s v="ORD-2025-364852"/>
    <d v="2025-05-18T00:00:00"/>
    <x v="8"/>
    <s v="Q2-2025"/>
    <d v="2025-06-09T00:00:00"/>
    <s v="Valid"/>
    <n v="22"/>
    <d v="2025-06-09T00:00:00"/>
    <x v="2"/>
    <s v="Americas → USA → New York"/>
    <s v="USA-2025-05"/>
    <x v="10"/>
    <s v="New York"/>
    <s v="Consumer"/>
    <x v="0"/>
    <x v="10"/>
    <x v="2"/>
    <x v="307"/>
    <n v="382.96"/>
    <n v="552.84"/>
    <s v="Valid"/>
    <n v="552.84"/>
    <s v="Low"/>
    <n v="0.17599999999999999"/>
    <s v="Valid"/>
    <x v="164"/>
    <n v="8"/>
    <x v="307"/>
    <n v="3063.68"/>
    <n v="580.64128000000073"/>
    <n v="0.15932768693763483"/>
    <n v="0"/>
    <n v="0"/>
  </r>
  <r>
    <s v="ORD-2025-415018"/>
    <d v="2025-01-22T00:00:00"/>
    <x v="10"/>
    <s v="Q1-2025"/>
    <d v="2025-02-04T00:00:00"/>
    <s v="Valid"/>
    <n v="13"/>
    <d v="2025-02-04T00:00:00"/>
    <x v="1"/>
    <s v="Asia → Japan → Tokyo"/>
    <s v="Japan-2025-01"/>
    <x v="2"/>
    <s v="Tokyo"/>
    <s v="Small Business"/>
    <x v="3"/>
    <x v="4"/>
    <x v="1"/>
    <x v="308"/>
    <n v="122.29"/>
    <n v="224.95"/>
    <s v="Valid"/>
    <n v="224.95"/>
    <s v="Low"/>
    <n v="0.153"/>
    <s v="Valid"/>
    <x v="124"/>
    <n v="28"/>
    <x v="308"/>
    <n v="3424.1200000000003"/>
    <n v="1910.7941999999989"/>
    <n v="0.3581677471026618"/>
    <n v="0"/>
    <n v="0"/>
  </r>
  <r>
    <s v="ORD-2023-884192"/>
    <d v="2023-01-10T00:00:00"/>
    <x v="5"/>
    <s v="Q1-2023"/>
    <d v="2023-01-29T00:00:00"/>
    <s v="Valid"/>
    <n v="19"/>
    <d v="2023-01-29T00:00:00"/>
    <x v="3"/>
    <s v="Europe → France → Lyon"/>
    <s v="France-2023-01"/>
    <x v="7"/>
    <s v="Lyon"/>
    <s v="Non-Profit"/>
    <x v="4"/>
    <x v="14"/>
    <x v="4"/>
    <x v="309"/>
    <n v="401.66"/>
    <n v="772.09"/>
    <s v="Valid"/>
    <n v="772.09"/>
    <s v="Medium"/>
    <n v="8.8999999999999996E-2"/>
    <s v="Valid"/>
    <x v="25"/>
    <n v="14"/>
    <x v="309"/>
    <n v="5623.2400000000007"/>
    <n v="4223.99586"/>
    <n v="0.42895244107619046"/>
    <n v="0"/>
    <n v="0"/>
  </r>
  <r>
    <s v="ORD-2024-165942"/>
    <d v="2024-12-29T00:00:00"/>
    <x v="6"/>
    <s v="Q4-2024"/>
    <d v="2025-01-12T00:00:00"/>
    <s v="Valid"/>
    <n v="14"/>
    <d v="2025-01-12T00:00:00"/>
    <x v="3"/>
    <s v="Europe → United Kingdom → Manchester"/>
    <s v="United Kingdom-2024-12"/>
    <x v="8"/>
    <s v="Manchester"/>
    <s v="Corporate"/>
    <x v="4"/>
    <x v="5"/>
    <x v="5"/>
    <x v="310"/>
    <n v="1399.72"/>
    <n v="3149.21"/>
    <s v="Valid"/>
    <n v="3149.21"/>
    <s v="High"/>
    <n v="0.185"/>
    <s v="Valid"/>
    <x v="57"/>
    <n v="12"/>
    <x v="310"/>
    <n v="16796.64"/>
    <n v="14002.633800000003"/>
    <n v="0.45464168703873797"/>
    <n v="0"/>
    <n v="0"/>
  </r>
  <r>
    <s v="ORD-2024-403664"/>
    <d v="2024-05-23T00:00:00"/>
    <x v="7"/>
    <s v="Q2-2024"/>
    <d v="2024-06-06T00:00:00"/>
    <s v="Valid"/>
    <n v="14"/>
    <d v="2024-06-06T00:00:00"/>
    <x v="2"/>
    <s v="Americas → Brazil → Rio de Janeiro"/>
    <s v="Brazil-2024-05"/>
    <x v="5"/>
    <s v="Rio de Janeiro"/>
    <s v="Non-Profit"/>
    <x v="1"/>
    <x v="2"/>
    <x v="2"/>
    <x v="311"/>
    <n v="51.13"/>
    <n v="57.53"/>
    <s v="Valid"/>
    <n v="57.53"/>
    <s v="Low"/>
    <n v="4.4999999999999998E-2"/>
    <s v="Valid"/>
    <x v="106"/>
    <n v="16"/>
    <x v="311"/>
    <n v="818.08"/>
    <n v="60.978399999999965"/>
    <n v="6.9367859973808302E-2"/>
    <n v="0"/>
    <n v="0"/>
  </r>
  <r>
    <s v="ORD-2023-890605"/>
    <d v="2023-06-24T00:00:00"/>
    <x v="23"/>
    <s v="Q2-2023"/>
    <d v="2023-06-22T00:00:00"/>
    <s v="Invalid RequiredDate"/>
    <n v="-2"/>
    <d v="2023-07-20T00:00:00"/>
    <x v="2"/>
    <s v="Americas → Canada → Toronto"/>
    <s v="Canada-2023-06"/>
    <x v="3"/>
    <s v="Toronto"/>
    <s v="Non-Profit"/>
    <x v="0"/>
    <x v="12"/>
    <x v="6"/>
    <x v="312"/>
    <n v="471.42"/>
    <n v="824.81"/>
    <s v="Valid"/>
    <n v="824.81"/>
    <s v="Medium"/>
    <n v="8.7999999999999995E-2"/>
    <s v="Valid"/>
    <x v="165"/>
    <n v="15"/>
    <x v="312"/>
    <n v="7071.3"/>
    <n v="4212.1007999999993"/>
    <n v="0.37330064531608231"/>
    <n v="1"/>
    <n v="0"/>
  </r>
  <r>
    <s v="ORD-2024-925626"/>
    <d v="2024-11-04T00:00:00"/>
    <x v="18"/>
    <s v="Q4-2024"/>
    <d v="2024-11-05T00:00:00"/>
    <s v="Valid"/>
    <n v="1"/>
    <d v="2024-11-05T00:00:00"/>
    <x v="3"/>
    <s v="Europe → United Kingdom → London"/>
    <s v="United Kingdom-2024-11"/>
    <x v="8"/>
    <s v="London"/>
    <s v="Corporate"/>
    <x v="0"/>
    <x v="12"/>
    <x v="1"/>
    <x v="313"/>
    <n v="840.68"/>
    <n v="1493.53"/>
    <s v="Valid"/>
    <n v="1493.53"/>
    <s v="Medium"/>
    <n v="0"/>
    <s v="Valid"/>
    <x v="5"/>
    <n v="27"/>
    <x v="313"/>
    <n v="22698.359999999997"/>
    <n v="17626.95"/>
    <n v="0.43711877230454027"/>
    <n v="1"/>
    <n v="0"/>
  </r>
  <r>
    <s v="ORD-2024-427031"/>
    <d v="2024-06-08T00:00:00"/>
    <x v="17"/>
    <s v="Q2-2024"/>
    <d v="2024-06-24T00:00:00"/>
    <s v="Valid"/>
    <n v="16"/>
    <d v="2024-06-24T00:00:00"/>
    <x v="0"/>
    <s v="Africa → South Africa → Durban"/>
    <s v="South Africa-2024-06"/>
    <x v="11"/>
    <s v="Durban"/>
    <s v="Education"/>
    <x v="3"/>
    <x v="10"/>
    <x v="5"/>
    <x v="314"/>
    <n v="597.85"/>
    <n v="741.92"/>
    <s v="Valid"/>
    <n v="741.92"/>
    <s v="Medium"/>
    <n v="3.1E-2"/>
    <s v="Valid"/>
    <x v="8"/>
    <n v="7"/>
    <x v="314"/>
    <n v="4184.95"/>
    <n v="847.49335999999948"/>
    <n v="0.16840594108544515"/>
    <n v="0"/>
    <n v="0"/>
  </r>
  <r>
    <s v="ORD-2025-231184"/>
    <d v="2025-06-01T00:00:00"/>
    <x v="16"/>
    <s v="Q2-2025"/>
    <d v="2025-06-06T00:00:00"/>
    <s v="Valid"/>
    <n v="5"/>
    <d v="2025-06-06T00:00:00"/>
    <x v="3"/>
    <s v="Europe → France → Paris"/>
    <s v="France-2025-06"/>
    <x v="7"/>
    <s v="Paris"/>
    <s v="Consumer"/>
    <x v="3"/>
    <x v="3"/>
    <x v="0"/>
    <x v="315"/>
    <n v="379.45"/>
    <n v="742.23"/>
    <s v="Valid"/>
    <n v="742.23"/>
    <s v="Medium"/>
    <n v="0.09"/>
    <s v="Valid"/>
    <x v="166"/>
    <n v="13"/>
    <x v="315"/>
    <n v="4932.8499999999995"/>
    <n v="3847.7309000000014"/>
    <n v="0.43820915083192286"/>
    <n v="1"/>
    <n v="0"/>
  </r>
  <r>
    <s v="ORD-2023-363031"/>
    <d v="2023-05-06T00:00:00"/>
    <x v="15"/>
    <s v="Q2-2023"/>
    <d v="2023-05-14T00:00:00"/>
    <s v="Valid"/>
    <n v="8"/>
    <d v="2023-05-14T00:00:00"/>
    <x v="1"/>
    <s v="Asia → Japan → Osaka"/>
    <s v="Japan-2023-05"/>
    <x v="2"/>
    <s v="Osaka"/>
    <s v="Enterprise"/>
    <x v="2"/>
    <x v="5"/>
    <x v="3"/>
    <x v="316"/>
    <n v="291.18"/>
    <n v="479.54"/>
    <s v="Valid"/>
    <n v="479.54"/>
    <s v="Low"/>
    <n v="0.14099999999999999"/>
    <s v="Valid"/>
    <x v="167"/>
    <n v="22"/>
    <x v="316"/>
    <n v="6405.96"/>
    <n v="2656.3869199999999"/>
    <n v="0.29312350801066001"/>
    <n v="0"/>
    <n v="0"/>
  </r>
  <r>
    <s v="ORD-2023-619570"/>
    <d v="2023-11-14T00:00:00"/>
    <x v="30"/>
    <s v="Q4-2023"/>
    <d v="2023-11-30T00:00:00"/>
    <s v="Valid"/>
    <n v="16"/>
    <d v="2023-11-30T00:00:00"/>
    <x v="2"/>
    <s v="Americas → Brazil → São Paulo"/>
    <s v="Brazil-2023-11"/>
    <x v="5"/>
    <s v="São Paulo"/>
    <s v="Enterprise"/>
    <x v="4"/>
    <x v="11"/>
    <x v="2"/>
    <x v="317"/>
    <n v="1017.92"/>
    <n v="1175.25"/>
    <s v="Valid"/>
    <n v="1175.25"/>
    <s v="Medium"/>
    <n v="7.4999999999999997E-2"/>
    <s v="Valid"/>
    <x v="43"/>
    <n v="15"/>
    <x v="317"/>
    <n v="15268.8"/>
    <n v="1037.7937500000007"/>
    <n v="6.3642583234159542E-2"/>
    <n v="0"/>
    <n v="0"/>
  </r>
  <r>
    <s v="ORD-2025-861401"/>
    <d v="2025-04-01T00:00:00"/>
    <x v="19"/>
    <s v="Q2-2025"/>
    <d v="2025-04-27T00:00:00"/>
    <s v="Valid"/>
    <n v="26"/>
    <d v="2025-04-27T00:00:00"/>
    <x v="2"/>
    <s v="Americas → USA → San Francisco"/>
    <s v="USA-2025-04"/>
    <x v="10"/>
    <s v="San Francisco"/>
    <s v="Corporate"/>
    <x v="4"/>
    <x v="2"/>
    <x v="5"/>
    <x v="318"/>
    <n v="156.55000000000001"/>
    <n v="227.45"/>
    <s v="Valid"/>
    <n v="227.45"/>
    <s v="Low"/>
    <n v="1.4E-2"/>
    <s v="Valid"/>
    <x v="168"/>
    <n v="13"/>
    <x v="318"/>
    <n v="2035.15"/>
    <n v="880.30409999999983"/>
    <n v="0.3019440779396938"/>
    <n v="0"/>
    <n v="0"/>
  </r>
  <r>
    <s v="ORD-2023-835010"/>
    <d v="2023-03-23T00:00:00"/>
    <x v="22"/>
    <s v="Q1-2023"/>
    <d v="2023-04-15T00:00:00"/>
    <s v="Valid"/>
    <n v="23"/>
    <d v="2023-04-15T00:00:00"/>
    <x v="0"/>
    <s v="Africa → Kenya → Mombasa"/>
    <s v="Kenya-2023-03"/>
    <x v="0"/>
    <s v="Mombasa"/>
    <s v="Small Business"/>
    <x v="0"/>
    <x v="0"/>
    <x v="6"/>
    <x v="319"/>
    <n v="875.36"/>
    <n v="1178.6199999999999"/>
    <s v="Valid"/>
    <n v="1178.6199999999999"/>
    <s v="Medium"/>
    <n v="0.151"/>
    <s v="Valid"/>
    <x v="101"/>
    <n v="53"/>
    <x v="319"/>
    <n v="46394.080000000002"/>
    <n v="6640.2841399999888"/>
    <n v="0.12520719815685888"/>
    <n v="0"/>
    <n v="0"/>
  </r>
  <r>
    <s v="ORD-2024-819979"/>
    <d v="2024-05-28T00:00:00"/>
    <x v="7"/>
    <s v="Q2-2024"/>
    <d v="2024-06-18T00:00:00"/>
    <s v="Valid"/>
    <n v="21"/>
    <d v="2024-06-18T00:00:00"/>
    <x v="3"/>
    <s v="Europe → Germany → Frankfurt"/>
    <s v="Germany-2024-05"/>
    <x v="6"/>
    <s v="Frankfurt"/>
    <s v="Small Business"/>
    <x v="1"/>
    <x v="6"/>
    <x v="3"/>
    <x v="320"/>
    <n v="986.85"/>
    <n v="2422.1"/>
    <s v="Valid"/>
    <n v="2422.1"/>
    <s v="High"/>
    <n v="7.5999999999999998E-2"/>
    <s v="Valid"/>
    <x v="169"/>
    <n v="10"/>
    <x v="320"/>
    <n v="9868.5"/>
    <n v="12511.704000000002"/>
    <n v="0.55905227673527913"/>
    <n v="0"/>
    <n v="0"/>
  </r>
  <r>
    <s v="ORD-2024-719055"/>
    <d v="2024-01-02T00:00:00"/>
    <x v="9"/>
    <s v="Q1-2024"/>
    <d v="2024-01-01T00:00:00"/>
    <s v="Invalid RequiredDate"/>
    <n v="-1"/>
    <d v="2024-01-28T00:00:00"/>
    <x v="2"/>
    <s v="Americas → USA → Chicago"/>
    <s v="USA-2024-01"/>
    <x v="10"/>
    <s v="Chicago"/>
    <s v="Education"/>
    <x v="2"/>
    <x v="5"/>
    <x v="2"/>
    <x v="321"/>
    <n v="404.77"/>
    <n v="433.88"/>
    <s v="Valid"/>
    <n v="433.88"/>
    <s v="Low"/>
    <n v="0.215"/>
    <s v="Valid"/>
    <x v="65"/>
    <n v="22"/>
    <x v="321"/>
    <n v="8904.9399999999987"/>
    <n v="-1411.8323999999975"/>
    <n v="-0.18841747314558746"/>
    <n v="1"/>
    <n v="1"/>
  </r>
  <r>
    <s v="ORD-2023-888245"/>
    <d v="2023-02-28T00:00:00"/>
    <x v="2"/>
    <s v="Q1-2023"/>
    <d v="2023-02-27T00:00:00"/>
    <s v="Invalid RequiredDate"/>
    <n v="-1"/>
    <d v="2023-03-26T00:00:00"/>
    <x v="3"/>
    <s v="Europe → France → Marseille"/>
    <s v="France-2023-02"/>
    <x v="7"/>
    <s v="Marseille"/>
    <s v="Corporate"/>
    <x v="0"/>
    <x v="11"/>
    <x v="2"/>
    <x v="322"/>
    <n v="1299.81"/>
    <n v="3149.13"/>
    <s v="Valid"/>
    <n v="3149.13"/>
    <s v="High"/>
    <n v="0.10299999999999999"/>
    <s v="Valid"/>
    <x v="170"/>
    <n v="14"/>
    <x v="322"/>
    <n v="18197.34"/>
    <n v="21349.434539999998"/>
    <n v="0.53985273864511729"/>
    <n v="1"/>
    <n v="0"/>
  </r>
  <r>
    <s v="ORD-2024-206121"/>
    <d v="2024-02-18T00:00:00"/>
    <x v="31"/>
    <s v="Q1-2024"/>
    <d v="2024-03-11T00:00:00"/>
    <s v="Valid"/>
    <n v="22"/>
    <d v="2024-03-11T00:00:00"/>
    <x v="2"/>
    <s v="Americas → Brazil → São Paulo"/>
    <s v="Brazil-2024-02"/>
    <x v="5"/>
    <s v="São Paulo"/>
    <s v="Consumer"/>
    <x v="1"/>
    <x v="8"/>
    <x v="0"/>
    <x v="323"/>
    <n v="80.48"/>
    <n v="65.650000000000006"/>
    <s v="Valid"/>
    <n v="65.650000000000006"/>
    <s v="Low"/>
    <n v="0.17599999999999999"/>
    <s v="Valid"/>
    <x v="164"/>
    <n v="13"/>
    <x v="323"/>
    <n v="1046.24"/>
    <n v="-342.99719999999991"/>
    <n v="-0.48773652570634191"/>
    <n v="0"/>
    <n v="0"/>
  </r>
  <r>
    <s v="ORD-2024-500890"/>
    <d v="2024-09-09T00:00:00"/>
    <x v="29"/>
    <s v="Q3-2024"/>
    <d v="2024-10-08T00:00:00"/>
    <s v="Valid"/>
    <n v="29"/>
    <d v="2024-10-08T00:00:00"/>
    <x v="2"/>
    <s v="Americas → Brazil → São Paulo"/>
    <s v="Brazil-2024-09"/>
    <x v="5"/>
    <s v="São Paulo"/>
    <s v="Education"/>
    <x v="4"/>
    <x v="1"/>
    <x v="0"/>
    <x v="324"/>
    <n v="1010.33"/>
    <n v="2492.14"/>
    <s v="Valid"/>
    <n v="2492.14"/>
    <s v="High"/>
    <n v="5.0999999999999997E-2"/>
    <s v="Valid"/>
    <x v="129"/>
    <n v="11"/>
    <x v="324"/>
    <n v="11113.630000000001"/>
    <n v="14901.819459999995"/>
    <n v="0.57280653493656752"/>
    <n v="0"/>
    <n v="0"/>
  </r>
  <r>
    <s v="ORD-2023-144816"/>
    <d v="2023-05-07T00:00:00"/>
    <x v="15"/>
    <s v="Q2-2023"/>
    <d v="2023-05-29T00:00:00"/>
    <s v="Valid"/>
    <n v="22"/>
    <d v="2023-05-29T00:00:00"/>
    <x v="0"/>
    <s v="Africa → South Africa → Durban"/>
    <s v="South Africa-2023-05"/>
    <x v="11"/>
    <s v="Durban"/>
    <s v="Education"/>
    <x v="3"/>
    <x v="11"/>
    <x v="6"/>
    <x v="325"/>
    <n v="653.86"/>
    <n v="931.84"/>
    <s v="Valid"/>
    <n v="931.84"/>
    <s v="Medium"/>
    <n v="0.121"/>
    <s v="Valid"/>
    <x v="171"/>
    <n v="12"/>
    <x v="325"/>
    <n v="7846.32"/>
    <n v="1982.7283200000002"/>
    <n v="0.20172129136506273"/>
    <n v="0"/>
    <n v="0"/>
  </r>
  <r>
    <s v="ORD-2024-153053"/>
    <d v="2024-01-12T00:00:00"/>
    <x v="9"/>
    <s v="Q1-2024"/>
    <d v="2024-01-29T00:00:00"/>
    <s v="Valid"/>
    <n v="17"/>
    <d v="2024-01-29T00:00:00"/>
    <x v="1"/>
    <s v="Asia → India → Hyderabad"/>
    <s v="India-2024-01"/>
    <x v="4"/>
    <s v="Hyderabad"/>
    <s v="Small Business"/>
    <x v="4"/>
    <x v="5"/>
    <x v="0"/>
    <x v="326"/>
    <n v="310.02"/>
    <n v="619.51"/>
    <s v="Valid"/>
    <n v="619.51"/>
    <s v="Medium"/>
    <n v="4.2000000000000003E-2"/>
    <s v="Valid"/>
    <x v="172"/>
    <n v="4"/>
    <x v="326"/>
    <n v="1240.08"/>
    <n v="1133.8823200000002"/>
    <n v="0.47763282106347843"/>
    <n v="0"/>
    <n v="0"/>
  </r>
  <r>
    <s v="ORD-2023-536542"/>
    <d v="2023-06-10T00:00:00"/>
    <x v="23"/>
    <s v="Q2-2023"/>
    <d v="2023-06-18T00:00:00"/>
    <s v="Valid"/>
    <n v="8"/>
    <d v="2023-06-18T00:00:00"/>
    <x v="0"/>
    <s v="Africa → Kenya → Nakuru"/>
    <s v="Kenya-2023-06"/>
    <x v="0"/>
    <s v="Nakuru"/>
    <s v="Enterprise"/>
    <x v="4"/>
    <x v="10"/>
    <x v="3"/>
    <x v="327"/>
    <n v="894.23"/>
    <n v="1421.55"/>
    <s v="Valid"/>
    <n v="1421.55"/>
    <s v="Medium"/>
    <n v="0.109"/>
    <s v="Valid"/>
    <x v="14"/>
    <n v="3"/>
    <x v="327"/>
    <n v="2682.69"/>
    <n v="1117.1131499999997"/>
    <n v="0.29399237431549574"/>
    <n v="0"/>
    <n v="0"/>
  </r>
  <r>
    <s v="ORD-2025-779530"/>
    <d v="2025-05-19T00:00:00"/>
    <x v="8"/>
    <s v="Q2-2025"/>
    <d v="2025-05-17T00:00:00"/>
    <s v="Invalid RequiredDate"/>
    <n v="-2"/>
    <d v="2025-06-14T00:00:00"/>
    <x v="2"/>
    <s v="Americas → Brazil → São Paulo"/>
    <s v="Brazil-2025-05"/>
    <x v="5"/>
    <s v="São Paulo"/>
    <s v="Small Business"/>
    <x v="3"/>
    <x v="4"/>
    <x v="5"/>
    <x v="328"/>
    <n v="383.77"/>
    <n v="952.56"/>
    <s v="Valid"/>
    <n v="952.56"/>
    <s v="Medium"/>
    <n v="0.34599999999999997"/>
    <s v="High Discount"/>
    <x v="33"/>
    <n v="10"/>
    <x v="328"/>
    <n v="3837.7"/>
    <n v="2830.2199999999984"/>
    <n v="0.42445320279787385"/>
    <n v="1"/>
    <n v="1"/>
  </r>
  <r>
    <s v="ORD-2023-163610"/>
    <d v="2023-10-22T00:00:00"/>
    <x v="32"/>
    <s v="Q4-2023"/>
    <d v="2023-11-16T00:00:00"/>
    <s v="Valid"/>
    <n v="25"/>
    <d v="2023-11-16T00:00:00"/>
    <x v="2"/>
    <s v="Americas → Canada → Toronto"/>
    <s v="Canada-2023-10"/>
    <x v="3"/>
    <s v="Toronto"/>
    <s v="Small Business"/>
    <x v="2"/>
    <x v="2"/>
    <x v="4"/>
    <x v="329"/>
    <n v="1373.31"/>
    <n v="3154.14"/>
    <s v="Valid"/>
    <n v="3154.14"/>
    <s v="High"/>
    <n v="0.2"/>
    <s v="Valid"/>
    <x v="47"/>
    <n v="11"/>
    <x v="329"/>
    <n v="15106.41"/>
    <n v="12650.022000000001"/>
    <n v="0.45575101295440279"/>
    <n v="0"/>
    <n v="0"/>
  </r>
  <r>
    <s v="ORD-2025-653781"/>
    <d v="2025-01-11T00:00:00"/>
    <x v="10"/>
    <s v="Q1-2025"/>
    <d v="2025-01-23T00:00:00"/>
    <s v="Valid"/>
    <n v="12"/>
    <d v="2025-01-23T00:00:00"/>
    <x v="2"/>
    <s v="Americas → USA → Austin"/>
    <s v="USA-2025-01"/>
    <x v="10"/>
    <s v="Austin"/>
    <s v="Consumer"/>
    <x v="3"/>
    <x v="10"/>
    <x v="3"/>
    <x v="330"/>
    <n v="100.69"/>
    <n v="226.14"/>
    <s v="Valid"/>
    <n v="226.14"/>
    <s v="Low"/>
    <n v="6.5000000000000002E-2"/>
    <s v="Valid"/>
    <x v="173"/>
    <n v="12"/>
    <x v="330"/>
    <n v="1208.28"/>
    <n v="1329.0108000000002"/>
    <n v="0.52379128162999689"/>
    <n v="0"/>
    <n v="0"/>
  </r>
  <r>
    <s v="ORD-2025-737787"/>
    <d v="2025-09-14T00:00:00"/>
    <x v="11"/>
    <s v="Q3-2025"/>
    <d v="2025-09-26T00:00:00"/>
    <s v="Valid"/>
    <n v="12"/>
    <d v="2025-09-26T00:00:00"/>
    <x v="3"/>
    <s v="Europe → United Kingdom → London"/>
    <s v="United Kingdom-2025-09"/>
    <x v="8"/>
    <s v="London"/>
    <s v="Small Business"/>
    <x v="4"/>
    <x v="13"/>
    <x v="2"/>
    <x v="331"/>
    <n v="425.15"/>
    <n v="885.92"/>
    <s v="Valid"/>
    <n v="885.92"/>
    <s v="Medium"/>
    <n v="0.23899999999999999"/>
    <s v="Valid"/>
    <x v="174"/>
    <n v="13"/>
    <x v="331"/>
    <n v="5526.95"/>
    <n v="3237.4565599999996"/>
    <n v="0.3693868532725848"/>
    <n v="0"/>
    <n v="1"/>
  </r>
  <r>
    <s v="ORD-2023-944052"/>
    <d v="2023-08-30T00:00:00"/>
    <x v="25"/>
    <s v="Q3-2023"/>
    <d v="2023-09-03T00:00:00"/>
    <s v="Valid"/>
    <n v="4"/>
    <d v="2023-09-03T00:00:00"/>
    <x v="1"/>
    <s v="Asia → India → Delhi"/>
    <s v="India-2023-08"/>
    <x v="4"/>
    <s v="Delhi"/>
    <s v="Small Business"/>
    <x v="2"/>
    <x v="4"/>
    <x v="6"/>
    <x v="332"/>
    <n v="1082.25"/>
    <n v="2433.34"/>
    <s v="Valid"/>
    <n v="2433.34"/>
    <s v="High"/>
    <n v="0.27"/>
    <s v="Valid"/>
    <x v="175"/>
    <n v="4"/>
    <x v="332"/>
    <n v="4329"/>
    <n v="2776.3528000000006"/>
    <n v="0.3907410199251472"/>
    <n v="1"/>
    <n v="1"/>
  </r>
  <r>
    <s v="ORD-2023-181257"/>
    <d v="2023-11-15T00:00:00"/>
    <x v="30"/>
    <s v="Q4-2023"/>
    <d v="2023-12-06T00:00:00"/>
    <s v="Valid"/>
    <n v="21"/>
    <d v="2023-12-06T00:00:00"/>
    <x v="3"/>
    <s v="Europe → United Kingdom → Manchester"/>
    <s v="United Kingdom-2023-11"/>
    <x v="8"/>
    <s v="Manchester"/>
    <s v="Education"/>
    <x v="4"/>
    <x v="10"/>
    <x v="6"/>
    <x v="333"/>
    <n v="1184.99"/>
    <n v="1154.3399999999999"/>
    <s v="Valid"/>
    <n v="1154.3399999999999"/>
    <s v="Medium"/>
    <n v="2.8000000000000001E-2"/>
    <s v="Valid"/>
    <x v="176"/>
    <n v="5"/>
    <x v="333"/>
    <n v="5924.95"/>
    <n v="-314.85760000000028"/>
    <n v="-5.6123424990290764E-2"/>
    <n v="0"/>
    <n v="0"/>
  </r>
  <r>
    <s v="ORD-2025-323492"/>
    <d v="2025-04-27T00:00:00"/>
    <x v="19"/>
    <s v="Q2-2025"/>
    <d v="2025-05-27T00:00:00"/>
    <s v="Valid"/>
    <n v="30"/>
    <d v="2025-05-27T00:00:00"/>
    <x v="1"/>
    <s v="Asia → India → unknown"/>
    <s v="India-2025-04"/>
    <x v="4"/>
    <s v="unknown"/>
    <s v="Enterprise"/>
    <x v="2"/>
    <x v="10"/>
    <x v="3"/>
    <x v="334"/>
    <n v="481.32"/>
    <n v="1135.99"/>
    <s v="Valid"/>
    <n v="1135.99"/>
    <s v="Medium"/>
    <n v="0.14499999999999999"/>
    <s v="Valid"/>
    <x v="177"/>
    <n v="5"/>
    <x v="334"/>
    <n v="2406.6"/>
    <n v="2449.7572500000001"/>
    <n v="0.50444337677175621"/>
    <n v="0"/>
    <n v="0"/>
  </r>
  <r>
    <s v="ORD-2024-332076"/>
    <d v="2024-04-09T00:00:00"/>
    <x v="20"/>
    <s v="Q2-2024"/>
    <d v="2024-04-18T00:00:00"/>
    <s v="Valid"/>
    <n v="9"/>
    <d v="2024-04-18T00:00:00"/>
    <x v="3"/>
    <s v="Europe → France → Lyon"/>
    <s v="France-2024-04"/>
    <x v="7"/>
    <s v="Lyon"/>
    <s v="Consumer"/>
    <x v="1"/>
    <x v="6"/>
    <x v="1"/>
    <x v="335"/>
    <n v="1288.8499999999999"/>
    <n v="2751.84"/>
    <s v="Valid"/>
    <n v="2751.84"/>
    <s v="High"/>
    <n v="0.158"/>
    <s v="Valid"/>
    <x v="178"/>
    <n v="7"/>
    <x v="335"/>
    <n v="9021.9499999999989"/>
    <n v="7197.3949600000014"/>
    <n v="0.44375373837538756"/>
    <n v="0"/>
    <n v="0"/>
  </r>
  <r>
    <s v="ORD-2024-571797"/>
    <d v="2024-07-11T00:00:00"/>
    <x v="14"/>
    <s v="Q3-2024"/>
    <d v="2024-07-31T00:00:00"/>
    <s v="Valid"/>
    <n v="20"/>
    <d v="2024-07-31T00:00:00"/>
    <x v="1"/>
    <s v="Asia → China → Shenzhen"/>
    <s v="China-2024-07"/>
    <x v="9"/>
    <s v="Shenzhen"/>
    <s v="Consumer"/>
    <x v="1"/>
    <x v="3"/>
    <x v="3"/>
    <x v="336"/>
    <n v="647.26"/>
    <n v="1374.72"/>
    <s v="Valid"/>
    <n v="1374.72"/>
    <s v="Medium"/>
    <n v="6.6000000000000003E-2"/>
    <s v="Valid"/>
    <x v="71"/>
    <n v="22"/>
    <x v="336"/>
    <n v="14239.72"/>
    <n v="14008.02656"/>
    <n v="0.49589890401508901"/>
    <n v="0"/>
    <n v="0"/>
  </r>
  <r>
    <s v="ORD-2024-129345"/>
    <d v="2024-02-18T00:00:00"/>
    <x v="31"/>
    <s v="Q1-2024"/>
    <d v="2024-03-03T00:00:00"/>
    <s v="Valid"/>
    <n v="14"/>
    <d v="2024-03-03T00:00:00"/>
    <x v="2"/>
    <s v="Americas → Brazil → unknown"/>
    <s v="Brazil-2024-02"/>
    <x v="5"/>
    <s v="unknown"/>
    <s v="Enterprise"/>
    <x v="3"/>
    <x v="8"/>
    <x v="1"/>
    <x v="337"/>
    <n v="624.23"/>
    <n v="1318.37"/>
    <s v="Valid"/>
    <n v="1318.37"/>
    <s v="Medium"/>
    <n v="0.21"/>
    <s v="Valid"/>
    <x v="179"/>
    <n v="37"/>
    <x v="337"/>
    <n v="23096.510000000002"/>
    <n v="15439.445099999997"/>
    <n v="0.40065038118128793"/>
    <n v="0"/>
    <n v="1"/>
  </r>
  <r>
    <s v="ORD-2023-660608"/>
    <d v="2023-07-25T00:00:00"/>
    <x v="24"/>
    <s v="Q3-2023"/>
    <d v="2023-08-10T00:00:00"/>
    <s v="Valid"/>
    <n v="16"/>
    <d v="2023-08-10T00:00:00"/>
    <x v="0"/>
    <s v="Africa → Nigeria → Port Harcourt"/>
    <s v="Nigeria-2023-07"/>
    <x v="1"/>
    <s v="Port Harcourt"/>
    <s v="Corporate"/>
    <x v="3"/>
    <x v="2"/>
    <x v="6"/>
    <x v="338"/>
    <n v="506.83"/>
    <n v="441.74"/>
    <s v="Valid"/>
    <n v="441.74"/>
    <s v="Low"/>
    <n v="0.24"/>
    <s v="Valid"/>
    <x v="180"/>
    <n v="9"/>
    <x v="338"/>
    <n v="4561.47"/>
    <n v="-1539.9684000000002"/>
    <n v="-0.50966989393618067"/>
    <n v="0"/>
    <n v="1"/>
  </r>
  <r>
    <s v="ORD-2023-825084"/>
    <d v="2023-07-14T00:00:00"/>
    <x v="24"/>
    <s v="Q3-2023"/>
    <d v="2023-07-21T00:00:00"/>
    <s v="Valid"/>
    <n v="7"/>
    <d v="2023-07-21T00:00:00"/>
    <x v="0"/>
    <s v="Africa → South Africa → Durban"/>
    <s v="South Africa-2023-07"/>
    <x v="11"/>
    <s v="Durban"/>
    <s v="Enterprise"/>
    <x v="2"/>
    <x v="15"/>
    <x v="5"/>
    <x v="339"/>
    <n v="620.74"/>
    <n v="1330.07"/>
    <s v="Valid"/>
    <n v="1330.07"/>
    <s v="Medium"/>
    <n v="0.29899999999999999"/>
    <s v="Valid"/>
    <x v="181"/>
    <n v="28"/>
    <x v="339"/>
    <n v="17380.72"/>
    <n v="8725.8939600000012"/>
    <n v="0.33424073965967516"/>
    <n v="1"/>
    <n v="1"/>
  </r>
  <r>
    <s v="ORD-2023-261081"/>
    <d v="2023-07-24T00:00:00"/>
    <x v="24"/>
    <s v="Q3-2023"/>
    <d v="2023-08-19T00:00:00"/>
    <s v="Valid"/>
    <n v="26"/>
    <d v="2023-08-19T00:00:00"/>
    <x v="0"/>
    <s v="Africa → Kenya → Nairobi"/>
    <s v="Kenya-2023-07"/>
    <x v="0"/>
    <s v="Nairobi"/>
    <s v="Enterprise"/>
    <x v="3"/>
    <x v="12"/>
    <x v="6"/>
    <x v="340"/>
    <n v="661.45"/>
    <n v="1634.86"/>
    <s v="Valid"/>
    <n v="1634.86"/>
    <s v="Medium"/>
    <n v="0.56499999999999995"/>
    <s v="High Discount"/>
    <x v="33"/>
    <n v="24"/>
    <x v="340"/>
    <n v="15874.800000000001"/>
    <n v="11590.847999999996"/>
    <n v="0.42201254454291404"/>
    <n v="0"/>
    <n v="1"/>
  </r>
  <r>
    <s v="ORD-2023-766015"/>
    <d v="2023-04-13T00:00:00"/>
    <x v="12"/>
    <s v="Q2-2023"/>
    <d v="2023-04-11T00:00:00"/>
    <s v="Invalid RequiredDate"/>
    <n v="-2"/>
    <d v="2023-05-09T00:00:00"/>
    <x v="2"/>
    <s v="Americas → USA → San Francisco"/>
    <s v="USA-2023-04"/>
    <x v="10"/>
    <s v="San Francisco"/>
    <s v="Education"/>
    <x v="2"/>
    <x v="3"/>
    <x v="2"/>
    <x v="341"/>
    <n v="32.1"/>
    <n v="70.599999999999994"/>
    <s v="Valid"/>
    <n v="70.599999999999994"/>
    <s v="Low"/>
    <n v="0.28199999999999997"/>
    <s v="Valid"/>
    <x v="182"/>
    <n v="22"/>
    <x v="341"/>
    <n v="706.2"/>
    <n v="408.99759999999969"/>
    <n v="0.36674899587301818"/>
    <n v="1"/>
    <n v="1"/>
  </r>
  <r>
    <s v="ORD-2024-333192"/>
    <d v="2024-10-29T00:00:00"/>
    <x v="1"/>
    <s v="Q4-2024"/>
    <d v="2024-11-04T00:00:00"/>
    <s v="Valid"/>
    <n v="6"/>
    <d v="2024-11-04T00:00:00"/>
    <x v="0"/>
    <s v="Africa → Kenya → Nairobi"/>
    <s v="Kenya-2024-10"/>
    <x v="0"/>
    <s v="Nairobi"/>
    <s v="Corporate"/>
    <x v="3"/>
    <x v="12"/>
    <x v="1"/>
    <x v="342"/>
    <n v="805.81"/>
    <n v="1823.04"/>
    <s v="Valid"/>
    <n v="1823.04"/>
    <s v="Medium"/>
    <n v="0"/>
    <s v="Valid"/>
    <x v="5"/>
    <n v="11"/>
    <x v="342"/>
    <n v="8863.91"/>
    <n v="11189.529999999999"/>
    <n v="0.55798556257679477"/>
    <n v="1"/>
    <n v="0"/>
  </r>
  <r>
    <s v="ORD-2024-647473"/>
    <d v="2024-02-17T00:00:00"/>
    <x v="31"/>
    <s v="Q1-2024"/>
    <d v="2024-03-04T00:00:00"/>
    <s v="Valid"/>
    <n v="16"/>
    <d v="2024-03-04T00:00:00"/>
    <x v="1"/>
    <s v="Asia → India → Delhi"/>
    <s v="India-2024-02"/>
    <x v="4"/>
    <s v="Delhi"/>
    <s v="Small Business"/>
    <x v="2"/>
    <x v="9"/>
    <x v="3"/>
    <x v="343"/>
    <n v="1231.8"/>
    <n v="2015.99"/>
    <s v="Valid"/>
    <n v="2015.99"/>
    <s v="High"/>
    <n v="0.26100000000000001"/>
    <s v="Valid"/>
    <x v="183"/>
    <n v="6"/>
    <x v="343"/>
    <n v="7390.7999999999993"/>
    <n v="1548.0996600000017"/>
    <n v="0.17318682599464391"/>
    <n v="0"/>
    <n v="1"/>
  </r>
  <r>
    <s v="ORD-2024-892908"/>
    <d v="2024-07-13T00:00:00"/>
    <x v="14"/>
    <s v="Q3-2024"/>
    <d v="2024-07-12T00:00:00"/>
    <s v="Invalid RequiredDate"/>
    <n v="-1"/>
    <d v="2024-08-08T00:00:00"/>
    <x v="1"/>
    <s v="Asia → Japan → Nagoya"/>
    <s v="Japan-2024-07"/>
    <x v="2"/>
    <s v="Nagoya"/>
    <s v="Small Business"/>
    <x v="2"/>
    <x v="9"/>
    <x v="2"/>
    <x v="344"/>
    <n v="105.13"/>
    <n v="244.13"/>
    <s v="Valid"/>
    <n v="244.13"/>
    <s v="Low"/>
    <n v="7.0999999999999994E-2"/>
    <s v="Valid"/>
    <x v="87"/>
    <n v="14"/>
    <x v="344"/>
    <n v="1471.82"/>
    <n v="1703.3347799999999"/>
    <n v="0.53645724319618837"/>
    <n v="1"/>
    <n v="0"/>
  </r>
  <r>
    <s v="ORD-2023-573146"/>
    <d v="2023-12-01T00:00:00"/>
    <x v="4"/>
    <s v="Q4-2023"/>
    <d v="2023-12-18T00:00:00"/>
    <s v="Valid"/>
    <n v="17"/>
    <d v="2023-12-18T00:00:00"/>
    <x v="1"/>
    <s v="Asia → Japan → Nagoya"/>
    <s v="Japan-2023-12"/>
    <x v="2"/>
    <s v="Nagoya"/>
    <s v="Small Business"/>
    <x v="4"/>
    <x v="13"/>
    <x v="4"/>
    <x v="345"/>
    <n v="1495.79"/>
    <n v="2783.12"/>
    <s v="Valid"/>
    <n v="2783.12"/>
    <s v="High"/>
    <n v="0.02"/>
    <s v="Valid"/>
    <x v="112"/>
    <n v="5"/>
    <x v="345"/>
    <n v="7478.95"/>
    <n v="6158.3379999999988"/>
    <n v="0.45158084217331185"/>
    <n v="0"/>
    <n v="0"/>
  </r>
  <r>
    <s v="ORD-2024-901115"/>
    <d v="2024-07-25T00:00:00"/>
    <x v="14"/>
    <s v="Q3-2024"/>
    <d v="2024-08-02T00:00:00"/>
    <s v="Valid"/>
    <n v="8"/>
    <d v="2024-08-02T00:00:00"/>
    <x v="2"/>
    <s v="Americas → Canada → Montreal"/>
    <s v="Canada-2024-07"/>
    <x v="3"/>
    <s v="Montreal"/>
    <s v="Consumer"/>
    <x v="4"/>
    <x v="1"/>
    <x v="6"/>
    <x v="346"/>
    <n v="986.81"/>
    <n v="2050.31"/>
    <s v="Valid"/>
    <n v="2050.31"/>
    <s v="High"/>
    <n v="0.10299999999999999"/>
    <s v="Valid"/>
    <x v="170"/>
    <n v="43"/>
    <x v="346"/>
    <n v="42432.829999999994"/>
    <n v="36649.677010000007"/>
    <n v="0.46343595310358138"/>
    <n v="0"/>
    <n v="0"/>
  </r>
  <r>
    <s v="ORD-2023-898009"/>
    <d v="2023-05-04T00:00:00"/>
    <x v="15"/>
    <s v="Q2-2023"/>
    <d v="2023-05-16T00:00:00"/>
    <s v="Valid"/>
    <n v="12"/>
    <d v="2023-05-16T00:00:00"/>
    <x v="0"/>
    <s v="Africa → Nigeria → Abuja"/>
    <s v="Nigeria-2023-05"/>
    <x v="1"/>
    <s v="Abuja"/>
    <s v="Small Business"/>
    <x v="2"/>
    <x v="1"/>
    <x v="3"/>
    <x v="347"/>
    <n v="77.739999999999995"/>
    <n v="147.12"/>
    <s v="Valid"/>
    <n v="147.12"/>
    <s v="Low"/>
    <n v="0"/>
    <s v="Valid"/>
    <x v="5"/>
    <n v="15"/>
    <x v="347"/>
    <n v="1166.0999999999999"/>
    <n v="1040.7000000000003"/>
    <n v="0.47158781946710177"/>
    <n v="0"/>
    <n v="0"/>
  </r>
  <r>
    <s v="ORD-2023-208944"/>
    <d v="2023-12-21T00:00:00"/>
    <x v="4"/>
    <s v="Q4-2023"/>
    <d v="2024-01-06T00:00:00"/>
    <s v="Valid"/>
    <n v="16"/>
    <d v="2024-01-06T00:00:00"/>
    <x v="0"/>
    <s v="Africa → Nigeria → unknown"/>
    <s v="Nigeria-2023-12"/>
    <x v="1"/>
    <s v="unknown"/>
    <s v="Corporate"/>
    <x v="2"/>
    <x v="11"/>
    <x v="0"/>
    <x v="348"/>
    <n v="932.61"/>
    <n v="1982.98"/>
    <s v="Valid"/>
    <n v="1982.98"/>
    <s v="High"/>
    <n v="0.14399999999999999"/>
    <s v="Valid"/>
    <x v="41"/>
    <n v="16"/>
    <x v="348"/>
    <n v="14921.76"/>
    <n v="12237.134079999998"/>
    <n v="0.45057556629345635"/>
    <n v="0"/>
    <n v="0"/>
  </r>
  <r>
    <s v="ORD-2025-480172"/>
    <d v="2025-06-17T00:00:00"/>
    <x v="16"/>
    <s v="Q2-2025"/>
    <d v="2025-07-05T00:00:00"/>
    <s v="Valid"/>
    <n v="18"/>
    <d v="2025-07-05T00:00:00"/>
    <x v="1"/>
    <s v="Asia → India → Delhi"/>
    <s v="India-2025-06"/>
    <x v="4"/>
    <s v="Delhi"/>
    <s v="Consumer"/>
    <x v="2"/>
    <x v="4"/>
    <x v="4"/>
    <x v="349"/>
    <n v="982.93"/>
    <n v="2299.3000000000002"/>
    <s v="Valid"/>
    <n v="2299.3000000000002"/>
    <s v="High"/>
    <n v="0.113"/>
    <s v="Valid"/>
    <x v="138"/>
    <n v="6"/>
    <x v="349"/>
    <n v="5897.58"/>
    <n v="6339.2946000000011"/>
    <n v="0.51804850562087157"/>
    <n v="0"/>
    <n v="0"/>
  </r>
  <r>
    <s v="ORD-2023-735274"/>
    <d v="2023-02-23T00:00:00"/>
    <x v="2"/>
    <s v="Q1-2023"/>
    <d v="2023-03-08T00:00:00"/>
    <s v="Valid"/>
    <n v="13"/>
    <d v="2023-03-08T00:00:00"/>
    <x v="3"/>
    <s v="Europe → United Kingdom → Manchester"/>
    <s v="United Kingdom-2023-02"/>
    <x v="8"/>
    <s v="Manchester"/>
    <s v="Small Business"/>
    <x v="4"/>
    <x v="0"/>
    <x v="1"/>
    <x v="350"/>
    <n v="307.37"/>
    <n v="462.61"/>
    <s v="Valid"/>
    <n v="462.61"/>
    <s v="Low"/>
    <n v="0.188"/>
    <s v="Valid"/>
    <x v="69"/>
    <n v="11"/>
    <x v="350"/>
    <n v="3381.07"/>
    <n v="750.9625200000005"/>
    <n v="0.18174167709599739"/>
    <n v="0"/>
    <n v="0"/>
  </r>
  <r>
    <s v="ORD-2023-212701"/>
    <d v="2023-12-02T00:00:00"/>
    <x v="4"/>
    <s v="Q4-2023"/>
    <d v="2023-12-16T00:00:00"/>
    <s v="Valid"/>
    <n v="14"/>
    <d v="2023-12-16T00:00:00"/>
    <x v="3"/>
    <s v="Europe → Germany → Frankfurt"/>
    <s v="Germany-2023-12"/>
    <x v="6"/>
    <s v="Frankfurt"/>
    <s v="Education"/>
    <x v="4"/>
    <x v="13"/>
    <x v="5"/>
    <x v="351"/>
    <n v="879.08"/>
    <n v="1093.3900000000001"/>
    <s v="Valid"/>
    <n v="1093.3900000000001"/>
    <s v="Medium"/>
    <n v="0.113"/>
    <s v="Valid"/>
    <x v="138"/>
    <n v="17"/>
    <x v="351"/>
    <n v="14944.36"/>
    <n v="1542.8678099999997"/>
    <n v="9.3579577341935186E-2"/>
    <n v="0"/>
    <n v="0"/>
  </r>
  <r>
    <s v="ORD-2023-479747"/>
    <d v="2023-07-14T00:00:00"/>
    <x v="24"/>
    <s v="Q3-2023"/>
    <d v="2023-07-14T00:00:00"/>
    <s v="Valid"/>
    <n v="0"/>
    <d v="2023-07-14T00:00:00"/>
    <x v="0"/>
    <s v="Africa → Nigeria → Lagos"/>
    <s v="Nigeria-2023-07"/>
    <x v="1"/>
    <s v="Lagos"/>
    <s v="Education"/>
    <x v="0"/>
    <x v="2"/>
    <x v="6"/>
    <x v="352"/>
    <n v="956.38"/>
    <n v="1454.22"/>
    <s v="Valid"/>
    <n v="1454.22"/>
    <s v="Medium"/>
    <n v="3.9E-2"/>
    <s v="Valid"/>
    <x v="184"/>
    <n v="19"/>
    <x v="352"/>
    <n v="18171.22"/>
    <n v="8381.3829799999985"/>
    <n v="0.31565202802576603"/>
    <n v="1"/>
    <n v="0"/>
  </r>
  <r>
    <s v="ORD-2024-915495"/>
    <d v="2024-08-08T00:00:00"/>
    <x v="21"/>
    <s v="Q3-2024"/>
    <d v="2024-08-20T00:00:00"/>
    <s v="Valid"/>
    <n v="12"/>
    <d v="2024-08-20T00:00:00"/>
    <x v="1"/>
    <s v="Asia → Japan → Osaka"/>
    <s v="Japan-2024-08"/>
    <x v="2"/>
    <s v="Osaka"/>
    <s v="Small Business"/>
    <x v="0"/>
    <x v="10"/>
    <x v="2"/>
    <x v="353"/>
    <n v="1233.3599999999999"/>
    <n v="2120.4"/>
    <s v="Valid"/>
    <n v="2120.4"/>
    <s v="High"/>
    <n v="0.17899999999999999"/>
    <s v="Valid"/>
    <x v="93"/>
    <n v="20"/>
    <x v="353"/>
    <n v="24667.199999999997"/>
    <n v="10149.768000000004"/>
    <n v="0.29151785991244278"/>
    <n v="0"/>
    <n v="0"/>
  </r>
  <r>
    <s v="ORD-2024-225829"/>
    <d v="2024-11-07T00:00:00"/>
    <x v="18"/>
    <s v="Q4-2024"/>
    <d v="2024-11-26T00:00:00"/>
    <s v="Valid"/>
    <n v="19"/>
    <d v="2024-11-26T00:00:00"/>
    <x v="2"/>
    <s v="Americas → Brazil → Rio de Janeiro"/>
    <s v="Brazil-2024-11"/>
    <x v="5"/>
    <s v="Rio de Janeiro"/>
    <s v="Non-Profit"/>
    <x v="3"/>
    <x v="1"/>
    <x v="1"/>
    <x v="354"/>
    <n v="55.35"/>
    <n v="128.68"/>
    <s v="Valid"/>
    <n v="128.68"/>
    <s v="Low"/>
    <n v="0.128"/>
    <s v="Valid"/>
    <x v="136"/>
    <n v="10"/>
    <x v="354"/>
    <n v="553.5"/>
    <n v="568.58960000000025"/>
    <n v="0.50672388372550647"/>
    <n v="0"/>
    <n v="0"/>
  </r>
  <r>
    <s v="ORD-2024-921935"/>
    <d v="2024-01-01T00:00:00"/>
    <x v="9"/>
    <s v="Q1-2024"/>
    <d v="2024-01-27T00:00:00"/>
    <s v="Valid"/>
    <n v="26"/>
    <d v="2024-01-27T00:00:00"/>
    <x v="3"/>
    <s v="Europe → United Kingdom → Manchester"/>
    <s v="United Kingdom-2024-01"/>
    <x v="8"/>
    <s v="Manchester"/>
    <s v="Education"/>
    <x v="3"/>
    <x v="14"/>
    <x v="6"/>
    <x v="355"/>
    <n v="657.45"/>
    <n v="1325.96"/>
    <s v="Valid"/>
    <n v="1325.96"/>
    <s v="Medium"/>
    <n v="0.16700000000000001"/>
    <s v="Valid"/>
    <x v="149"/>
    <n v="21"/>
    <x v="355"/>
    <n v="13806.45"/>
    <n v="9388.5682799999995"/>
    <n v="0.40476658249048808"/>
    <n v="0"/>
    <n v="0"/>
  </r>
  <r>
    <s v="ORD-2025-949776"/>
    <d v="2025-08-14T00:00:00"/>
    <x v="28"/>
    <s v="Q3-2025"/>
    <d v="2025-09-11T00:00:00"/>
    <s v="Valid"/>
    <n v="28"/>
    <d v="2025-09-11T00:00:00"/>
    <x v="2"/>
    <s v="Americas → Brazil → São Paulo"/>
    <s v="Brazil-2025-08"/>
    <x v="5"/>
    <s v="São Paulo"/>
    <s v="Non-Profit"/>
    <x v="4"/>
    <x v="9"/>
    <x v="1"/>
    <x v="356"/>
    <n v="1203.02"/>
    <n v="2439.33"/>
    <s v="Valid"/>
    <n v="2439.33"/>
    <s v="High"/>
    <n v="0"/>
    <s v="Valid"/>
    <x v="5"/>
    <n v="18"/>
    <x v="356"/>
    <n v="21654.36"/>
    <n v="22253.58"/>
    <n v="0.50682359500354612"/>
    <n v="0"/>
    <n v="0"/>
  </r>
  <r>
    <s v="ORD-2024-510591"/>
    <d v="2024-04-03T00:00:00"/>
    <x v="20"/>
    <s v="Q2-2024"/>
    <d v="2024-04-21T00:00:00"/>
    <s v="Valid"/>
    <n v="18"/>
    <d v="2024-04-21T00:00:00"/>
    <x v="2"/>
    <s v="Americas → Brazil → Brasília"/>
    <s v="Brazil-2024-04"/>
    <x v="5"/>
    <s v="Brasília"/>
    <s v="Small Business"/>
    <x v="3"/>
    <x v="5"/>
    <x v="2"/>
    <x v="357"/>
    <n v="1176.69"/>
    <n v="2201.54"/>
    <s v="Valid"/>
    <n v="2201.54"/>
    <s v="High"/>
    <n v="0.17"/>
    <s v="Valid"/>
    <x v="185"/>
    <n v="27"/>
    <x v="357"/>
    <n v="31770.63"/>
    <n v="17565.881399999995"/>
    <n v="0.35604222717701106"/>
    <n v="0"/>
    <n v="0"/>
  </r>
  <r>
    <s v="ORD-2024-961756"/>
    <d v="2024-11-25T00:00:00"/>
    <x v="18"/>
    <s v="Q4-2024"/>
    <d v="2024-12-07T00:00:00"/>
    <s v="Valid"/>
    <n v="12"/>
    <d v="2024-12-07T00:00:00"/>
    <x v="1"/>
    <s v="Asia → China → Shanghai"/>
    <s v="China-2024-11"/>
    <x v="9"/>
    <s v="Shanghai"/>
    <s v="Corporate"/>
    <x v="3"/>
    <x v="8"/>
    <x v="6"/>
    <x v="358"/>
    <n v="769.9"/>
    <n v="814.36"/>
    <s v="Valid"/>
    <n v="814.36"/>
    <s v="Medium"/>
    <n v="0"/>
    <s v="Valid"/>
    <x v="5"/>
    <n v="5"/>
    <x v="358"/>
    <n v="3849.5"/>
    <n v="222.30000000000018"/>
    <n v="5.4595019401738831E-2"/>
    <n v="0"/>
    <n v="0"/>
  </r>
  <r>
    <s v="ORD-2024-892173"/>
    <d v="2024-01-18T00:00:00"/>
    <x v="9"/>
    <s v="Q1-2024"/>
    <d v="2024-02-03T00:00:00"/>
    <s v="Valid"/>
    <n v="16"/>
    <d v="2024-02-03T00:00:00"/>
    <x v="0"/>
    <s v="Africa → South Africa → Cape Town"/>
    <s v="South Africa-2024-01"/>
    <x v="11"/>
    <s v="Cape Town"/>
    <s v="Non-Profit"/>
    <x v="3"/>
    <x v="4"/>
    <x v="1"/>
    <x v="359"/>
    <n v="666.23"/>
    <n v="1382.91"/>
    <s v="Valid"/>
    <n v="1382.91"/>
    <s v="Medium"/>
    <n v="0.17599999999999999"/>
    <s v="Valid"/>
    <x v="164"/>
    <n v="13"/>
    <x v="359"/>
    <n v="8660.99"/>
    <n v="6152.7419200000022"/>
    <n v="0.41534043907553048"/>
    <n v="0"/>
    <n v="0"/>
  </r>
  <r>
    <s v="ORD-2024-704056"/>
    <d v="2024-06-23T00:00:00"/>
    <x v="17"/>
    <s v="Q2-2024"/>
    <d v="2024-06-25T00:00:00"/>
    <s v="Valid"/>
    <n v="2"/>
    <d v="2024-06-25T00:00:00"/>
    <x v="3"/>
    <s v="Europe → United Kingdom → Birmingham"/>
    <s v="United Kingdom-2024-06"/>
    <x v="8"/>
    <s v="Birmingham"/>
    <s v="Small Business"/>
    <x v="2"/>
    <x v="4"/>
    <x v="6"/>
    <x v="360"/>
    <n v="951.44"/>
    <n v="1646.43"/>
    <s v="Valid"/>
    <n v="1646.43"/>
    <s v="Medium"/>
    <n v="0.11"/>
    <s v="Valid"/>
    <x v="46"/>
    <n v="24"/>
    <x v="360"/>
    <n v="22834.560000000001"/>
    <n v="12333.184799999999"/>
    <n v="0.35069592520473475"/>
    <n v="1"/>
    <n v="0"/>
  </r>
  <r>
    <s v="ORD-2025-591006"/>
    <d v="2025-06-25T00:00:00"/>
    <x v="16"/>
    <s v="Q2-2025"/>
    <d v="2025-07-10T00:00:00"/>
    <s v="Valid"/>
    <n v="15"/>
    <d v="2025-07-10T00:00:00"/>
    <x v="3"/>
    <s v="Europe → United Kingdom → Birmingham"/>
    <s v="United Kingdom-2025-06"/>
    <x v="8"/>
    <s v="Birmingham"/>
    <s v="Non-Profit"/>
    <x v="2"/>
    <x v="14"/>
    <x v="3"/>
    <x v="361"/>
    <n v="546.83000000000004"/>
    <n v="400.84"/>
    <s v="Valid"/>
    <n v="400.84"/>
    <s v="Low"/>
    <n v="7.8E-2"/>
    <s v="Valid"/>
    <x v="116"/>
    <n v="13"/>
    <x v="361"/>
    <n v="7108.7900000000009"/>
    <n v="-2304.3217600000007"/>
    <n v="-0.47962056254533608"/>
    <n v="0"/>
    <n v="0"/>
  </r>
  <r>
    <s v="ORD-2023-159821"/>
    <d v="2023-07-01T00:00:00"/>
    <x v="24"/>
    <s v="Q3-2023"/>
    <d v="2023-07-08T00:00:00"/>
    <s v="Valid"/>
    <n v="7"/>
    <d v="2023-07-08T00:00:00"/>
    <x v="0"/>
    <s v="Africa → Nigeria → Port Harcourt"/>
    <s v="Nigeria-2023-07"/>
    <x v="1"/>
    <s v="Port Harcourt"/>
    <s v="Corporate"/>
    <x v="0"/>
    <x v="8"/>
    <x v="4"/>
    <x v="362"/>
    <n v="834.26"/>
    <n v="1780.56"/>
    <s v="Valid"/>
    <n v="1780.56"/>
    <s v="Medium"/>
    <n v="1.4E-2"/>
    <s v="Valid"/>
    <x v="168"/>
    <n v="47"/>
    <x v="362"/>
    <n v="39210.22"/>
    <n v="43304.491519999996"/>
    <n v="0.5248093427497933"/>
    <n v="1"/>
    <n v="0"/>
  </r>
  <r>
    <s v="ORD-2024-343877"/>
    <d v="2024-03-09T00:00:00"/>
    <x v="0"/>
    <s v="Q1-2024"/>
    <d v="2024-03-26T00:00:00"/>
    <s v="Valid"/>
    <n v="17"/>
    <d v="2024-03-26T00:00:00"/>
    <x v="1"/>
    <s v="Asia → China → Shenzhen"/>
    <s v="China-2024-03"/>
    <x v="9"/>
    <s v="Shenzhen"/>
    <s v="Enterprise"/>
    <x v="1"/>
    <x v="11"/>
    <x v="5"/>
    <x v="363"/>
    <n v="1029.67"/>
    <n v="1118.43"/>
    <s v="Valid"/>
    <n v="1118.43"/>
    <s v="Medium"/>
    <n v="0.27200000000000002"/>
    <s v="Valid"/>
    <x v="186"/>
    <n v="9"/>
    <x v="363"/>
    <n v="9267.0300000000007"/>
    <n v="-1939.0766400000002"/>
    <n v="-0.26461367106736061"/>
    <n v="0"/>
    <n v="1"/>
  </r>
  <r>
    <s v="ORD-2023-386663"/>
    <d v="2023-06-05T00:00:00"/>
    <x v="23"/>
    <s v="Q2-2023"/>
    <d v="2023-06-28T00:00:00"/>
    <s v="Valid"/>
    <n v="23"/>
    <d v="2023-06-28T00:00:00"/>
    <x v="3"/>
    <s v="Europe → United Kingdom → Birmingham"/>
    <s v="United Kingdom-2023-06"/>
    <x v="8"/>
    <s v="Birmingham"/>
    <s v="Corporate"/>
    <x v="4"/>
    <x v="11"/>
    <x v="1"/>
    <x v="364"/>
    <n v="605.82000000000005"/>
    <n v="771.12"/>
    <s v="Valid"/>
    <n v="771.12"/>
    <s v="Medium"/>
    <n v="0.13200000000000001"/>
    <s v="Valid"/>
    <x v="187"/>
    <n v="19"/>
    <x v="364"/>
    <n v="11510.580000000002"/>
    <n v="1206.7310399999988"/>
    <n v="9.4888851597986767E-2"/>
    <n v="0"/>
    <n v="0"/>
  </r>
  <r>
    <s v="ORD-2025-125517"/>
    <d v="2025-03-21T00:00:00"/>
    <x v="3"/>
    <s v="Q1-2025"/>
    <d v="2025-04-09T00:00:00"/>
    <s v="Valid"/>
    <n v="19"/>
    <d v="2025-04-09T00:00:00"/>
    <x v="1"/>
    <s v="Asia → Japan → Tokyo"/>
    <s v="Japan-2025-03"/>
    <x v="2"/>
    <s v="Tokyo"/>
    <s v="Small Business"/>
    <x v="3"/>
    <x v="6"/>
    <x v="0"/>
    <x v="365"/>
    <n v="1055.45"/>
    <n v="1210.04"/>
    <s v="Valid"/>
    <n v="1210.04"/>
    <s v="Medium"/>
    <n v="8.9999999999999993E-3"/>
    <s v="Valid"/>
    <x v="98"/>
    <n v="18"/>
    <x v="365"/>
    <n v="18998.100000000002"/>
    <n v="2586.5935199999985"/>
    <n v="0.1198346188053727"/>
    <n v="0"/>
    <n v="0"/>
  </r>
  <r>
    <s v="ORD-2024-819778"/>
    <d v="2024-06-02T00:00:00"/>
    <x v="17"/>
    <s v="Q2-2024"/>
    <d v="2024-06-15T00:00:00"/>
    <s v="Valid"/>
    <n v="13"/>
    <d v="2024-06-15T00:00:00"/>
    <x v="0"/>
    <s v="Africa → Kenya → Mombasa"/>
    <s v="Kenya-2024-06"/>
    <x v="0"/>
    <s v="Mombasa"/>
    <s v="Education"/>
    <x v="1"/>
    <x v="7"/>
    <x v="3"/>
    <x v="366"/>
    <n v="1295.18"/>
    <n v="3024.03"/>
    <s v="Valid"/>
    <n v="3024.03"/>
    <s v="High"/>
    <n v="0.192"/>
    <s v="Valid"/>
    <x v="97"/>
    <n v="8"/>
    <x v="366"/>
    <n v="10361.44"/>
    <n v="9185.8899200000033"/>
    <n v="0.46993067378483178"/>
    <n v="0"/>
    <n v="0"/>
  </r>
  <r>
    <s v="ORD-2025-624006"/>
    <d v="2025-03-15T00:00:00"/>
    <x v="3"/>
    <s v="Q1-2025"/>
    <d v="2025-03-29T00:00:00"/>
    <s v="Valid"/>
    <n v="14"/>
    <d v="2025-03-29T00:00:00"/>
    <x v="1"/>
    <s v="Asia → India → Mumbai"/>
    <s v="India-2025-03"/>
    <x v="4"/>
    <s v="Mumbai"/>
    <s v="Enterprise"/>
    <x v="4"/>
    <x v="0"/>
    <x v="0"/>
    <x v="367"/>
    <n v="935.83"/>
    <n v="2303.46"/>
    <s v="Valid"/>
    <n v="2303.46"/>
    <s v="High"/>
    <n v="0.105"/>
    <s v="Valid"/>
    <x v="52"/>
    <n v="9"/>
    <x v="367"/>
    <n v="8422.4700000000012"/>
    <n v="10131.900299999998"/>
    <n v="0.54606543559174292"/>
    <n v="0"/>
    <n v="0"/>
  </r>
  <r>
    <s v="ORD-2023-132101"/>
    <d v="2023-09-25T00:00:00"/>
    <x v="27"/>
    <s v="Q3-2023"/>
    <d v="2023-10-09T00:00:00"/>
    <s v="Valid"/>
    <n v="14"/>
    <d v="2023-10-09T00:00:00"/>
    <x v="2"/>
    <s v="Americas → USA → New York"/>
    <s v="USA-2023-09"/>
    <x v="10"/>
    <s v="New York"/>
    <s v="Small Business"/>
    <x v="2"/>
    <x v="1"/>
    <x v="4"/>
    <x v="368"/>
    <n v="1279.56"/>
    <n v="3083.8"/>
    <s v="Valid"/>
    <n v="3083.8"/>
    <s v="High"/>
    <n v="0.106"/>
    <s v="Valid"/>
    <x v="188"/>
    <n v="5"/>
    <x v="368"/>
    <n v="6397.7999999999993"/>
    <n v="7386.7860000000019"/>
    <n v="0.53587289455047848"/>
    <n v="0"/>
    <n v="0"/>
  </r>
  <r>
    <s v="ORD-2025-306903"/>
    <d v="2025-06-24T00:00:00"/>
    <x v="16"/>
    <s v="Q2-2025"/>
    <d v="2025-07-23T00:00:00"/>
    <s v="Valid"/>
    <n v="29"/>
    <d v="2025-07-23T00:00:00"/>
    <x v="2"/>
    <s v="Americas → Canada → Vancouver"/>
    <s v="Canada-2025-06"/>
    <x v="3"/>
    <s v="Vancouver"/>
    <s v="Non-Profit"/>
    <x v="2"/>
    <x v="2"/>
    <x v="1"/>
    <x v="369"/>
    <n v="255.4"/>
    <n v="322.70999999999998"/>
    <s v="Valid"/>
    <n v="322.70999999999998"/>
    <s v="Low"/>
    <n v="0.115"/>
    <s v="Valid"/>
    <x v="157"/>
    <n v="16"/>
    <x v="369"/>
    <n v="4086.4"/>
    <n v="483.17359999999962"/>
    <n v="0.10573713048412212"/>
    <n v="0"/>
    <n v="0"/>
  </r>
  <r>
    <s v="ORD-2023-813340"/>
    <d v="2023-12-26T00:00:00"/>
    <x v="4"/>
    <s v="Q4-2023"/>
    <d v="2024-01-03T00:00:00"/>
    <s v="Valid"/>
    <n v="8"/>
    <d v="2024-01-03T00:00:00"/>
    <x v="3"/>
    <s v="Europe → France → Lyon"/>
    <s v="France-2023-12"/>
    <x v="7"/>
    <s v="Lyon"/>
    <s v="Small Business"/>
    <x v="0"/>
    <x v="12"/>
    <x v="4"/>
    <x v="370"/>
    <n v="492.75"/>
    <n v="731.29"/>
    <s v="Valid"/>
    <n v="731.29"/>
    <s v="Medium"/>
    <n v="5.8000000000000003E-2"/>
    <s v="Valid"/>
    <x v="189"/>
    <n v="6"/>
    <x v="370"/>
    <n v="2956.5"/>
    <n v="1176.75108"/>
    <n v="0.28470350753528384"/>
    <n v="0"/>
    <n v="0"/>
  </r>
  <r>
    <s v="ORD-2023-855675"/>
    <d v="2023-02-05T00:00:00"/>
    <x v="2"/>
    <s v="Q1-2023"/>
    <d v="2023-02-28T00:00:00"/>
    <s v="Valid"/>
    <n v="23"/>
    <d v="2023-02-28T00:00:00"/>
    <x v="2"/>
    <s v="Americas → USA → Austin"/>
    <s v="USA-2023-02"/>
    <x v="10"/>
    <s v="Austin"/>
    <s v="Non-Profit"/>
    <x v="3"/>
    <x v="4"/>
    <x v="3"/>
    <x v="371"/>
    <n v="1214.49"/>
    <n v="1533.95"/>
    <s v="Valid"/>
    <n v="1533.95"/>
    <s v="Medium"/>
    <n v="0"/>
    <s v="Valid"/>
    <x v="5"/>
    <n v="11"/>
    <x v="371"/>
    <n v="13359.39"/>
    <n v="3514.0600000000013"/>
    <n v="0.20825972163369086"/>
    <n v="0"/>
    <n v="0"/>
  </r>
  <r>
    <s v="ORD-2023-545150"/>
    <d v="2023-04-06T00:00:00"/>
    <x v="12"/>
    <s v="Q2-2023"/>
    <d v="2023-04-08T00:00:00"/>
    <s v="Valid"/>
    <n v="2"/>
    <d v="2023-04-08T00:00:00"/>
    <x v="0"/>
    <s v="Africa → Nigeria → Abuja"/>
    <s v="Nigeria-2023-04"/>
    <x v="1"/>
    <s v="Abuja"/>
    <s v="Small Business"/>
    <x v="2"/>
    <x v="11"/>
    <x v="5"/>
    <x v="372"/>
    <n v="720.35"/>
    <n v="1571.66"/>
    <s v="Valid"/>
    <n v="1571.66"/>
    <s v="Medium"/>
    <n v="0.107"/>
    <s v="Valid"/>
    <x v="104"/>
    <n v="23"/>
    <x v="372"/>
    <n v="16568.05"/>
    <n v="15712.274740000001"/>
    <n v="0.4867446305622265"/>
    <n v="1"/>
    <n v="0"/>
  </r>
  <r>
    <s v="ORD-2025-269934"/>
    <d v="2025-04-04T00:00:00"/>
    <x v="19"/>
    <s v="Q2-2025"/>
    <d v="2025-04-10T00:00:00"/>
    <s v="Valid"/>
    <n v="6"/>
    <d v="2025-04-10T00:00:00"/>
    <x v="3"/>
    <s v="Europe → United Kingdom → Birmingham"/>
    <s v="United Kingdom-2025-04"/>
    <x v="8"/>
    <s v="Birmingham"/>
    <s v="Non-Profit"/>
    <x v="4"/>
    <x v="13"/>
    <x v="1"/>
    <x v="373"/>
    <n v="290.14"/>
    <n v="250.73"/>
    <s v="Valid"/>
    <n v="250.73"/>
    <s v="Low"/>
    <n v="3.4000000000000002E-2"/>
    <s v="Valid"/>
    <x v="75"/>
    <n v="17"/>
    <x v="373"/>
    <n v="4932.38"/>
    <n v="-814.89194000000043"/>
    <n v="-0.19790997038131072"/>
    <n v="1"/>
    <n v="0"/>
  </r>
  <r>
    <s v="ORD-2024-690270"/>
    <d v="2024-05-17T00:00:00"/>
    <x v="7"/>
    <s v="Q2-2024"/>
    <d v="2024-05-27T00:00:00"/>
    <s v="Valid"/>
    <n v="10"/>
    <d v="2024-05-27T00:00:00"/>
    <x v="2"/>
    <s v="Americas → USA → Austin"/>
    <s v="USA-2024-05"/>
    <x v="10"/>
    <s v="Austin"/>
    <s v="Non-Profit"/>
    <x v="1"/>
    <x v="0"/>
    <x v="3"/>
    <x v="374"/>
    <n v="1484.23"/>
    <n v="3472.81"/>
    <s v="Valid"/>
    <n v="3472.81"/>
    <s v="High"/>
    <n v="0.25600000000000001"/>
    <s v="Valid"/>
    <x v="190"/>
    <n v="12"/>
    <x v="374"/>
    <n v="17810.760000000002"/>
    <n v="13194.487679999998"/>
    <n v="0.42555659661803413"/>
    <n v="0"/>
    <n v="1"/>
  </r>
  <r>
    <s v="ORD-2024-868223"/>
    <d v="2024-03-03T00:00:00"/>
    <x v="0"/>
    <s v="Q1-2024"/>
    <d v="2024-03-19T00:00:00"/>
    <s v="Valid"/>
    <n v="16"/>
    <d v="2024-03-19T00:00:00"/>
    <x v="1"/>
    <s v="Asia → China → Beijing"/>
    <s v="China-2024-03"/>
    <x v="9"/>
    <s v="Beijing"/>
    <s v="Consumer"/>
    <x v="3"/>
    <x v="3"/>
    <x v="3"/>
    <x v="375"/>
    <n v="988.83"/>
    <n v="1206.04"/>
    <s v="Valid"/>
    <n v="1206.04"/>
    <s v="Medium"/>
    <n v="6.3E-2"/>
    <s v="Valid"/>
    <x v="95"/>
    <n v="34"/>
    <x v="375"/>
    <n v="33620.22"/>
    <n v="4801.8023200000025"/>
    <n v="0.12497526236406606"/>
    <n v="0"/>
    <n v="0"/>
  </r>
  <r>
    <s v="ORD-2025-188059"/>
    <d v="2025-06-27T00:00:00"/>
    <x v="16"/>
    <s v="Q2-2025"/>
    <d v="2025-07-11T00:00:00"/>
    <s v="Valid"/>
    <n v="14"/>
    <d v="2025-07-11T00:00:00"/>
    <x v="1"/>
    <s v="Asia → China → Shanghai"/>
    <s v="China-2025-06"/>
    <x v="9"/>
    <s v="Shanghai"/>
    <s v="Small Business"/>
    <x v="2"/>
    <x v="4"/>
    <x v="2"/>
    <x v="376"/>
    <n v="1227.7"/>
    <n v="2197.23"/>
    <s v="Valid"/>
    <n v="2197.23"/>
    <s v="High"/>
    <n v="9.9000000000000005E-2"/>
    <s v="Valid"/>
    <x v="73"/>
    <n v="22"/>
    <x v="376"/>
    <n v="27009.4"/>
    <n v="16544.093059999999"/>
    <n v="0.37985685871873898"/>
    <n v="0"/>
    <n v="0"/>
  </r>
  <r>
    <s v="ORD-2023-281890"/>
    <d v="2023-03-13T00:00:00"/>
    <x v="22"/>
    <s v="Q1-2023"/>
    <d v="2023-04-04T00:00:00"/>
    <s v="Valid"/>
    <n v="22"/>
    <d v="2023-04-04T00:00:00"/>
    <x v="0"/>
    <s v="Africa → South Africa → Durban"/>
    <s v="South Africa-2023-03"/>
    <x v="11"/>
    <s v="Durban"/>
    <s v="Small Business"/>
    <x v="0"/>
    <x v="8"/>
    <x v="0"/>
    <x v="377"/>
    <n v="1113.7"/>
    <n v="1620.6"/>
    <s v="Valid"/>
    <n v="1620.6"/>
    <s v="Medium"/>
    <n v="0.13900000000000001"/>
    <s v="Valid"/>
    <x v="23"/>
    <n v="11"/>
    <x v="377"/>
    <n v="12250.7"/>
    <n v="3098.002599999998"/>
    <n v="0.20184133348182787"/>
    <n v="0"/>
    <n v="0"/>
  </r>
  <r>
    <s v="ORD-2025-636162"/>
    <d v="2025-01-07T00:00:00"/>
    <x v="10"/>
    <s v="Q1-2025"/>
    <d v="2025-01-20T00:00:00"/>
    <s v="Valid"/>
    <n v="13"/>
    <d v="2025-01-20T00:00:00"/>
    <x v="0"/>
    <s v="Africa → South Africa → Cape Town"/>
    <s v="South Africa-2025-01"/>
    <x v="11"/>
    <s v="Cape Town"/>
    <s v="Corporate"/>
    <x v="4"/>
    <x v="11"/>
    <x v="2"/>
    <x v="378"/>
    <n v="432.13"/>
    <n v="1034.6600000000001"/>
    <s v="Valid"/>
    <n v="1034.6600000000001"/>
    <s v="Medium"/>
    <n v="9.1999999999999998E-2"/>
    <s v="Valid"/>
    <x v="76"/>
    <n v="7"/>
    <x v="378"/>
    <n v="3024.91"/>
    <n v="3551.3889600000011"/>
    <n v="0.54002851476204794"/>
    <n v="0"/>
    <n v="0"/>
  </r>
  <r>
    <s v="ORD-2025-915869"/>
    <d v="2025-02-06T00:00:00"/>
    <x v="26"/>
    <s v="Q1-2025"/>
    <d v="2025-02-15T00:00:00"/>
    <s v="Valid"/>
    <n v="9"/>
    <d v="2025-02-15T00:00:00"/>
    <x v="2"/>
    <s v="Americas → Brazil → São Paulo"/>
    <s v="Brazil-2025-02"/>
    <x v="5"/>
    <s v="São Paulo"/>
    <s v="Non-Profit"/>
    <x v="3"/>
    <x v="9"/>
    <x v="2"/>
    <x v="379"/>
    <n v="837.39"/>
    <n v="1905.42"/>
    <s v="Valid"/>
    <n v="1905.42"/>
    <s v="Medium"/>
    <n v="3.2000000000000001E-2"/>
    <s v="Valid"/>
    <x v="191"/>
    <n v="18"/>
    <x v="379"/>
    <n v="15073.02"/>
    <n v="18127.018079999998"/>
    <n v="0.54599389423350919"/>
    <n v="0"/>
    <n v="0"/>
  </r>
  <r>
    <s v="ORD-2025-192876"/>
    <d v="2025-01-31T00:00:00"/>
    <x v="10"/>
    <s v="Q1-2025"/>
    <d v="2025-02-17T00:00:00"/>
    <s v="Valid"/>
    <n v="17"/>
    <d v="2025-02-17T00:00:00"/>
    <x v="3"/>
    <s v="Europe → United Kingdom → London"/>
    <s v="United Kingdom-2025-01"/>
    <x v="8"/>
    <s v="London"/>
    <s v="Enterprise"/>
    <x v="0"/>
    <x v="10"/>
    <x v="0"/>
    <x v="78"/>
    <n v="378.26"/>
    <n v="541.55999999999995"/>
    <s v="Valid"/>
    <n v="541.55999999999995"/>
    <s v="Low"/>
    <n v="0.16300000000000001"/>
    <s v="Valid"/>
    <x v="192"/>
    <n v="25"/>
    <x v="380"/>
    <n v="9456.5"/>
    <n v="1875.6429999999982"/>
    <n v="0.16551529573885526"/>
    <n v="0"/>
    <n v="0"/>
  </r>
  <r>
    <s v="ORD-2025-822030"/>
    <d v="2025-08-07T00:00:00"/>
    <x v="28"/>
    <s v="Q3-2025"/>
    <d v="2025-09-06T00:00:00"/>
    <s v="Valid"/>
    <n v="30"/>
    <d v="2025-09-06T00:00:00"/>
    <x v="2"/>
    <s v="Americas → Canada → Montreal"/>
    <s v="Canada-2025-08"/>
    <x v="3"/>
    <s v="Montreal"/>
    <s v="Education"/>
    <x v="4"/>
    <x v="12"/>
    <x v="2"/>
    <x v="380"/>
    <n v="833.73"/>
    <n v="1116.5999999999999"/>
    <s v="Valid"/>
    <n v="1116.5999999999999"/>
    <s v="Medium"/>
    <n v="0.17599999999999999"/>
    <s v="Valid"/>
    <x v="164"/>
    <n v="14"/>
    <x v="381"/>
    <n v="11672.220000000001"/>
    <n v="1208.877599999998"/>
    <n v="9.3848958958279924E-2"/>
    <n v="0"/>
    <n v="0"/>
  </r>
  <r>
    <s v="ORD-2025-789245"/>
    <d v="2025-07-23T00:00:00"/>
    <x v="13"/>
    <s v="Q3-2025"/>
    <d v="2025-08-17T00:00:00"/>
    <s v="Valid"/>
    <n v="25"/>
    <d v="2025-08-17T00:00:00"/>
    <x v="3"/>
    <s v="Europe → United Kingdom → Birmingham"/>
    <s v="United Kingdom-2025-07"/>
    <x v="8"/>
    <s v="Birmingham"/>
    <s v="Education"/>
    <x v="1"/>
    <x v="2"/>
    <x v="1"/>
    <x v="381"/>
    <n v="1142.06"/>
    <n v="1455"/>
    <s v="Valid"/>
    <n v="1455"/>
    <s v="Medium"/>
    <n v="7.8E-2"/>
    <s v="Valid"/>
    <x v="116"/>
    <n v="28"/>
    <x v="382"/>
    <n v="31977.68"/>
    <n v="5584.5999999999985"/>
    <n v="0.1486757459877302"/>
    <n v="0"/>
    <n v="0"/>
  </r>
  <r>
    <s v="ORD-2023-594955"/>
    <d v="2023-06-20T00:00:00"/>
    <x v="23"/>
    <s v="Q2-2023"/>
    <d v="2023-07-08T00:00:00"/>
    <s v="Valid"/>
    <n v="18"/>
    <d v="2023-07-08T00:00:00"/>
    <x v="2"/>
    <s v="Americas → USA → New York"/>
    <s v="USA-2023-06"/>
    <x v="10"/>
    <s v="New York"/>
    <s v="Consumer"/>
    <x v="2"/>
    <x v="7"/>
    <x v="2"/>
    <x v="382"/>
    <n v="1145.53"/>
    <n v="1278.3"/>
    <s v="Valid"/>
    <n v="1278.3"/>
    <s v="Medium"/>
    <n v="0.09"/>
    <s v="Valid"/>
    <x v="166"/>
    <n v="41"/>
    <x v="383"/>
    <n v="46966.729999999996"/>
    <n v="726.64300000000367"/>
    <n v="1.5235722581416158E-2"/>
    <n v="0"/>
    <n v="0"/>
  </r>
  <r>
    <s v="ORD-2024-398783"/>
    <d v="2024-07-18T00:00:00"/>
    <x v="14"/>
    <s v="Q3-2024"/>
    <d v="2024-08-07T00:00:00"/>
    <s v="Valid"/>
    <n v="20"/>
    <d v="2024-08-07T00:00:00"/>
    <x v="3"/>
    <s v="Europe → France → Marseille"/>
    <s v="France-2024-07"/>
    <x v="7"/>
    <s v="Marseille"/>
    <s v="Corporate"/>
    <x v="0"/>
    <x v="9"/>
    <x v="5"/>
    <x v="383"/>
    <n v="941.35"/>
    <n v="899.83"/>
    <s v="Valid"/>
    <n v="899.83"/>
    <s v="Medium"/>
    <n v="5.8000000000000003E-2"/>
    <s v="Valid"/>
    <x v="189"/>
    <n v="18"/>
    <x v="384"/>
    <n v="16944.3"/>
    <n v="-1686.7825199999988"/>
    <n v="-0.11055419220139073"/>
    <n v="0"/>
    <n v="0"/>
  </r>
  <r>
    <s v="ORD-2023-676553"/>
    <d v="2023-05-20T00:00:00"/>
    <x v="15"/>
    <s v="Q2-2023"/>
    <d v="2023-06-19T00:00:00"/>
    <s v="Valid"/>
    <n v="30"/>
    <d v="2023-06-19T00:00:00"/>
    <x v="1"/>
    <s v="Asia → India → Delhi"/>
    <s v="India-2023-05"/>
    <x v="4"/>
    <s v="Delhi"/>
    <s v="Non-Profit"/>
    <x v="2"/>
    <x v="10"/>
    <x v="4"/>
    <x v="384"/>
    <n v="1161.2"/>
    <n v="878.73"/>
    <s v="Valid"/>
    <n v="878.73"/>
    <s v="Medium"/>
    <n v="0.19"/>
    <s v="Valid"/>
    <x v="193"/>
    <n v="31"/>
    <x v="385"/>
    <n v="35997.200000000004"/>
    <n v="-13932.289700000001"/>
    <n v="-0.63142290227212028"/>
    <n v="0"/>
    <n v="0"/>
  </r>
  <r>
    <s v="ORD-2025-866565"/>
    <d v="2025-05-12T00:00:00"/>
    <x v="8"/>
    <s v="Q2-2025"/>
    <d v="2025-05-26T00:00:00"/>
    <s v="Valid"/>
    <n v="14"/>
    <d v="2025-05-26T00:00:00"/>
    <x v="1"/>
    <s v="Asia → India → Hyderabad"/>
    <s v="India-2025-05"/>
    <x v="4"/>
    <s v="Hyderabad"/>
    <s v="Corporate"/>
    <x v="2"/>
    <x v="3"/>
    <x v="1"/>
    <x v="385"/>
    <n v="320.12"/>
    <n v="594.41999999999996"/>
    <s v="Valid"/>
    <n v="594.41999999999996"/>
    <s v="Low"/>
    <n v="0.104"/>
    <s v="Valid"/>
    <x v="66"/>
    <n v="18"/>
    <x v="386"/>
    <n v="5762.16"/>
    <n v="3824.6457599999994"/>
    <n v="0.39894891538931104"/>
    <n v="0"/>
    <n v="0"/>
  </r>
  <r>
    <s v="ORD-2024-527858"/>
    <d v="2024-05-07T00:00:00"/>
    <x v="7"/>
    <s v="Q2-2024"/>
    <d v="2024-05-12T00:00:00"/>
    <s v="Valid"/>
    <n v="5"/>
    <d v="2024-05-12T00:00:00"/>
    <x v="0"/>
    <s v="Africa → Nigeria → Abuja"/>
    <s v="Nigeria-2024-05"/>
    <x v="1"/>
    <s v="Abuja"/>
    <s v="Non-Profit"/>
    <x v="3"/>
    <x v="4"/>
    <x v="4"/>
    <x v="386"/>
    <n v="1163.99"/>
    <n v="1617.85"/>
    <s v="Valid"/>
    <n v="1617.85"/>
    <s v="Medium"/>
    <n v="0.127"/>
    <s v="Valid"/>
    <x v="109"/>
    <n v="14"/>
    <x v="387"/>
    <n v="16295.86"/>
    <n v="3477.5026999999973"/>
    <n v="0.17586804797749436"/>
    <n v="1"/>
    <n v="0"/>
  </r>
  <r>
    <s v="ORD-2023-619385"/>
    <d v="2023-09-30T00:00:00"/>
    <x v="27"/>
    <s v="Q3-2023"/>
    <d v="2023-10-03T00:00:00"/>
    <s v="Valid"/>
    <n v="3"/>
    <d v="2023-10-03T00:00:00"/>
    <x v="1"/>
    <s v="Asia → China → Beijing"/>
    <s v="China-2023-09"/>
    <x v="9"/>
    <s v="Beijing"/>
    <s v="Non-Profit"/>
    <x v="0"/>
    <x v="1"/>
    <x v="4"/>
    <x v="387"/>
    <n v="1019.36"/>
    <n v="972.91"/>
    <s v="Valid"/>
    <n v="972.91"/>
    <s v="Medium"/>
    <n v="0.14699999999999999"/>
    <s v="Valid"/>
    <x v="6"/>
    <n v="17"/>
    <x v="388"/>
    <n v="17329.12"/>
    <n v="-3220.9520899999989"/>
    <n v="-0.22830406545678819"/>
    <n v="1"/>
    <n v="0"/>
  </r>
  <r>
    <s v="ORD-2023-835226"/>
    <d v="2023-10-26T00:00:00"/>
    <x v="32"/>
    <s v="Q4-2023"/>
    <d v="2023-11-05T00:00:00"/>
    <s v="Valid"/>
    <n v="10"/>
    <d v="2023-11-05T00:00:00"/>
    <x v="0"/>
    <s v="Africa → South Africa → Cape Town"/>
    <s v="South Africa-2023-10"/>
    <x v="11"/>
    <s v="Cape Town"/>
    <s v="Non-Profit"/>
    <x v="1"/>
    <x v="2"/>
    <x v="4"/>
    <x v="388"/>
    <n v="20.38"/>
    <n v="42.56"/>
    <s v="Valid"/>
    <n v="42.56"/>
    <s v="Low"/>
    <n v="7.1999999999999995E-2"/>
    <s v="Valid"/>
    <x v="3"/>
    <n v="11"/>
    <x v="389"/>
    <n v="224.17999999999998"/>
    <n v="210.27248000000006"/>
    <n v="0.48399419885921713"/>
    <n v="0"/>
    <n v="0"/>
  </r>
  <r>
    <s v="ORD-2025-485946"/>
    <d v="2025-06-15T00:00:00"/>
    <x v="16"/>
    <s v="Q2-2025"/>
    <d v="2025-06-30T00:00:00"/>
    <s v="Valid"/>
    <n v="15"/>
    <d v="2025-06-30T00:00:00"/>
    <x v="0"/>
    <s v="Africa → South Africa → Johannesburg"/>
    <s v="South Africa-2025-06"/>
    <x v="11"/>
    <s v="Johannesburg"/>
    <s v="Small Business"/>
    <x v="4"/>
    <x v="0"/>
    <x v="5"/>
    <x v="389"/>
    <n v="1487.59"/>
    <n v="1480.83"/>
    <s v="Valid"/>
    <n v="1480.83"/>
    <s v="Medium"/>
    <n v="8.9999999999999993E-3"/>
    <s v="Valid"/>
    <x v="98"/>
    <n v="11"/>
    <x v="390"/>
    <n v="16363.49"/>
    <n v="-220.9621700000007"/>
    <n v="-1.3688201273492908E-2"/>
    <n v="0"/>
    <n v="0"/>
  </r>
  <r>
    <s v="ORD-2024-307849"/>
    <d v="2024-08-10T00:00:00"/>
    <x v="21"/>
    <s v="Q3-2024"/>
    <d v="2024-09-07T00:00:00"/>
    <s v="Valid"/>
    <n v="28"/>
    <d v="2024-09-07T00:00:00"/>
    <x v="3"/>
    <s v="Europe → France → Marseille"/>
    <s v="France-2024-08"/>
    <x v="7"/>
    <s v="Marseille"/>
    <s v="Non-Profit"/>
    <x v="4"/>
    <x v="9"/>
    <x v="1"/>
    <x v="390"/>
    <n v="229.96"/>
    <n v="564.26"/>
    <s v="Valid"/>
    <n v="564.26"/>
    <s v="Low"/>
    <n v="0.105"/>
    <s v="Valid"/>
    <x v="52"/>
    <n v="5"/>
    <x v="391"/>
    <n v="1149.8"/>
    <n v="1375.2635000000002"/>
    <n v="0.54464511486542821"/>
    <n v="0"/>
    <n v="0"/>
  </r>
  <r>
    <s v="ORD-2023-368449"/>
    <d v="2023-10-09T00:00:00"/>
    <x v="32"/>
    <s v="Q4-2023"/>
    <d v="2023-10-26T00:00:00"/>
    <s v="Valid"/>
    <n v="17"/>
    <d v="2023-10-26T00:00:00"/>
    <x v="1"/>
    <s v="Asia → China → Shanghai"/>
    <s v="China-2023-10"/>
    <x v="9"/>
    <s v="Shanghai"/>
    <s v="Consumer"/>
    <x v="2"/>
    <x v="0"/>
    <x v="0"/>
    <x v="391"/>
    <n v="1132.03"/>
    <n v="2137.21"/>
    <s v="Valid"/>
    <n v="2137.21"/>
    <s v="High"/>
    <n v="0.35699999999999998"/>
    <s v="High Discount"/>
    <x v="33"/>
    <n v="35"/>
    <x v="392"/>
    <n v="39621.049999999996"/>
    <n v="12740.595000000008"/>
    <n v="0.24331922727026639"/>
    <n v="0"/>
    <n v="1"/>
  </r>
  <r>
    <s v="ORD-2024-251426"/>
    <d v="2024-03-09T00:00:00"/>
    <x v="0"/>
    <s v="Q1-2024"/>
    <d v="2024-03-26T00:00:00"/>
    <s v="Valid"/>
    <n v="17"/>
    <d v="2024-03-26T00:00:00"/>
    <x v="2"/>
    <s v="Americas → USA → San Francisco"/>
    <s v="USA-2024-03"/>
    <x v="10"/>
    <s v="San Francisco"/>
    <s v="Education"/>
    <x v="4"/>
    <x v="2"/>
    <x v="3"/>
    <x v="392"/>
    <n v="1137.4100000000001"/>
    <n v="1680.93"/>
    <s v="Valid"/>
    <n v="1680.93"/>
    <s v="Medium"/>
    <n v="0.254"/>
    <s v="Valid"/>
    <x v="115"/>
    <n v="9"/>
    <x v="393"/>
    <n v="10236.69"/>
    <n v="1049.07402"/>
    <n v="9.2955516183121464E-2"/>
    <n v="0"/>
    <n v="1"/>
  </r>
  <r>
    <s v="ORD-2023-927385"/>
    <d v="2023-05-29T00:00:00"/>
    <x v="15"/>
    <s v="Q2-2023"/>
    <d v="2023-06-20T00:00:00"/>
    <s v="Valid"/>
    <n v="22"/>
    <d v="2023-06-20T00:00:00"/>
    <x v="3"/>
    <s v="Europe → United Kingdom → London"/>
    <s v="United Kingdom-2023-05"/>
    <x v="8"/>
    <s v="London"/>
    <s v="Small Business"/>
    <x v="4"/>
    <x v="11"/>
    <x v="0"/>
    <x v="393"/>
    <n v="1295.3900000000001"/>
    <n v="2905.06"/>
    <s v="Valid"/>
    <n v="2905.06"/>
    <s v="High"/>
    <n v="0.14799999999999999"/>
    <s v="Valid"/>
    <x v="134"/>
    <n v="8"/>
    <x v="394"/>
    <n v="10363.120000000001"/>
    <n v="9437.7689599999994"/>
    <n v="0.47663359857556614"/>
    <n v="0"/>
    <n v="0"/>
  </r>
  <r>
    <s v="ORD-2025-486350"/>
    <d v="2025-05-27T00:00:00"/>
    <x v="8"/>
    <s v="Q2-2025"/>
    <d v="2025-06-08T00:00:00"/>
    <s v="Valid"/>
    <n v="12"/>
    <d v="2025-06-08T00:00:00"/>
    <x v="1"/>
    <s v="Asia → Japan → Osaka"/>
    <s v="Japan-2025-05"/>
    <x v="2"/>
    <s v="Osaka"/>
    <s v="Corporate"/>
    <x v="0"/>
    <x v="10"/>
    <x v="6"/>
    <x v="394"/>
    <n v="653.6"/>
    <n v="842.09"/>
    <s v="Valid"/>
    <n v="842.09"/>
    <s v="Medium"/>
    <n v="9.8000000000000004E-2"/>
    <s v="Valid"/>
    <x v="194"/>
    <n v="19"/>
    <x v="395"/>
    <n v="12418.4"/>
    <n v="2013.3384200000019"/>
    <n v="0.13950768517324622"/>
    <n v="0"/>
    <n v="0"/>
  </r>
  <r>
    <s v="ORD-2025-677880"/>
    <d v="2025-08-21T00:00:00"/>
    <x v="28"/>
    <s v="Q3-2025"/>
    <d v="2025-09-14T00:00:00"/>
    <s v="Valid"/>
    <n v="24"/>
    <d v="2025-09-14T00:00:00"/>
    <x v="3"/>
    <s v="Europe → Germany → Berlin"/>
    <s v="Germany-2025-08"/>
    <x v="6"/>
    <s v="Berlin"/>
    <s v="Non-Profit"/>
    <x v="1"/>
    <x v="8"/>
    <x v="5"/>
    <x v="395"/>
    <n v="1397.67"/>
    <n v="3131.37"/>
    <s v="Valid"/>
    <n v="3131.37"/>
    <s v="High"/>
    <n v="0.10299999999999999"/>
    <s v="Valid"/>
    <x v="170"/>
    <n v="20"/>
    <x v="396"/>
    <n v="27953.4"/>
    <n v="28223.377799999995"/>
    <n v="0.50240293062874808"/>
    <n v="0"/>
    <n v="0"/>
  </r>
  <r>
    <s v="ORD-2024-102866"/>
    <d v="2024-12-12T00:00:00"/>
    <x v="6"/>
    <s v="Q4-2024"/>
    <d v="2024-12-20T00:00:00"/>
    <s v="Valid"/>
    <n v="8"/>
    <d v="2024-12-20T00:00:00"/>
    <x v="1"/>
    <s v="Asia → Japan → Tokyo"/>
    <s v="Japan-2024-12"/>
    <x v="2"/>
    <s v="Tokyo"/>
    <s v="Corporate"/>
    <x v="0"/>
    <x v="5"/>
    <x v="4"/>
    <x v="396"/>
    <n v="1202.47"/>
    <n v="1444.72"/>
    <s v="Valid"/>
    <n v="1444.72"/>
    <s v="Medium"/>
    <n v="0.24099999999999999"/>
    <s v="Valid"/>
    <x v="64"/>
    <n v="17"/>
    <x v="397"/>
    <n v="20441.990000000002"/>
    <n v="-1800.7678400000004"/>
    <n v="-9.6601382921343834E-2"/>
    <n v="0"/>
    <n v="1"/>
  </r>
  <r>
    <s v="ORD-2025-588029"/>
    <d v="2025-09-14T00:00:00"/>
    <x v="11"/>
    <s v="Q3-2025"/>
    <d v="2025-09-23T00:00:00"/>
    <s v="Valid"/>
    <n v="9"/>
    <d v="2025-09-23T00:00:00"/>
    <x v="0"/>
    <s v="Africa → South Africa → Durban"/>
    <s v="South Africa-2025-09"/>
    <x v="11"/>
    <s v="Durban"/>
    <s v="Non-Profit"/>
    <x v="1"/>
    <x v="14"/>
    <x v="0"/>
    <x v="397"/>
    <n v="1310.3"/>
    <n v="2875.8"/>
    <s v="Valid"/>
    <n v="2875.8"/>
    <s v="High"/>
    <n v="8.3000000000000004E-2"/>
    <s v="Valid"/>
    <x v="195"/>
    <n v="5"/>
    <x v="398"/>
    <n v="6551.5"/>
    <n v="6634.0429999999997"/>
    <n v="0.50313005691157353"/>
    <n v="0"/>
    <n v="0"/>
  </r>
  <r>
    <s v="ORD-2024-972999"/>
    <d v="2024-09-06T00:00:00"/>
    <x v="29"/>
    <s v="Q3-2024"/>
    <d v="2024-10-04T00:00:00"/>
    <s v="Valid"/>
    <n v="28"/>
    <d v="2024-10-04T00:00:00"/>
    <x v="0"/>
    <s v="Africa → South Africa → Cape Town"/>
    <s v="South Africa-2024-09"/>
    <x v="11"/>
    <s v="Cape Town"/>
    <s v="Corporate"/>
    <x v="2"/>
    <x v="14"/>
    <x v="5"/>
    <x v="398"/>
    <n v="1174.17"/>
    <n v="1641.61"/>
    <s v="Valid"/>
    <n v="1641.61"/>
    <s v="Medium"/>
    <n v="0.122"/>
    <s v="Valid"/>
    <x v="152"/>
    <n v="9"/>
    <x v="399"/>
    <n v="10567.53"/>
    <n v="2404.4722199999997"/>
    <n v="0.18535860380079394"/>
    <n v="0"/>
    <n v="0"/>
  </r>
  <r>
    <s v="ORD-2025-608069"/>
    <d v="2025-04-12T00:00:00"/>
    <x v="19"/>
    <s v="Q2-2025"/>
    <d v="2025-04-30T00:00:00"/>
    <s v="Valid"/>
    <n v="18"/>
    <d v="2025-04-30T00:00:00"/>
    <x v="0"/>
    <s v="Africa → Kenya → Kisumu"/>
    <s v="Kenya-2025-04"/>
    <x v="0"/>
    <s v="Kisumu"/>
    <s v="Corporate"/>
    <x v="2"/>
    <x v="9"/>
    <x v="2"/>
    <x v="399"/>
    <n v="1119.04"/>
    <n v="1299.02"/>
    <s v="Valid"/>
    <n v="1299.02"/>
    <s v="Medium"/>
    <n v="2.5000000000000001E-2"/>
    <s v="Valid"/>
    <x v="108"/>
    <n v="14"/>
    <x v="400"/>
    <n v="15666.56"/>
    <n v="2065.0630000000001"/>
    <n v="0.11646215352085933"/>
    <n v="0"/>
    <n v="0"/>
  </r>
  <r>
    <s v="ORD-2024-626750"/>
    <d v="2024-08-12T00:00:00"/>
    <x v="21"/>
    <s v="Q3-2024"/>
    <d v="2024-08-15T00:00:00"/>
    <s v="Valid"/>
    <n v="3"/>
    <d v="2024-08-15T00:00:00"/>
    <x v="2"/>
    <s v="Americas → USA → Chicago"/>
    <s v="USA-2024-08"/>
    <x v="10"/>
    <s v="Chicago"/>
    <s v="Corporate"/>
    <x v="2"/>
    <x v="14"/>
    <x v="1"/>
    <x v="400"/>
    <n v="850.7"/>
    <n v="1118.56"/>
    <s v="Valid"/>
    <n v="1118.56"/>
    <s v="Medium"/>
    <n v="0.18"/>
    <s v="Valid"/>
    <x v="78"/>
    <n v="19"/>
    <x v="401"/>
    <n v="16163.300000000001"/>
    <n v="1263.8648000000012"/>
    <n v="7.2522685962090688E-2"/>
    <n v="1"/>
    <n v="0"/>
  </r>
  <r>
    <s v="ORD-2024-170021"/>
    <d v="2024-11-05T00:00:00"/>
    <x v="18"/>
    <s v="Q4-2024"/>
    <d v="2024-11-08T00:00:00"/>
    <s v="Valid"/>
    <n v="3"/>
    <d v="2024-11-08T00:00:00"/>
    <x v="2"/>
    <s v="Americas → Canada → Toronto"/>
    <s v="Canada-2024-11"/>
    <x v="3"/>
    <s v="Toronto"/>
    <s v="Education"/>
    <x v="2"/>
    <x v="7"/>
    <x v="0"/>
    <x v="401"/>
    <n v="1020.4"/>
    <n v="1184.71"/>
    <s v="Valid"/>
    <n v="1184.71"/>
    <s v="Medium"/>
    <n v="0.106"/>
    <s v="Valid"/>
    <x v="188"/>
    <n v="16"/>
    <x v="402"/>
    <n v="16326.4"/>
    <n v="619.69184000000132"/>
    <n v="3.6568422138328345E-2"/>
    <n v="1"/>
    <n v="0"/>
  </r>
  <r>
    <s v="ORD-2024-678110"/>
    <d v="2024-07-24T00:00:00"/>
    <x v="14"/>
    <s v="Q3-2024"/>
    <d v="2024-08-08T00:00:00"/>
    <s v="Valid"/>
    <n v="15"/>
    <d v="2024-08-08T00:00:00"/>
    <x v="3"/>
    <s v="Europe → France → Marseille"/>
    <s v="France-2024-07"/>
    <x v="7"/>
    <s v="Marseille"/>
    <s v="Enterprise"/>
    <x v="2"/>
    <x v="10"/>
    <x v="4"/>
    <x v="402"/>
    <n v="501.5"/>
    <n v="1201.47"/>
    <s v="Valid"/>
    <n v="1201.47"/>
    <s v="Medium"/>
    <n v="0.126"/>
    <s v="Valid"/>
    <x v="38"/>
    <n v="5"/>
    <x v="403"/>
    <n v="2507.5"/>
    <n v="2742.9239000000007"/>
    <n v="0.52241951359394057"/>
    <n v="0"/>
    <n v="0"/>
  </r>
  <r>
    <s v="ORD-2025-909340"/>
    <d v="2025-01-20T00:00:00"/>
    <x v="10"/>
    <s v="Q1-2025"/>
    <d v="2025-02-03T00:00:00"/>
    <s v="Valid"/>
    <n v="14"/>
    <d v="2025-02-03T00:00:00"/>
    <x v="2"/>
    <s v="Americas → Brazil → Brasília"/>
    <s v="Brazil-2025-01"/>
    <x v="5"/>
    <s v="Brasília"/>
    <s v="Enterprise"/>
    <x v="2"/>
    <x v="9"/>
    <x v="0"/>
    <x v="403"/>
    <n v="974.11"/>
    <n v="880.99"/>
    <s v="Valid"/>
    <n v="880.99"/>
    <s v="Medium"/>
    <n v="0.111"/>
    <s v="Valid"/>
    <x v="94"/>
    <n v="10"/>
    <x v="404"/>
    <n v="9741.1"/>
    <n v="-1909.0989000000009"/>
    <n v="-0.2437562093805121"/>
    <n v="0"/>
    <n v="0"/>
  </r>
  <r>
    <s v="ORD-2023-854471"/>
    <d v="2023-03-06T00:00:00"/>
    <x v="22"/>
    <s v="Q1-2023"/>
    <d v="2023-04-04T00:00:00"/>
    <s v="Valid"/>
    <n v="29"/>
    <d v="2023-04-04T00:00:00"/>
    <x v="1"/>
    <s v="Asia → China → Beijing"/>
    <s v="China-2023-03"/>
    <x v="9"/>
    <s v="Beijing"/>
    <s v="Small Business"/>
    <x v="4"/>
    <x v="0"/>
    <x v="5"/>
    <x v="404"/>
    <n v="1126.29"/>
    <n v="2050.87"/>
    <s v="Valid"/>
    <n v="2050.87"/>
    <s v="High"/>
    <n v="6.4000000000000001E-2"/>
    <s v="Valid"/>
    <x v="196"/>
    <n v="7"/>
    <x v="405"/>
    <n v="7884.03"/>
    <n v="5553.2702399999989"/>
    <n v="0.41327276616690373"/>
    <n v="0"/>
    <n v="0"/>
  </r>
  <r>
    <s v="ORD-2024-390951"/>
    <d v="2024-12-20T00:00:00"/>
    <x v="6"/>
    <s v="Q4-2024"/>
    <d v="2025-01-14T00:00:00"/>
    <s v="Valid"/>
    <n v="25"/>
    <d v="2025-01-14T00:00:00"/>
    <x v="1"/>
    <s v="Asia → India → Delhi"/>
    <s v="India-2024-12"/>
    <x v="4"/>
    <s v="Delhi"/>
    <s v="Small Business"/>
    <x v="0"/>
    <x v="12"/>
    <x v="1"/>
    <x v="405"/>
    <n v="1361.34"/>
    <n v="1737.9"/>
    <s v="Valid"/>
    <n v="1737.9"/>
    <s v="Medium"/>
    <n v="7.6999999999999999E-2"/>
    <s v="Valid"/>
    <x v="197"/>
    <n v="14"/>
    <x v="406"/>
    <n v="19058.759999999998"/>
    <n v="3398.3838000000032"/>
    <n v="0.15132751654731813"/>
    <n v="0"/>
    <n v="0"/>
  </r>
  <r>
    <s v="ORD-2025-881624"/>
    <d v="2025-02-21T00:00:00"/>
    <x v="26"/>
    <s v="Q1-2025"/>
    <d v="2025-03-21T00:00:00"/>
    <s v="Valid"/>
    <n v="28"/>
    <d v="2025-03-21T00:00:00"/>
    <x v="0"/>
    <s v="Africa → Nigeria → Abuja"/>
    <s v="Nigeria-2025-02"/>
    <x v="1"/>
    <s v="Abuja"/>
    <s v="Enterprise"/>
    <x v="2"/>
    <x v="2"/>
    <x v="3"/>
    <x v="406"/>
    <n v="1437.39"/>
    <n v="1388.31"/>
    <s v="Valid"/>
    <n v="1388.31"/>
    <s v="Medium"/>
    <n v="0.13800000000000001"/>
    <s v="Valid"/>
    <x v="158"/>
    <n v="18"/>
    <x v="407"/>
    <n v="25873.02"/>
    <n v="-4332.002040000003"/>
    <n v="-0.20110479681341872"/>
    <n v="0"/>
    <n v="0"/>
  </r>
  <r>
    <s v="ORD-2025-512310"/>
    <d v="2025-03-08T00:00:00"/>
    <x v="3"/>
    <s v="Q1-2025"/>
    <d v="2025-03-15T00:00:00"/>
    <s v="Valid"/>
    <n v="7"/>
    <d v="2025-03-15T00:00:00"/>
    <x v="1"/>
    <s v="Asia → India → Bengaluru"/>
    <s v="India-2025-03"/>
    <x v="4"/>
    <s v="Bengaluru"/>
    <s v="Corporate"/>
    <x v="3"/>
    <x v="11"/>
    <x v="4"/>
    <x v="407"/>
    <n v="475.66"/>
    <n v="529.14"/>
    <s v="Valid"/>
    <n v="529.14"/>
    <s v="Low"/>
    <n v="0.19600000000000001"/>
    <s v="Valid"/>
    <x v="123"/>
    <n v="11"/>
    <x v="408"/>
    <n v="5232.26"/>
    <n v="-552.54583999999977"/>
    <n v="-0.11807256193613323"/>
    <n v="1"/>
    <n v="0"/>
  </r>
  <r>
    <s v="ORD-2023-674887"/>
    <d v="2023-12-16T00:00:00"/>
    <x v="4"/>
    <s v="Q4-2023"/>
    <d v="2023-12-19T00:00:00"/>
    <s v="Valid"/>
    <n v="3"/>
    <d v="2023-12-19T00:00:00"/>
    <x v="1"/>
    <s v="Asia → China → Beijing"/>
    <s v="China-2023-12"/>
    <x v="9"/>
    <s v="Beijing"/>
    <s v="Education"/>
    <x v="0"/>
    <x v="8"/>
    <x v="6"/>
    <x v="408"/>
    <n v="1415.05"/>
    <n v="1972.38"/>
    <s v="Valid"/>
    <n v="1972.38"/>
    <s v="High"/>
    <n v="0"/>
    <s v="Valid"/>
    <x v="5"/>
    <n v="12"/>
    <x v="409"/>
    <n v="16980.599999999999"/>
    <n v="6687.9600000000028"/>
    <n v="0.28256725377462771"/>
    <n v="1"/>
    <n v="0"/>
  </r>
  <r>
    <s v="ORD-2024-542244"/>
    <d v="2024-08-30T00:00:00"/>
    <x v="21"/>
    <s v="Q3-2024"/>
    <d v="2024-09-05T00:00:00"/>
    <s v="Valid"/>
    <n v="6"/>
    <d v="2024-09-05T00:00:00"/>
    <x v="1"/>
    <s v="Asia → Japan → Nagoya"/>
    <s v="Japan-2024-08"/>
    <x v="2"/>
    <s v="Nagoya"/>
    <s v="Education"/>
    <x v="1"/>
    <x v="13"/>
    <x v="4"/>
    <x v="409"/>
    <n v="466.16"/>
    <n v="876.81"/>
    <s v="Valid"/>
    <n v="876.81"/>
    <s v="Medium"/>
    <n v="0.24099999999999999"/>
    <s v="Valid"/>
    <x v="64"/>
    <n v="8"/>
    <x v="410"/>
    <n v="3729.28"/>
    <n v="1594.7103199999997"/>
    <n v="0.29953291124691594"/>
    <n v="1"/>
    <n v="1"/>
  </r>
  <r>
    <s v="ORD-2024-375848"/>
    <d v="2024-05-18T00:00:00"/>
    <x v="7"/>
    <s v="Q2-2024"/>
    <d v="2024-05-21T00:00:00"/>
    <s v="Valid"/>
    <n v="3"/>
    <d v="2024-05-21T00:00:00"/>
    <x v="3"/>
    <s v="Europe → France → Marseille"/>
    <s v="France-2024-05"/>
    <x v="7"/>
    <s v="Marseille"/>
    <s v="Non-Profit"/>
    <x v="2"/>
    <x v="14"/>
    <x v="1"/>
    <x v="410"/>
    <n v="663.66"/>
    <n v="824.26"/>
    <s v="Valid"/>
    <n v="824.26"/>
    <s v="Medium"/>
    <n v="0.23899999999999999"/>
    <s v="Valid"/>
    <x v="174"/>
    <n v="11"/>
    <x v="411"/>
    <n v="7300.2599999999993"/>
    <n v="-400.379539999999"/>
    <n v="-5.8027025587048933E-2"/>
    <n v="1"/>
    <n v="1"/>
  </r>
  <r>
    <s v="ORD-2023-933238"/>
    <d v="2023-03-17T00:00:00"/>
    <x v="22"/>
    <s v="Q1-2023"/>
    <d v="2023-04-06T00:00:00"/>
    <s v="Valid"/>
    <n v="20"/>
    <d v="2023-04-06T00:00:00"/>
    <x v="3"/>
    <s v="Europe → Germany → Munich"/>
    <s v="Germany-2023-03"/>
    <x v="6"/>
    <s v="Munich"/>
    <s v="Consumer"/>
    <x v="0"/>
    <x v="7"/>
    <x v="3"/>
    <x v="411"/>
    <n v="692.18"/>
    <n v="1159.3499999999999"/>
    <s v="Valid"/>
    <n v="1159.3499999999999"/>
    <s v="Medium"/>
    <n v="0.112"/>
    <s v="Valid"/>
    <x v="0"/>
    <n v="2"/>
    <x v="412"/>
    <n v="1384.36"/>
    <n v="674.64560000000006"/>
    <n v="0.32765602968734037"/>
    <n v="0"/>
    <n v="0"/>
  </r>
  <r>
    <s v="ORD-2023-732585"/>
    <d v="2023-08-25T00:00:00"/>
    <x v="25"/>
    <s v="Q3-2023"/>
    <d v="2023-09-16T00:00:00"/>
    <s v="Valid"/>
    <n v="22"/>
    <d v="2023-09-16T00:00:00"/>
    <x v="0"/>
    <s v="Africa → Nigeria → Abuja"/>
    <s v="Nigeria-2023-08"/>
    <x v="1"/>
    <s v="Abuja"/>
    <s v="Corporate"/>
    <x v="2"/>
    <x v="4"/>
    <x v="3"/>
    <x v="412"/>
    <n v="1196.83"/>
    <n v="2513.5100000000002"/>
    <s v="Valid"/>
    <n v="2513.5100000000002"/>
    <s v="High"/>
    <n v="8.3000000000000004E-2"/>
    <s v="Valid"/>
    <x v="195"/>
    <n v="7"/>
    <x v="413"/>
    <n v="8377.81"/>
    <n v="7756.4106900000006"/>
    <n v="0.48074281609445374"/>
    <n v="0"/>
    <n v="0"/>
  </r>
  <r>
    <s v="ORD-2024-465898"/>
    <d v="2024-06-06T00:00:00"/>
    <x v="17"/>
    <s v="Q2-2024"/>
    <d v="2024-06-24T00:00:00"/>
    <s v="Valid"/>
    <n v="18"/>
    <d v="2024-06-24T00:00:00"/>
    <x v="1"/>
    <s v="Asia → India → Bengaluru"/>
    <s v="India-2024-06"/>
    <x v="4"/>
    <s v="Bengaluru"/>
    <s v="Small Business"/>
    <x v="4"/>
    <x v="10"/>
    <x v="2"/>
    <x v="413"/>
    <n v="1253.25"/>
    <n v="3087.13"/>
    <s v="Valid"/>
    <n v="3087.13"/>
    <s v="High"/>
    <n v="7.1999999999999995E-2"/>
    <s v="Valid"/>
    <x v="3"/>
    <n v="11"/>
    <x v="414"/>
    <n v="13785.75"/>
    <n v="17727.673040000001"/>
    <n v="0.562543555408064"/>
    <n v="0"/>
    <n v="0"/>
  </r>
  <r>
    <s v="ORD-2023-987081"/>
    <d v="2023-08-29T00:00:00"/>
    <x v="25"/>
    <s v="Q3-2023"/>
    <d v="2023-09-13T00:00:00"/>
    <s v="Valid"/>
    <n v="15"/>
    <d v="2023-09-13T00:00:00"/>
    <x v="2"/>
    <s v="Americas → Canada → Vancouver"/>
    <s v="Canada-2023-08"/>
    <x v="3"/>
    <s v="Vancouver"/>
    <s v="Small Business"/>
    <x v="2"/>
    <x v="7"/>
    <x v="1"/>
    <x v="414"/>
    <n v="1287.6400000000001"/>
    <n v="2717.15"/>
    <s v="Valid"/>
    <n v="2717.15"/>
    <s v="High"/>
    <n v="3.2000000000000001E-2"/>
    <s v="Valid"/>
    <x v="191"/>
    <n v="7"/>
    <x v="415"/>
    <n v="9013.4800000000014"/>
    <n v="9397.9283999999989"/>
    <n v="0.51044049405802105"/>
    <n v="0"/>
    <n v="0"/>
  </r>
  <r>
    <s v="ORD-2024-655710"/>
    <d v="2024-11-30T00:00:00"/>
    <x v="18"/>
    <s v="Q4-2024"/>
    <d v="2024-12-10T00:00:00"/>
    <s v="Valid"/>
    <n v="10"/>
    <d v="2024-12-10T00:00:00"/>
    <x v="1"/>
    <s v="Asia → India → Hyderabad"/>
    <s v="India-2024-11"/>
    <x v="4"/>
    <s v="Hyderabad"/>
    <s v="Small Business"/>
    <x v="0"/>
    <x v="9"/>
    <x v="6"/>
    <x v="415"/>
    <n v="851.49"/>
    <n v="901.79"/>
    <s v="Valid"/>
    <n v="901.79"/>
    <s v="Medium"/>
    <n v="0.245"/>
    <s v="Valid"/>
    <x v="102"/>
    <n v="16"/>
    <x v="416"/>
    <n v="13623.84"/>
    <n v="-2730.2168000000001"/>
    <n v="-0.25062522816100341"/>
    <n v="0"/>
    <n v="1"/>
  </r>
  <r>
    <s v="ORD-2025-411385"/>
    <d v="2025-06-05T00:00:00"/>
    <x v="16"/>
    <s v="Q2-2025"/>
    <d v="2025-06-14T00:00:00"/>
    <s v="Valid"/>
    <n v="9"/>
    <d v="2025-06-14T00:00:00"/>
    <x v="1"/>
    <s v="Asia → India → Delhi"/>
    <s v="India-2025-06"/>
    <x v="4"/>
    <s v="Delhi"/>
    <s v="Non-Profit"/>
    <x v="0"/>
    <x v="8"/>
    <x v="6"/>
    <x v="416"/>
    <n v="618.69000000000005"/>
    <n v="796.15"/>
    <s v="Valid"/>
    <n v="796.15"/>
    <s v="Medium"/>
    <n v="0.09"/>
    <s v="Valid"/>
    <x v="166"/>
    <n v="11"/>
    <x v="417"/>
    <n v="6805.59"/>
    <n v="1163.8715000000002"/>
    <n v="0.14604142325049191"/>
    <n v="0"/>
    <n v="0"/>
  </r>
  <r>
    <s v="ORD-2025-222035"/>
    <d v="2025-03-14T00:00:00"/>
    <x v="3"/>
    <s v="Q1-2025"/>
    <d v="2025-04-08T00:00:00"/>
    <s v="Valid"/>
    <n v="25"/>
    <d v="2025-04-08T00:00:00"/>
    <x v="1"/>
    <s v="Asia → China → unknown"/>
    <s v="China-2025-03"/>
    <x v="9"/>
    <s v="unknown"/>
    <s v="Corporate"/>
    <x v="3"/>
    <x v="14"/>
    <x v="1"/>
    <x v="417"/>
    <n v="80.59"/>
    <n v="157.82"/>
    <s v="Valid"/>
    <n v="157.82"/>
    <s v="Low"/>
    <n v="0.217"/>
    <s v="Valid"/>
    <x v="198"/>
    <n v="6"/>
    <x v="418"/>
    <n v="483.54"/>
    <n v="257.89835999999997"/>
    <n v="0.34783519967863541"/>
    <n v="0"/>
    <n v="1"/>
  </r>
  <r>
    <s v="ORD-2024-749242"/>
    <d v="2024-01-16T00:00:00"/>
    <x v="9"/>
    <s v="Q1-2024"/>
    <d v="2024-02-11T00:00:00"/>
    <s v="Valid"/>
    <n v="26"/>
    <d v="2024-02-11T00:00:00"/>
    <x v="3"/>
    <s v="Europe → Germany → Frankfurt"/>
    <s v="Germany-2024-01"/>
    <x v="6"/>
    <s v="Frankfurt"/>
    <s v="Non-Profit"/>
    <x v="3"/>
    <x v="6"/>
    <x v="5"/>
    <x v="418"/>
    <n v="504.93"/>
    <n v="819.06"/>
    <s v="Valid"/>
    <n v="819.06"/>
    <s v="Medium"/>
    <n v="0.22600000000000001"/>
    <s v="Valid"/>
    <x v="199"/>
    <n v="15"/>
    <x v="419"/>
    <n v="7573.95"/>
    <n v="1935.3365999999996"/>
    <n v="0.20352069312959814"/>
    <n v="0"/>
    <n v="1"/>
  </r>
  <r>
    <s v="ORD-2023-623293"/>
    <d v="2023-10-12T00:00:00"/>
    <x v="32"/>
    <s v="Q4-2023"/>
    <d v="2023-10-29T00:00:00"/>
    <s v="Valid"/>
    <n v="17"/>
    <d v="2023-10-29T00:00:00"/>
    <x v="1"/>
    <s v="Asia → Japan → Nagoya"/>
    <s v="Japan-2023-10"/>
    <x v="2"/>
    <s v="Nagoya"/>
    <s v="Non-Profit"/>
    <x v="4"/>
    <x v="10"/>
    <x v="3"/>
    <x v="419"/>
    <n v="1102.19"/>
    <n v="1711.16"/>
    <s v="Valid"/>
    <n v="1711.16"/>
    <s v="Medium"/>
    <n v="0.151"/>
    <s v="Valid"/>
    <x v="101"/>
    <n v="10"/>
    <x v="420"/>
    <n v="11021.900000000001"/>
    <n v="3505.8484000000008"/>
    <n v="0.24132083675127525"/>
    <n v="0"/>
    <n v="0"/>
  </r>
  <r>
    <s v="ORD-2025-276968"/>
    <d v="2025-02-25T00:00:00"/>
    <x v="26"/>
    <s v="Q1-2025"/>
    <d v="2025-03-17T00:00:00"/>
    <s v="Valid"/>
    <n v="20"/>
    <d v="2025-03-17T00:00:00"/>
    <x v="2"/>
    <s v="Americas → USA → San Francisco"/>
    <s v="USA-2025-02"/>
    <x v="10"/>
    <s v="San Francisco"/>
    <s v="Non-Profit"/>
    <x v="2"/>
    <x v="10"/>
    <x v="3"/>
    <x v="420"/>
    <n v="1205.26"/>
    <n v="1696.35"/>
    <s v="Valid"/>
    <n v="1696.35"/>
    <s v="Medium"/>
    <n v="1.9E-2"/>
    <s v="Valid"/>
    <x v="200"/>
    <n v="6"/>
    <x v="421"/>
    <n v="7231.5599999999995"/>
    <n v="2753.1560999999983"/>
    <n v="0.27573704374028213"/>
    <n v="0"/>
    <n v="0"/>
  </r>
  <r>
    <s v="ORD-2025-650841"/>
    <d v="2025-07-03T00:00:00"/>
    <x v="13"/>
    <s v="Q3-2025"/>
    <d v="2025-07-06T00:00:00"/>
    <s v="Valid"/>
    <n v="3"/>
    <d v="2025-07-06T00:00:00"/>
    <x v="0"/>
    <s v="Africa → Nigeria → Lagos"/>
    <s v="Nigeria-2025-07"/>
    <x v="1"/>
    <s v="Lagos"/>
    <s v="Consumer"/>
    <x v="1"/>
    <x v="15"/>
    <x v="4"/>
    <x v="421"/>
    <n v="1313.3"/>
    <n v="2884.34"/>
    <s v="Valid"/>
    <n v="2884.34"/>
    <s v="High"/>
    <n v="0.157"/>
    <s v="Valid"/>
    <x v="86"/>
    <n v="42"/>
    <x v="422"/>
    <n v="55158.6"/>
    <n v="46964.342039999996"/>
    <n v="0.45988042551305253"/>
    <n v="1"/>
    <n v="0"/>
  </r>
  <r>
    <s v="ORD-2025-831576"/>
    <d v="2025-09-15T00:00:00"/>
    <x v="11"/>
    <s v="Q3-2025"/>
    <d v="2025-09-25T00:00:00"/>
    <s v="Valid"/>
    <n v="10"/>
    <d v="2025-09-25T00:00:00"/>
    <x v="1"/>
    <s v="Asia → India → Delhi"/>
    <s v="India-2025-09"/>
    <x v="4"/>
    <s v="Delhi"/>
    <s v="Consumer"/>
    <x v="0"/>
    <x v="8"/>
    <x v="3"/>
    <x v="422"/>
    <n v="1488.91"/>
    <n v="1483.74"/>
    <s v="Valid"/>
    <n v="1483.74"/>
    <s v="Medium"/>
    <n v="0.16800000000000001"/>
    <s v="Valid"/>
    <x v="21"/>
    <n v="24"/>
    <x v="423"/>
    <n v="35733.840000000004"/>
    <n v="-6106.5196800000049"/>
    <n v="-0.20611110333450519"/>
    <n v="0"/>
    <n v="0"/>
  </r>
  <r>
    <s v="ORD-2024-468655"/>
    <d v="2024-02-19T00:00:00"/>
    <x v="31"/>
    <s v="Q1-2024"/>
    <d v="2024-03-06T00:00:00"/>
    <s v="Valid"/>
    <n v="16"/>
    <d v="2024-03-06T00:00:00"/>
    <x v="1"/>
    <s v="Asia → China → Beijing"/>
    <s v="China-2024-02"/>
    <x v="9"/>
    <s v="Beijing"/>
    <s v="Education"/>
    <x v="2"/>
    <x v="7"/>
    <x v="1"/>
    <x v="423"/>
    <n v="1477.84"/>
    <n v="3197.47"/>
    <s v="Valid"/>
    <n v="3197.47"/>
    <s v="High"/>
    <n v="0.24299999999999999"/>
    <s v="Valid"/>
    <x v="28"/>
    <n v="24"/>
    <x v="424"/>
    <n v="35468.159999999996"/>
    <n v="22623.474960000007"/>
    <n v="0.38944462443823091"/>
    <n v="0"/>
    <n v="1"/>
  </r>
  <r>
    <s v="ORD-2024-515105"/>
    <d v="2024-02-27T00:00:00"/>
    <x v="31"/>
    <s v="Q1-2024"/>
    <d v="2024-03-26T00:00:00"/>
    <s v="Valid"/>
    <n v="28"/>
    <d v="2024-03-26T00:00:00"/>
    <x v="1"/>
    <s v="Asia → India → Mumbai"/>
    <s v="India-2024-02"/>
    <x v="4"/>
    <s v="Mumbai"/>
    <s v="Education"/>
    <x v="2"/>
    <x v="3"/>
    <x v="4"/>
    <x v="424"/>
    <n v="1035.19"/>
    <n v="2322.6999999999998"/>
    <s v="Valid"/>
    <n v="2322.6999999999998"/>
    <s v="High"/>
    <n v="0.17299999999999999"/>
    <s v="Valid"/>
    <x v="121"/>
    <n v="8"/>
    <x v="425"/>
    <n v="8281.52"/>
    <n v="7085.4631999999983"/>
    <n v="0.46108355217047409"/>
    <n v="0"/>
    <n v="0"/>
  </r>
  <r>
    <s v="ORD-2025-803803"/>
    <d v="2025-08-28T00:00:00"/>
    <x v="28"/>
    <s v="Q3-2025"/>
    <d v="2025-09-05T00:00:00"/>
    <s v="Valid"/>
    <n v="8"/>
    <d v="2025-09-05T00:00:00"/>
    <x v="0"/>
    <s v="Africa → Nigeria → Port Harcourt"/>
    <s v="Nigeria-2025-08"/>
    <x v="1"/>
    <s v="Port Harcourt"/>
    <s v="Small Business"/>
    <x v="2"/>
    <x v="6"/>
    <x v="4"/>
    <x v="425"/>
    <n v="1271.0999999999999"/>
    <n v="1932.42"/>
    <s v="Valid"/>
    <n v="1932.42"/>
    <s v="High"/>
    <n v="0.25"/>
    <s v="Valid"/>
    <x v="11"/>
    <n v="21"/>
    <x v="426"/>
    <n v="26693.1"/>
    <n v="3742.5149999999994"/>
    <n v="0.12296498690760807"/>
    <n v="0"/>
    <n v="1"/>
  </r>
  <r>
    <s v="ORD-2024-993481"/>
    <d v="2024-08-18T00:00:00"/>
    <x v="21"/>
    <s v="Q3-2024"/>
    <d v="2024-09-12T00:00:00"/>
    <s v="Valid"/>
    <n v="25"/>
    <d v="2024-09-12T00:00:00"/>
    <x v="1"/>
    <s v="Asia → India → Mumbai"/>
    <s v="India-2024-08"/>
    <x v="4"/>
    <s v="Mumbai"/>
    <s v="Consumer"/>
    <x v="2"/>
    <x v="0"/>
    <x v="3"/>
    <x v="426"/>
    <n v="1154.03"/>
    <n v="1590.36"/>
    <s v="Valid"/>
    <n v="1590.36"/>
    <s v="Medium"/>
    <n v="0.314"/>
    <s v="High Discount"/>
    <x v="33"/>
    <n v="18"/>
    <x v="427"/>
    <n v="20772.54"/>
    <n v="-734.00400000000081"/>
    <n v="-3.6629622044245191E-2"/>
    <n v="0"/>
    <n v="1"/>
  </r>
  <r>
    <s v="ORD-2024-811752"/>
    <d v="2024-02-25T00:00:00"/>
    <x v="31"/>
    <s v="Q1-2024"/>
    <d v="2024-03-09T00:00:00"/>
    <s v="Valid"/>
    <n v="13"/>
    <d v="2024-03-09T00:00:00"/>
    <x v="3"/>
    <s v="Europe → France → Marseille"/>
    <s v="France-2024-02"/>
    <x v="7"/>
    <s v="Marseille"/>
    <s v="Small Business"/>
    <x v="3"/>
    <x v="6"/>
    <x v="5"/>
    <x v="427"/>
    <n v="322.44"/>
    <n v="395.61"/>
    <s v="Valid"/>
    <n v="395.61"/>
    <s v="Low"/>
    <n v="0"/>
    <s v="Valid"/>
    <x v="5"/>
    <n v="34"/>
    <x v="428"/>
    <n v="10962.96"/>
    <n v="2487.7800000000007"/>
    <n v="0.18495487980586947"/>
    <n v="0"/>
    <n v="0"/>
  </r>
  <r>
    <s v="ORD-2025-673091"/>
    <d v="2025-05-07T00:00:00"/>
    <x v="8"/>
    <s v="Q2-2025"/>
    <d v="2025-05-13T00:00:00"/>
    <s v="Valid"/>
    <n v="6"/>
    <d v="2025-05-13T00:00:00"/>
    <x v="1"/>
    <s v="Asia → India → Bengaluru"/>
    <s v="India-2025-05"/>
    <x v="4"/>
    <s v="Bengaluru"/>
    <s v="Enterprise"/>
    <x v="4"/>
    <x v="1"/>
    <x v="3"/>
    <x v="428"/>
    <n v="935.98"/>
    <n v="2077.69"/>
    <s v="Valid"/>
    <n v="2077.69"/>
    <s v="High"/>
    <n v="0.17499999999999999"/>
    <s v="Valid"/>
    <x v="30"/>
    <n v="24"/>
    <x v="429"/>
    <n v="22463.52"/>
    <n v="18674.741999999995"/>
    <n v="0.45395067978321491"/>
    <n v="1"/>
    <n v="0"/>
  </r>
  <r>
    <s v="ORD-2024-381197"/>
    <d v="2024-11-01T00:00:00"/>
    <x v="18"/>
    <s v="Q4-2024"/>
    <d v="2024-11-12T00:00:00"/>
    <s v="Valid"/>
    <n v="11"/>
    <d v="2024-11-12T00:00:00"/>
    <x v="3"/>
    <s v="Europe → Germany → Frankfurt"/>
    <s v="Germany-2024-11"/>
    <x v="6"/>
    <s v="Frankfurt"/>
    <s v="Consumer"/>
    <x v="1"/>
    <x v="5"/>
    <x v="1"/>
    <x v="429"/>
    <n v="599.84"/>
    <n v="1330.85"/>
    <s v="Valid"/>
    <n v="1330.85"/>
    <s v="Medium"/>
    <n v="0.115"/>
    <s v="Valid"/>
    <x v="157"/>
    <n v="11"/>
    <x v="430"/>
    <n v="6598.2400000000007"/>
    <n v="6357.5847499999973"/>
    <n v="0.49071246892252063"/>
    <n v="0"/>
    <n v="0"/>
  </r>
  <r>
    <s v="ORD-2024-651852"/>
    <d v="2024-12-28T00:00:00"/>
    <x v="6"/>
    <s v="Q4-2024"/>
    <d v="2025-01-08T00:00:00"/>
    <s v="Valid"/>
    <n v="11"/>
    <d v="2025-01-08T00:00:00"/>
    <x v="1"/>
    <s v="Asia → China → Shenzhen"/>
    <s v="China-2024-12"/>
    <x v="9"/>
    <s v="Shenzhen"/>
    <s v="Enterprise"/>
    <x v="1"/>
    <x v="11"/>
    <x v="4"/>
    <x v="430"/>
    <n v="1201.31"/>
    <n v="2764.65"/>
    <s v="Valid"/>
    <n v="2764.65"/>
    <s v="High"/>
    <n v="0"/>
    <s v="Valid"/>
    <x v="5"/>
    <n v="21"/>
    <x v="431"/>
    <n v="25227.51"/>
    <n v="32830.14"/>
    <n v="0.56547483406579491"/>
    <n v="0"/>
    <n v="0"/>
  </r>
  <r>
    <s v="ORD-2023-659070"/>
    <d v="2023-10-21T00:00:00"/>
    <x v="32"/>
    <s v="Q4-2023"/>
    <d v="2023-10-21T00:00:00"/>
    <s v="Valid"/>
    <n v="0"/>
    <d v="2023-10-21T00:00:00"/>
    <x v="3"/>
    <s v="Europe → United Kingdom → Manchester"/>
    <s v="United Kingdom-2023-10"/>
    <x v="8"/>
    <s v="Manchester"/>
    <s v="Enterprise"/>
    <x v="3"/>
    <x v="1"/>
    <x v="5"/>
    <x v="431"/>
    <n v="384.19"/>
    <n v="278.35000000000002"/>
    <s v="Valid"/>
    <n v="278.35000000000002"/>
    <s v="Low"/>
    <n v="5.6000000000000001E-2"/>
    <s v="Valid"/>
    <x v="120"/>
    <n v="10"/>
    <x v="432"/>
    <n v="3841.9"/>
    <n v="-1214.2760000000003"/>
    <n v="-0.46211938998882657"/>
    <n v="1"/>
    <n v="0"/>
  </r>
  <r>
    <s v="ORD-2024-837651"/>
    <d v="2024-12-10T00:00:00"/>
    <x v="6"/>
    <s v="Q4-2024"/>
    <d v="2024-12-19T00:00:00"/>
    <s v="Valid"/>
    <n v="9"/>
    <d v="2024-12-19T00:00:00"/>
    <x v="0"/>
    <s v="Africa → Nigeria → Lagos"/>
    <s v="Nigeria-2024-12"/>
    <x v="1"/>
    <s v="Lagos"/>
    <s v="Corporate"/>
    <x v="0"/>
    <x v="7"/>
    <x v="5"/>
    <x v="432"/>
    <n v="488.68"/>
    <n v="984.36"/>
    <s v="Valid"/>
    <n v="984.36"/>
    <s v="Medium"/>
    <n v="5.8999999999999997E-2"/>
    <s v="Valid"/>
    <x v="161"/>
    <n v="14"/>
    <x v="433"/>
    <n v="6841.52"/>
    <n v="6126.4386400000003"/>
    <n v="0.47242891576649876"/>
    <n v="0"/>
    <n v="0"/>
  </r>
  <r>
    <s v="ORD-2024-581530"/>
    <d v="2024-09-07T00:00:00"/>
    <x v="29"/>
    <s v="Q3-2024"/>
    <d v="2024-09-18T00:00:00"/>
    <s v="Valid"/>
    <n v="11"/>
    <d v="2024-09-18T00:00:00"/>
    <x v="1"/>
    <s v="Asia → China → Beijing"/>
    <s v="China-2024-09"/>
    <x v="9"/>
    <s v="Beijing"/>
    <s v="Consumer"/>
    <x v="3"/>
    <x v="7"/>
    <x v="2"/>
    <x v="433"/>
    <n v="181.74"/>
    <n v="190.84"/>
    <s v="Valid"/>
    <n v="190.84"/>
    <s v="Low"/>
    <n v="0.214"/>
    <s v="Valid"/>
    <x v="201"/>
    <n v="13"/>
    <x v="434"/>
    <n v="2362.62"/>
    <n v="-412.61687999999981"/>
    <n v="-0.21159806144310159"/>
    <n v="0"/>
    <n v="1"/>
  </r>
  <r>
    <s v="ORD-2023-378104"/>
    <d v="2023-10-18T00:00:00"/>
    <x v="32"/>
    <s v="Q4-2023"/>
    <d v="2023-10-20T00:00:00"/>
    <s v="Valid"/>
    <n v="2"/>
    <d v="2023-10-20T00:00:00"/>
    <x v="0"/>
    <s v="Africa → Kenya → Kisumu"/>
    <s v="Kenya-2023-10"/>
    <x v="0"/>
    <s v="Kisumu"/>
    <s v="Consumer"/>
    <x v="0"/>
    <x v="1"/>
    <x v="3"/>
    <x v="434"/>
    <n v="774.12"/>
    <n v="908.3"/>
    <s v="Valid"/>
    <n v="908.3"/>
    <s v="Medium"/>
    <n v="0"/>
    <s v="Valid"/>
    <x v="5"/>
    <n v="30"/>
    <x v="435"/>
    <n v="23223.599999999999"/>
    <n v="4025.4000000000015"/>
    <n v="0.14772652207420461"/>
    <n v="1"/>
    <n v="0"/>
  </r>
  <r>
    <s v="ORD-2024-972318"/>
    <d v="2024-12-24T00:00:00"/>
    <x v="6"/>
    <s v="Q4-2024"/>
    <d v="2025-01-13T00:00:00"/>
    <s v="Valid"/>
    <n v="20"/>
    <d v="2025-01-13T00:00:00"/>
    <x v="1"/>
    <s v="Asia → India → Bengaluru"/>
    <s v="India-2024-12"/>
    <x v="4"/>
    <s v="Bengaluru"/>
    <s v="Corporate"/>
    <x v="2"/>
    <x v="14"/>
    <x v="2"/>
    <x v="435"/>
    <n v="126.15"/>
    <n v="284.23"/>
    <s v="Valid"/>
    <n v="284.23"/>
    <s v="Low"/>
    <n v="0.113"/>
    <s v="Valid"/>
    <x v="138"/>
    <n v="22"/>
    <x v="436"/>
    <n v="2775.3"/>
    <n v="2771.1642200000006"/>
    <n v="0.49962716968541088"/>
    <n v="0"/>
    <n v="0"/>
  </r>
  <r>
    <s v="ORD-2023-752962"/>
    <d v="2023-04-21T00:00:00"/>
    <x v="12"/>
    <s v="Q2-2023"/>
    <d v="2023-04-19T00:00:00"/>
    <s v="Invalid RequiredDate"/>
    <n v="-2"/>
    <d v="2023-05-17T00:00:00"/>
    <x v="1"/>
    <s v="Asia → Japan → Nagoya"/>
    <s v="Japan-2023-04"/>
    <x v="2"/>
    <s v="Nagoya"/>
    <s v="Small Business"/>
    <x v="4"/>
    <x v="12"/>
    <x v="0"/>
    <x v="436"/>
    <n v="607.04"/>
    <n v="1229.3399999999999"/>
    <s v="Valid"/>
    <n v="1229.3399999999999"/>
    <s v="Medium"/>
    <n v="0.14699999999999999"/>
    <s v="Valid"/>
    <x v="6"/>
    <n v="7"/>
    <x v="437"/>
    <n v="4249.28"/>
    <n v="3091.1091399999996"/>
    <n v="0.42110970972310058"/>
    <n v="1"/>
    <n v="0"/>
  </r>
  <r>
    <s v="ORD-2023-808024"/>
    <d v="2023-12-30T00:00:00"/>
    <x v="4"/>
    <s v="Q4-2023"/>
    <d v="2024-01-08T00:00:00"/>
    <s v="Valid"/>
    <n v="9"/>
    <d v="2024-01-08T00:00:00"/>
    <x v="3"/>
    <s v="Europe → France → Marseille"/>
    <s v="France-2023-12"/>
    <x v="7"/>
    <s v="Marseille"/>
    <s v="Consumer"/>
    <x v="2"/>
    <x v="4"/>
    <x v="6"/>
    <x v="437"/>
    <n v="861.1"/>
    <n v="1224.72"/>
    <s v="Valid"/>
    <n v="1224.72"/>
    <s v="Medium"/>
    <n v="0.17399999999999999"/>
    <s v="Valid"/>
    <x v="154"/>
    <n v="24"/>
    <x v="438"/>
    <n v="20666.400000000001"/>
    <n v="3612.4492800000007"/>
    <n v="0.14878997098827909"/>
    <n v="0"/>
    <n v="0"/>
  </r>
  <r>
    <s v="ORD-2023-156396"/>
    <d v="2023-02-21T00:00:00"/>
    <x v="2"/>
    <s v="Q1-2023"/>
    <d v="2023-03-12T00:00:00"/>
    <s v="Valid"/>
    <n v="19"/>
    <d v="2023-03-12T00:00:00"/>
    <x v="0"/>
    <s v="Africa → Kenya → Nakuru"/>
    <s v="Kenya-2023-02"/>
    <x v="0"/>
    <s v="Nakuru"/>
    <s v="Corporate"/>
    <x v="1"/>
    <x v="9"/>
    <x v="2"/>
    <x v="438"/>
    <n v="352.65"/>
    <n v="485.86"/>
    <s v="Valid"/>
    <n v="485.86"/>
    <s v="Low"/>
    <n v="4.1000000000000002E-2"/>
    <s v="Valid"/>
    <x v="202"/>
    <n v="6"/>
    <x v="439"/>
    <n v="2115.8999999999996"/>
    <n v="679.73844000000008"/>
    <n v="0.24314247159943908"/>
    <n v="0"/>
    <n v="0"/>
  </r>
  <r>
    <s v="ORD-2023-184577"/>
    <d v="2023-05-17T00:00:00"/>
    <x v="15"/>
    <s v="Q2-2023"/>
    <d v="2023-06-03T00:00:00"/>
    <s v="Valid"/>
    <n v="17"/>
    <d v="2023-06-03T00:00:00"/>
    <x v="1"/>
    <s v="Asia → China → Beijing"/>
    <s v="China-2023-05"/>
    <x v="9"/>
    <s v="Beijing"/>
    <s v="Non-Profit"/>
    <x v="3"/>
    <x v="12"/>
    <x v="1"/>
    <x v="439"/>
    <n v="979.59"/>
    <n v="2210.94"/>
    <s v="Valid"/>
    <n v="2210.94"/>
    <s v="High"/>
    <n v="0.15"/>
    <s v="Valid"/>
    <x v="203"/>
    <n v="11"/>
    <x v="440"/>
    <n v="10775.49"/>
    <n v="9896.7990000000009"/>
    <n v="0.47874712858358359"/>
    <n v="0"/>
    <n v="0"/>
  </r>
  <r>
    <s v="ORD-2024-446030"/>
    <d v="2024-03-23T00:00:00"/>
    <x v="0"/>
    <s v="Q1-2024"/>
    <d v="2024-03-26T00:00:00"/>
    <s v="Valid"/>
    <n v="3"/>
    <d v="2024-03-26T00:00:00"/>
    <x v="1"/>
    <s v="Asia → India → Bengaluru"/>
    <s v="India-2024-03"/>
    <x v="4"/>
    <s v="Bengaluru"/>
    <s v="Education"/>
    <x v="4"/>
    <x v="3"/>
    <x v="3"/>
    <x v="440"/>
    <n v="382.21"/>
    <n v="571.89"/>
    <s v="Valid"/>
    <n v="571.89"/>
    <s v="Low"/>
    <n v="0.14799999999999999"/>
    <s v="Valid"/>
    <x v="134"/>
    <n v="26"/>
    <x v="441"/>
    <n v="9937.4599999999991"/>
    <n v="2731.0472800000007"/>
    <n v="0.2155776698578809"/>
    <n v="1"/>
    <n v="0"/>
  </r>
  <r>
    <s v="ORD-2023-842820"/>
    <d v="2023-09-20T00:00:00"/>
    <x v="27"/>
    <s v="Q3-2023"/>
    <d v="2023-09-28T00:00:00"/>
    <s v="Valid"/>
    <n v="8"/>
    <d v="2023-09-28T00:00:00"/>
    <x v="1"/>
    <s v="Asia → India → unknown"/>
    <s v="India-2023-09"/>
    <x v="4"/>
    <s v="unknown"/>
    <s v="Corporate"/>
    <x v="5"/>
    <x v="5"/>
    <x v="6"/>
    <x v="441"/>
    <n v="1362.06"/>
    <n v="3398.37"/>
    <s v="Valid"/>
    <n v="3398.37"/>
    <s v="High"/>
    <n v="0.157"/>
    <s v="Valid"/>
    <x v="86"/>
    <n v="11"/>
    <x v="442"/>
    <n v="14982.66"/>
    <n v="16530.425009999999"/>
    <n v="0.52455749745714919"/>
    <n v="0"/>
    <n v="0"/>
  </r>
  <r>
    <s v="ORD-2024-745424"/>
    <d v="2024-08-22T00:00:00"/>
    <x v="21"/>
    <s v="Q3-2024"/>
    <d v="2024-09-04T00:00:00"/>
    <s v="Valid"/>
    <n v="13"/>
    <d v="2024-09-04T00:00:00"/>
    <x v="3"/>
    <s v="Europe → Germany → Frankfurt"/>
    <s v="Germany-2024-08"/>
    <x v="6"/>
    <s v="Frankfurt"/>
    <s v="Non-Profit"/>
    <x v="0"/>
    <x v="4"/>
    <x v="1"/>
    <x v="442"/>
    <n v="90.04"/>
    <n v="194.62"/>
    <s v="Valid"/>
    <n v="194.62"/>
    <s v="Low"/>
    <n v="4.2999999999999997E-2"/>
    <s v="Valid"/>
    <x v="88"/>
    <n v="32"/>
    <x v="443"/>
    <n v="2881.28"/>
    <n v="3078.7628799999998"/>
    <n v="0.51656723650954672"/>
    <n v="0"/>
    <n v="0"/>
  </r>
  <r>
    <s v="ORD-2024-510520"/>
    <d v="2024-09-25T00:00:00"/>
    <x v="29"/>
    <s v="Q3-2024"/>
    <d v="2024-10-03T00:00:00"/>
    <s v="Valid"/>
    <n v="8"/>
    <d v="2024-10-03T00:00:00"/>
    <x v="2"/>
    <s v="Americas → Canada → Toronto"/>
    <s v="Canada-2024-09"/>
    <x v="3"/>
    <s v="Toronto"/>
    <s v="Consumer"/>
    <x v="1"/>
    <x v="6"/>
    <x v="1"/>
    <x v="443"/>
    <n v="558.19000000000005"/>
    <n v="1031.6400000000001"/>
    <s v="Valid"/>
    <n v="1031.6400000000001"/>
    <s v="Medium"/>
    <n v="0"/>
    <s v="Valid"/>
    <x v="5"/>
    <n v="21"/>
    <x v="444"/>
    <n v="11721.990000000002"/>
    <n v="9942.4500000000007"/>
    <n v="0.45892947152107322"/>
    <n v="0"/>
    <n v="0"/>
  </r>
  <r>
    <s v="ORD-2023-769774"/>
    <d v="2023-06-13T00:00:00"/>
    <x v="23"/>
    <s v="Q2-2023"/>
    <d v="2023-06-24T00:00:00"/>
    <s v="Valid"/>
    <n v="11"/>
    <d v="2023-06-24T00:00:00"/>
    <x v="2"/>
    <s v="Americas → Canada → Toronto"/>
    <s v="Canada-2023-06"/>
    <x v="3"/>
    <s v="Toronto"/>
    <s v="Corporate"/>
    <x v="1"/>
    <x v="0"/>
    <x v="1"/>
    <x v="444"/>
    <n v="247.07"/>
    <n v="495.19"/>
    <s v="Valid"/>
    <n v="495.19"/>
    <s v="Low"/>
    <n v="2.8000000000000001E-2"/>
    <s v="Valid"/>
    <x v="176"/>
    <n v="4"/>
    <x v="445"/>
    <n v="988.28"/>
    <n v="937.01872000000003"/>
    <n v="0.48668744764968214"/>
    <n v="0"/>
    <n v="0"/>
  </r>
  <r>
    <s v="ORD-2023-580751"/>
    <d v="2023-12-24T00:00:00"/>
    <x v="4"/>
    <s v="Q4-2023"/>
    <d v="2024-01-13T00:00:00"/>
    <s v="Valid"/>
    <n v="20"/>
    <d v="2024-01-13T00:00:00"/>
    <x v="1"/>
    <s v="Asia → Japan → Nagoya"/>
    <s v="Japan-2023-12"/>
    <x v="2"/>
    <s v="Nagoya"/>
    <s v="Education"/>
    <x v="4"/>
    <x v="5"/>
    <x v="4"/>
    <x v="445"/>
    <n v="625.37"/>
    <n v="1319.04"/>
    <s v="Valid"/>
    <n v="1319.04"/>
    <s v="Medium"/>
    <n v="7.3999999999999996E-2"/>
    <s v="Valid"/>
    <x v="13"/>
    <n v="8"/>
    <x v="446"/>
    <n v="5002.96"/>
    <n v="4768.4883199999995"/>
    <n v="0.48800220436513547"/>
    <n v="0"/>
    <n v="0"/>
  </r>
  <r>
    <s v="ORD-2025-473192"/>
    <d v="2025-03-30T00:00:00"/>
    <x v="3"/>
    <s v="Q1-2025"/>
    <d v="2025-04-29T00:00:00"/>
    <s v="Valid"/>
    <n v="30"/>
    <d v="2025-04-29T00:00:00"/>
    <x v="0"/>
    <s v="Africa → South Africa → Durban"/>
    <s v="South Africa-2025-03"/>
    <x v="11"/>
    <s v="Durban"/>
    <s v="Consumer"/>
    <x v="2"/>
    <x v="1"/>
    <x v="5"/>
    <x v="446"/>
    <n v="194.6"/>
    <n v="314.87"/>
    <s v="Valid"/>
    <n v="314.87"/>
    <s v="Low"/>
    <n v="0.29299999999999998"/>
    <s v="Valid"/>
    <x v="204"/>
    <n v="25"/>
    <x v="447"/>
    <n v="4865"/>
    <n v="700.32725000000028"/>
    <n v="0.1258375686712763"/>
    <n v="0"/>
    <n v="1"/>
  </r>
  <r>
    <s v="ORD-2024-886939"/>
    <d v="2024-06-03T00:00:00"/>
    <x v="17"/>
    <s v="Q2-2024"/>
    <d v="2024-06-24T00:00:00"/>
    <s v="Valid"/>
    <n v="21"/>
    <d v="2024-06-24T00:00:00"/>
    <x v="2"/>
    <s v="Americas → Canada → Toronto"/>
    <s v="Canada-2024-06"/>
    <x v="3"/>
    <s v="Toronto"/>
    <s v="Small Business"/>
    <x v="4"/>
    <x v="3"/>
    <x v="5"/>
    <x v="447"/>
    <n v="1205.5"/>
    <n v="2210.17"/>
    <s v="Valid"/>
    <n v="2210.17"/>
    <s v="High"/>
    <n v="0.104"/>
    <s v="Valid"/>
    <x v="66"/>
    <n v="23"/>
    <x v="448"/>
    <n v="27726.5"/>
    <n v="17820.683360000003"/>
    <n v="0.39125763758314652"/>
    <n v="0"/>
    <n v="0"/>
  </r>
  <r>
    <s v="ORD-2024-566589"/>
    <d v="2024-06-11T00:00:00"/>
    <x v="17"/>
    <s v="Q2-2024"/>
    <d v="2024-07-09T00:00:00"/>
    <s v="Valid"/>
    <n v="28"/>
    <d v="2024-07-09T00:00:00"/>
    <x v="0"/>
    <s v="Africa → Nigeria → Port Harcourt"/>
    <s v="Nigeria-2024-06"/>
    <x v="1"/>
    <s v="Port Harcourt"/>
    <s v="Corporate"/>
    <x v="2"/>
    <x v="2"/>
    <x v="3"/>
    <x v="448"/>
    <n v="895.54"/>
    <n v="1045"/>
    <s v="Valid"/>
    <n v="1045"/>
    <s v="Medium"/>
    <n v="0.216"/>
    <s v="Valid"/>
    <x v="153"/>
    <n v="15"/>
    <x v="449"/>
    <n v="13433.099999999999"/>
    <n v="-1143.8999999999978"/>
    <n v="-9.3081730299775234E-2"/>
    <n v="0"/>
    <n v="1"/>
  </r>
  <r>
    <s v="ORD-2023-109927"/>
    <d v="2023-07-22T00:00:00"/>
    <x v="24"/>
    <s v="Q3-2023"/>
    <d v="2023-07-21T00:00:00"/>
    <s v="Invalid RequiredDate"/>
    <n v="-1"/>
    <d v="2023-08-17T00:00:00"/>
    <x v="1"/>
    <s v="Asia → India → Delhi"/>
    <s v="India-2023-07"/>
    <x v="4"/>
    <s v="Delhi"/>
    <s v="Small Business"/>
    <x v="3"/>
    <x v="6"/>
    <x v="1"/>
    <x v="449"/>
    <n v="946.99"/>
    <n v="2132.19"/>
    <s v="Valid"/>
    <n v="2132.19"/>
    <s v="High"/>
    <n v="0.16500000000000001"/>
    <s v="Valid"/>
    <x v="205"/>
    <n v="7"/>
    <x v="450"/>
    <n v="6628.93"/>
    <n v="5833.72055"/>
    <n v="0.46809629513362228"/>
    <n v="1"/>
    <n v="0"/>
  </r>
  <r>
    <s v="ORD-2023-780206"/>
    <d v="2023-01-19T00:00:00"/>
    <x v="5"/>
    <s v="Q1-2023"/>
    <d v="2023-02-03T00:00:00"/>
    <s v="Valid"/>
    <n v="15"/>
    <d v="2023-02-03T00:00:00"/>
    <x v="3"/>
    <s v="Europe → United Kingdom → London"/>
    <s v="United Kingdom-2023-01"/>
    <x v="8"/>
    <s v="London"/>
    <s v="Enterprise"/>
    <x v="3"/>
    <x v="3"/>
    <x v="6"/>
    <x v="450"/>
    <n v="873.06"/>
    <n v="2101.5500000000002"/>
    <s v="Valid"/>
    <n v="2101.5500000000002"/>
    <s v="High"/>
    <n v="6.6000000000000003E-2"/>
    <s v="Valid"/>
    <x v="71"/>
    <n v="10"/>
    <x v="451"/>
    <n v="8730.5999999999985"/>
    <n v="10897.877"/>
    <n v="0.55520746719167269"/>
    <n v="0"/>
    <n v="0"/>
  </r>
  <r>
    <s v="ORD-2024-851993"/>
    <d v="2024-05-01T00:00:00"/>
    <x v="7"/>
    <s v="Q2-2024"/>
    <d v="2024-05-16T00:00:00"/>
    <s v="Valid"/>
    <n v="15"/>
    <d v="2024-05-16T00:00:00"/>
    <x v="1"/>
    <s v="Asia → India → Bengaluru"/>
    <s v="India-2024-05"/>
    <x v="4"/>
    <s v="Bengaluru"/>
    <s v="Small Business"/>
    <x v="0"/>
    <x v="4"/>
    <x v="0"/>
    <x v="451"/>
    <n v="901.19"/>
    <n v="2125.44"/>
    <s v="Valid"/>
    <n v="2125.44"/>
    <s v="High"/>
    <n v="7.0999999999999994E-2"/>
    <s v="Valid"/>
    <x v="87"/>
    <n v="12"/>
    <x v="452"/>
    <n v="10814.28"/>
    <n v="12880.125119999999"/>
    <n v="0.54359352154100415"/>
    <n v="0"/>
    <n v="0"/>
  </r>
  <r>
    <s v="ORD-2025-417942"/>
    <d v="2025-06-09T00:00:00"/>
    <x v="16"/>
    <s v="Q2-2025"/>
    <d v="2025-06-24T00:00:00"/>
    <s v="Valid"/>
    <n v="15"/>
    <d v="2025-06-24T00:00:00"/>
    <x v="1"/>
    <s v="Asia → Japan → Nagoya"/>
    <s v="Japan-2025-06"/>
    <x v="2"/>
    <s v="Nagoya"/>
    <s v="Corporate"/>
    <x v="4"/>
    <x v="5"/>
    <x v="3"/>
    <x v="452"/>
    <n v="400.39"/>
    <n v="712.75"/>
    <s v="Valid"/>
    <n v="712.75"/>
    <s v="Medium"/>
    <n v="0.115"/>
    <s v="Valid"/>
    <x v="157"/>
    <n v="19"/>
    <x v="453"/>
    <n v="7607.41"/>
    <n v="4377.4812500000007"/>
    <n v="0.36524997671547504"/>
    <n v="0"/>
    <n v="0"/>
  </r>
  <r>
    <s v="ORD-2023-172095"/>
    <d v="2023-05-24T00:00:00"/>
    <x v="15"/>
    <s v="Q2-2023"/>
    <d v="2023-06-21T00:00:00"/>
    <s v="Valid"/>
    <n v="28"/>
    <d v="2023-06-21T00:00:00"/>
    <x v="2"/>
    <s v="Americas → USA → Austin"/>
    <s v="USA-2023-05"/>
    <x v="10"/>
    <s v="Austin"/>
    <s v="Small Business"/>
    <x v="2"/>
    <x v="3"/>
    <x v="5"/>
    <x v="453"/>
    <n v="813.97"/>
    <n v="1568.83"/>
    <s v="Valid"/>
    <n v="1568.83"/>
    <s v="Medium"/>
    <n v="1.7000000000000001E-2"/>
    <s v="Valid"/>
    <x v="206"/>
    <n v="15"/>
    <x v="454"/>
    <n v="12209.550000000001"/>
    <n v="10922.848349999995"/>
    <n v="0.4721883215364911"/>
    <n v="0"/>
    <n v="0"/>
  </r>
  <r>
    <s v="ORD-2024-257550"/>
    <d v="2024-12-27T00:00:00"/>
    <x v="6"/>
    <s v="Q4-2024"/>
    <d v="2024-12-29T00:00:00"/>
    <s v="Valid"/>
    <n v="2"/>
    <d v="2024-12-29T00:00:00"/>
    <x v="2"/>
    <s v="Americas → Canada → Vancouver"/>
    <s v="Canada-2024-12"/>
    <x v="3"/>
    <s v="Vancouver"/>
    <s v="Enterprise"/>
    <x v="2"/>
    <x v="0"/>
    <x v="6"/>
    <x v="454"/>
    <n v="1146.72"/>
    <n v="2074.34"/>
    <s v="Valid"/>
    <n v="2074.34"/>
    <s v="High"/>
    <n v="0.111"/>
    <s v="Valid"/>
    <x v="94"/>
    <n v="8"/>
    <x v="455"/>
    <n v="9173.76"/>
    <n v="5578.9460800000015"/>
    <n v="0.37816425337472737"/>
    <n v="1"/>
    <n v="0"/>
  </r>
  <r>
    <s v="ORD-2023-581799"/>
    <d v="2023-12-05T00:00:00"/>
    <x v="4"/>
    <s v="Q4-2023"/>
    <d v="2023-12-12T00:00:00"/>
    <s v="Valid"/>
    <n v="7"/>
    <d v="2023-12-12T00:00:00"/>
    <x v="2"/>
    <s v="Americas → Brazil → Brasília"/>
    <s v="Brazil-2023-12"/>
    <x v="5"/>
    <s v="Brasília"/>
    <s v="Corporate"/>
    <x v="4"/>
    <x v="9"/>
    <x v="3"/>
    <x v="455"/>
    <n v="307.43"/>
    <n v="495.19"/>
    <s v="Valid"/>
    <n v="495.19"/>
    <s v="Low"/>
    <n v="0"/>
    <s v="Valid"/>
    <x v="5"/>
    <n v="42"/>
    <x v="456"/>
    <n v="12912.06"/>
    <n v="7885.92"/>
    <n v="0.37916759223732305"/>
    <n v="1"/>
    <n v="0"/>
  </r>
  <r>
    <s v="ORD-2023-880296"/>
    <d v="2023-05-02T00:00:00"/>
    <x v="15"/>
    <s v="Q2-2023"/>
    <d v="2023-05-19T00:00:00"/>
    <s v="Valid"/>
    <n v="17"/>
    <d v="2023-05-19T00:00:00"/>
    <x v="1"/>
    <s v="Asia → China → Shanghai"/>
    <s v="China-2023-05"/>
    <x v="9"/>
    <s v="Shanghai"/>
    <s v="Non-Profit"/>
    <x v="4"/>
    <x v="1"/>
    <x v="5"/>
    <x v="456"/>
    <n v="714.28"/>
    <n v="757.59"/>
    <s v="Valid"/>
    <n v="757.59"/>
    <s v="Medium"/>
    <n v="0.13600000000000001"/>
    <s v="Valid"/>
    <x v="29"/>
    <n v="12"/>
    <x v="457"/>
    <n v="8571.36"/>
    <n v="-716.66688000000067"/>
    <n v="-9.1240595787910383E-2"/>
    <n v="0"/>
    <n v="0"/>
  </r>
  <r>
    <s v="ORD-2023-191563"/>
    <d v="2023-11-30T00:00:00"/>
    <x v="30"/>
    <s v="Q4-2023"/>
    <d v="2023-12-10T00:00:00"/>
    <s v="Valid"/>
    <n v="10"/>
    <d v="2023-12-10T00:00:00"/>
    <x v="3"/>
    <s v="Europe → Germany → Munich"/>
    <s v="Germany-2023-11"/>
    <x v="6"/>
    <s v="Munich"/>
    <s v="Small Business"/>
    <x v="4"/>
    <x v="9"/>
    <x v="4"/>
    <x v="457"/>
    <n v="174.74"/>
    <n v="415.96"/>
    <s v="Valid"/>
    <n v="415.96"/>
    <s v="Low"/>
    <n v="0.125"/>
    <s v="Valid"/>
    <x v="22"/>
    <n v="21"/>
    <x v="458"/>
    <n v="3669.54"/>
    <n v="3973.7249999999995"/>
    <n v="0.51989889137691803"/>
    <n v="0"/>
    <n v="0"/>
  </r>
  <r>
    <s v="ORD-2024-202166"/>
    <d v="2024-05-05T00:00:00"/>
    <x v="7"/>
    <s v="Q2-2024"/>
    <d v="2024-05-18T00:00:00"/>
    <s v="Valid"/>
    <n v="13"/>
    <d v="2024-05-18T00:00:00"/>
    <x v="3"/>
    <s v="Europe → France → Marseille"/>
    <s v="France-2024-05"/>
    <x v="7"/>
    <s v="Marseille"/>
    <s v="Corporate"/>
    <x v="2"/>
    <x v="8"/>
    <x v="0"/>
    <x v="458"/>
    <n v="1264.04"/>
    <n v="1870.89"/>
    <s v="Valid"/>
    <n v="1870.89"/>
    <s v="Medium"/>
    <n v="0"/>
    <s v="Valid"/>
    <x v="5"/>
    <n v="13"/>
    <x v="459"/>
    <n v="16432.52"/>
    <n v="7889.0499999999993"/>
    <n v="0.32436433996653996"/>
    <n v="0"/>
    <n v="0"/>
  </r>
  <r>
    <s v="ORD-2023-539967"/>
    <d v="2023-07-09T00:00:00"/>
    <x v="24"/>
    <s v="Q3-2023"/>
    <d v="2023-07-19T00:00:00"/>
    <s v="Valid"/>
    <n v="10"/>
    <d v="2023-07-19T00:00:00"/>
    <x v="1"/>
    <s v="Asia → Japan → Tokyo"/>
    <s v="Japan-2023-07"/>
    <x v="2"/>
    <s v="Tokyo"/>
    <s v="Enterprise"/>
    <x v="3"/>
    <x v="13"/>
    <x v="0"/>
    <x v="459"/>
    <n v="141.26"/>
    <n v="206.88"/>
    <s v="Valid"/>
    <n v="206.88"/>
    <s v="Low"/>
    <n v="0.107"/>
    <s v="Valid"/>
    <x v="104"/>
    <n v="9"/>
    <x v="460"/>
    <n v="1271.3399999999999"/>
    <n v="391.35456000000022"/>
    <n v="0.23537369365062469"/>
    <n v="0"/>
    <n v="0"/>
  </r>
  <r>
    <s v="ORD-2023-704111"/>
    <d v="2023-05-17T00:00:00"/>
    <x v="15"/>
    <s v="Q2-2023"/>
    <d v="2023-06-15T00:00:00"/>
    <s v="Valid"/>
    <n v="29"/>
    <d v="2023-06-15T00:00:00"/>
    <x v="0"/>
    <s v="Africa → South Africa → Durban"/>
    <s v="South Africa-2023-05"/>
    <x v="11"/>
    <s v="Durban"/>
    <s v="Enterprise"/>
    <x v="0"/>
    <x v="11"/>
    <x v="6"/>
    <x v="460"/>
    <n v="40.89"/>
    <n v="62.82"/>
    <s v="Valid"/>
    <n v="62.82"/>
    <s v="Low"/>
    <n v="0.129"/>
    <s v="Valid"/>
    <x v="31"/>
    <n v="17"/>
    <x v="461"/>
    <n v="695.13"/>
    <n v="235.04574000000002"/>
    <n v="0.25268960465470752"/>
    <n v="0"/>
    <n v="0"/>
  </r>
  <r>
    <s v="ORD-2024-356812"/>
    <d v="2024-03-07T00:00:00"/>
    <x v="0"/>
    <s v="Q1-2024"/>
    <d v="2024-04-03T00:00:00"/>
    <s v="Valid"/>
    <n v="27"/>
    <d v="2024-04-03T00:00:00"/>
    <x v="3"/>
    <s v="Europe → Germany → Frankfurt"/>
    <s v="Germany-2024-03"/>
    <x v="6"/>
    <s v="Frankfurt"/>
    <s v="Corporate"/>
    <x v="4"/>
    <x v="12"/>
    <x v="1"/>
    <x v="461"/>
    <n v="738.16"/>
    <n v="956.49"/>
    <s v="Valid"/>
    <n v="956.49"/>
    <s v="Medium"/>
    <n v="0.152"/>
    <s v="Valid"/>
    <x v="135"/>
    <n v="5"/>
    <x v="462"/>
    <n v="3690.7999999999997"/>
    <n v="364.71759999999995"/>
    <n v="8.9931208780847108E-2"/>
    <n v="0"/>
    <n v="0"/>
  </r>
  <r>
    <s v="ORD-2025-306251"/>
    <d v="2025-04-10T00:00:00"/>
    <x v="19"/>
    <s v="Q2-2025"/>
    <d v="2025-04-19T00:00:00"/>
    <s v="Valid"/>
    <n v="9"/>
    <d v="2025-04-19T00:00:00"/>
    <x v="0"/>
    <s v="Africa → South Africa → Durban"/>
    <s v="South Africa-2025-04"/>
    <x v="11"/>
    <s v="Durban"/>
    <s v="Enterprise"/>
    <x v="5"/>
    <x v="3"/>
    <x v="2"/>
    <x v="462"/>
    <n v="113.74"/>
    <n v="165.7"/>
    <s v="Valid"/>
    <n v="165.7"/>
    <s v="Low"/>
    <n v="0.124"/>
    <s v="Valid"/>
    <x v="207"/>
    <n v="13"/>
    <x v="463"/>
    <n v="1478.62"/>
    <n v="408.37159999999994"/>
    <n v="0.21641410592394794"/>
    <n v="0"/>
    <n v="0"/>
  </r>
  <r>
    <s v="ORD-2025-496178"/>
    <d v="2025-07-27T00:00:00"/>
    <x v="13"/>
    <s v="Q3-2025"/>
    <d v="2025-08-15T00:00:00"/>
    <s v="Valid"/>
    <n v="19"/>
    <d v="2025-08-15T00:00:00"/>
    <x v="1"/>
    <s v="Asia → Japan → Tokyo"/>
    <s v="Japan-2025-07"/>
    <x v="2"/>
    <s v="Tokyo"/>
    <s v="Small Business"/>
    <x v="2"/>
    <x v="1"/>
    <x v="0"/>
    <x v="463"/>
    <n v="275.43"/>
    <n v="608.36"/>
    <s v="Valid"/>
    <n v="608.36"/>
    <s v="Low"/>
    <n v="0.25700000000000001"/>
    <s v="Valid"/>
    <x v="61"/>
    <n v="4"/>
    <x v="464"/>
    <n v="1101.72"/>
    <n v="706.32592"/>
    <n v="0.39065706915231446"/>
    <n v="0"/>
    <n v="1"/>
  </r>
  <r>
    <s v="ORD-2024-508213"/>
    <d v="2024-11-22T00:00:00"/>
    <x v="18"/>
    <s v="Q4-2024"/>
    <d v="2024-12-15T00:00:00"/>
    <s v="Valid"/>
    <n v="23"/>
    <d v="2024-12-15T00:00:00"/>
    <x v="0"/>
    <s v="Africa → Kenya → Mombasa"/>
    <s v="Kenya-2024-11"/>
    <x v="0"/>
    <s v="Mombasa"/>
    <s v="Non-Profit"/>
    <x v="3"/>
    <x v="0"/>
    <x v="0"/>
    <x v="464"/>
    <n v="1335.76"/>
    <n v="2665.91"/>
    <s v="Valid"/>
    <n v="2665.91"/>
    <s v="High"/>
    <n v="0.21099999999999999"/>
    <s v="Valid"/>
    <x v="125"/>
    <n v="40"/>
    <x v="465"/>
    <n v="53430.400000000001"/>
    <n v="30705.719600000004"/>
    <n v="0.36495288522909253"/>
    <n v="0"/>
    <n v="1"/>
  </r>
  <r>
    <s v="ORD-2024-787018"/>
    <d v="2024-06-23T00:00:00"/>
    <x v="17"/>
    <s v="Q2-2024"/>
    <d v="2024-06-28T00:00:00"/>
    <s v="Valid"/>
    <n v="5"/>
    <d v="2024-06-28T00:00:00"/>
    <x v="0"/>
    <s v="Africa → Nigeria → Port Harcourt"/>
    <s v="Nigeria-2024-06"/>
    <x v="1"/>
    <s v="Port Harcourt"/>
    <s v="Non-Profit"/>
    <x v="4"/>
    <x v="12"/>
    <x v="6"/>
    <x v="465"/>
    <n v="242.31"/>
    <n v="587.95000000000005"/>
    <s v="Valid"/>
    <n v="587.95000000000005"/>
    <s v="Low"/>
    <n v="0.22900000000000001"/>
    <s v="Valid"/>
    <x v="82"/>
    <n v="6"/>
    <x v="466"/>
    <n v="1453.8600000000001"/>
    <n v="1265.9967000000001"/>
    <n v="0.46546448568411714"/>
    <n v="1"/>
    <n v="1"/>
  </r>
  <r>
    <s v="ORD-2023-728177"/>
    <d v="2023-12-18T00:00:00"/>
    <x v="4"/>
    <s v="Q4-2023"/>
    <d v="2024-01-14T00:00:00"/>
    <s v="Valid"/>
    <n v="27"/>
    <d v="2024-01-14T00:00:00"/>
    <x v="1"/>
    <s v="Asia → India → Mumbai"/>
    <s v="India-2023-12"/>
    <x v="4"/>
    <s v="Mumbai"/>
    <s v="Consumer"/>
    <x v="3"/>
    <x v="14"/>
    <x v="2"/>
    <x v="466"/>
    <n v="1408.3"/>
    <n v="2193.13"/>
    <s v="Valid"/>
    <n v="2193.13"/>
    <s v="High"/>
    <n v="7.0999999999999994E-2"/>
    <s v="Valid"/>
    <x v="87"/>
    <n v="7"/>
    <x v="467"/>
    <n v="9858.1"/>
    <n v="4403.8243899999998"/>
    <n v="0.30878191957656281"/>
    <n v="0"/>
    <n v="0"/>
  </r>
  <r>
    <s v="ORD-2025-795385"/>
    <d v="2025-06-01T00:00:00"/>
    <x v="16"/>
    <s v="Q2-2025"/>
    <d v="2025-06-05T00:00:00"/>
    <s v="Valid"/>
    <n v="4"/>
    <d v="2025-06-05T00:00:00"/>
    <x v="3"/>
    <s v="Europe → Germany → Munich"/>
    <s v="Germany-2025-06"/>
    <x v="6"/>
    <s v="Munich"/>
    <s v="Enterprise"/>
    <x v="4"/>
    <x v="12"/>
    <x v="0"/>
    <x v="467"/>
    <n v="1171.42"/>
    <n v="2187.8000000000002"/>
    <s v="Valid"/>
    <n v="2187.8000000000002"/>
    <s v="High"/>
    <n v="0.23"/>
    <s v="Valid"/>
    <x v="208"/>
    <n v="15"/>
    <x v="468"/>
    <n v="17571.300000000003"/>
    <n v="7697.7899999999972"/>
    <n v="0.30463265594447592"/>
    <n v="1"/>
    <n v="1"/>
  </r>
  <r>
    <s v="ORD-2025-947929"/>
    <d v="2025-03-23T00:00:00"/>
    <x v="3"/>
    <s v="Q1-2025"/>
    <d v="2025-04-02T00:00:00"/>
    <s v="Valid"/>
    <n v="10"/>
    <d v="2025-04-02T00:00:00"/>
    <x v="3"/>
    <s v="Europe → Germany → Berlin"/>
    <s v="Germany-2025-03"/>
    <x v="6"/>
    <s v="Berlin"/>
    <s v="Enterprise"/>
    <x v="1"/>
    <x v="6"/>
    <x v="1"/>
    <x v="468"/>
    <n v="663.61"/>
    <n v="1002.11"/>
    <s v="Valid"/>
    <n v="1002.11"/>
    <s v="Medium"/>
    <n v="4.5999999999999999E-2"/>
    <s v="Valid"/>
    <x v="209"/>
    <n v="17"/>
    <x v="469"/>
    <n v="11281.37"/>
    <n v="4970.8499799999972"/>
    <n v="0.30585667595670812"/>
    <n v="0"/>
    <n v="0"/>
  </r>
  <r>
    <s v="ORD-2023-931633"/>
    <d v="2023-05-14T00:00:00"/>
    <x v="15"/>
    <s v="Q2-2023"/>
    <d v="2023-05-22T00:00:00"/>
    <s v="Valid"/>
    <n v="8"/>
    <d v="2023-05-22T00:00:00"/>
    <x v="0"/>
    <s v="Africa → Kenya → Mombasa"/>
    <s v="Kenya-2023-05"/>
    <x v="0"/>
    <s v="Mombasa"/>
    <s v="Small Business"/>
    <x v="3"/>
    <x v="9"/>
    <x v="1"/>
    <x v="469"/>
    <n v="432.01"/>
    <n v="913.78"/>
    <s v="Valid"/>
    <n v="913.78"/>
    <s v="Medium"/>
    <n v="4.9000000000000002E-2"/>
    <s v="Valid"/>
    <x v="210"/>
    <n v="12"/>
    <x v="470"/>
    <n v="5184.12"/>
    <n v="5243.9373600000008"/>
    <n v="0.50286809699711899"/>
    <n v="0"/>
    <n v="0"/>
  </r>
  <r>
    <s v="ORD-2023-243704"/>
    <d v="2023-08-29T00:00:00"/>
    <x v="25"/>
    <s v="Q3-2023"/>
    <d v="2023-09-19T00:00:00"/>
    <s v="Valid"/>
    <n v="21"/>
    <d v="2023-09-19T00:00:00"/>
    <x v="3"/>
    <s v="Europe → France → Lyon"/>
    <s v="France-2023-08"/>
    <x v="7"/>
    <s v="Lyon"/>
    <s v="Small Business"/>
    <x v="4"/>
    <x v="5"/>
    <x v="1"/>
    <x v="470"/>
    <n v="784.46"/>
    <n v="1843.51"/>
    <s v="Valid"/>
    <n v="1843.51"/>
    <s v="Medium"/>
    <n v="0.13800000000000001"/>
    <s v="Valid"/>
    <x v="158"/>
    <n v="23"/>
    <x v="471"/>
    <n v="18042.580000000002"/>
    <n v="18506.849260000003"/>
    <n v="0.50635125184441798"/>
    <n v="0"/>
    <n v="0"/>
  </r>
  <r>
    <s v="ORD-2025-779659"/>
    <d v="2025-07-03T00:00:00"/>
    <x v="13"/>
    <s v="Q3-2025"/>
    <d v="2025-07-23T00:00:00"/>
    <s v="Valid"/>
    <n v="20"/>
    <d v="2025-07-23T00:00:00"/>
    <x v="1"/>
    <s v="Asia → China → Beijing"/>
    <s v="China-2025-07"/>
    <x v="9"/>
    <s v="Beijing"/>
    <s v="Small Business"/>
    <x v="1"/>
    <x v="12"/>
    <x v="0"/>
    <x v="471"/>
    <n v="647.36"/>
    <n v="1383.6"/>
    <s v="Valid"/>
    <n v="1383.6"/>
    <s v="Medium"/>
    <n v="7.3999999999999996E-2"/>
    <s v="Valid"/>
    <x v="13"/>
    <n v="12"/>
    <x v="472"/>
    <n v="7768.32"/>
    <n v="7606.243199999999"/>
    <n v="0.49472906000997802"/>
    <n v="0"/>
    <n v="0"/>
  </r>
  <r>
    <s v="ORD-2024-647571"/>
    <d v="2024-02-06T00:00:00"/>
    <x v="31"/>
    <s v="Q1-2024"/>
    <d v="2024-02-28T00:00:00"/>
    <s v="Valid"/>
    <n v="22"/>
    <d v="2024-02-28T00:00:00"/>
    <x v="0"/>
    <s v="Africa → Kenya → Kisumu"/>
    <s v="Kenya-2024-02"/>
    <x v="0"/>
    <s v="Kisumu"/>
    <s v="Non-Profit"/>
    <x v="1"/>
    <x v="11"/>
    <x v="5"/>
    <x v="472"/>
    <n v="834.93"/>
    <n v="1588.53"/>
    <s v="Valid"/>
    <n v="1588.53"/>
    <s v="Medium"/>
    <n v="0.126"/>
    <s v="Valid"/>
    <x v="38"/>
    <n v="6"/>
    <x v="473"/>
    <n v="5009.58"/>
    <n v="3320.6713199999995"/>
    <n v="0.39862798761274343"/>
    <n v="0"/>
    <n v="0"/>
  </r>
  <r>
    <s v="ORD-2025-683043"/>
    <d v="2025-08-13T00:00:00"/>
    <x v="28"/>
    <s v="Q3-2025"/>
    <d v="2025-09-03T00:00:00"/>
    <s v="Valid"/>
    <n v="21"/>
    <d v="2025-09-03T00:00:00"/>
    <x v="3"/>
    <s v="Europe → France → Paris"/>
    <s v="France-2025-08"/>
    <x v="7"/>
    <s v="Paris"/>
    <s v="Education"/>
    <x v="0"/>
    <x v="2"/>
    <x v="3"/>
    <x v="473"/>
    <n v="603.47"/>
    <n v="1344.05"/>
    <s v="Valid"/>
    <n v="1344.05"/>
    <s v="Medium"/>
    <n v="0.20499999999999999"/>
    <s v="Valid"/>
    <x v="44"/>
    <n v="18"/>
    <x v="474"/>
    <n v="10862.460000000001"/>
    <n v="8370.8954999999969"/>
    <n v="0.43522803392262976"/>
    <n v="0"/>
    <n v="1"/>
  </r>
  <r>
    <s v="ORD-2023-588455"/>
    <d v="2023-05-23T00:00:00"/>
    <x v="15"/>
    <s v="Q2-2023"/>
    <d v="2023-05-25T00:00:00"/>
    <s v="Valid"/>
    <n v="2"/>
    <d v="2023-05-25T00:00:00"/>
    <x v="2"/>
    <s v="Americas → Brazil → Rio de Janeiro"/>
    <s v="Brazil-2023-05"/>
    <x v="5"/>
    <s v="Rio de Janeiro"/>
    <s v="Enterprise"/>
    <x v="0"/>
    <x v="12"/>
    <x v="1"/>
    <x v="474"/>
    <n v="690.49"/>
    <n v="1290.29"/>
    <s v="Valid"/>
    <n v="1290.29"/>
    <s v="Medium"/>
    <n v="4.2000000000000003E-2"/>
    <s v="Valid"/>
    <x v="172"/>
    <n v="22"/>
    <x v="475"/>
    <n v="15190.78"/>
    <n v="12003.372039999997"/>
    <n v="0.44139534199647718"/>
    <n v="1"/>
    <n v="0"/>
  </r>
  <r>
    <s v="ORD-2024-641220"/>
    <d v="2024-05-10T00:00:00"/>
    <x v="7"/>
    <s v="Q2-2024"/>
    <d v="2024-05-16T00:00:00"/>
    <s v="Valid"/>
    <n v="6"/>
    <d v="2024-05-16T00:00:00"/>
    <x v="3"/>
    <s v="Europe → United Kingdom → Birmingham"/>
    <s v="United Kingdom-2024-05"/>
    <x v="8"/>
    <s v="Birmingham"/>
    <s v="Non-Profit"/>
    <x v="4"/>
    <x v="3"/>
    <x v="4"/>
    <x v="475"/>
    <n v="210.76"/>
    <n v="221.58"/>
    <s v="Valid"/>
    <n v="221.58"/>
    <s v="Low"/>
    <n v="8.8999999999999996E-2"/>
    <s v="Valid"/>
    <x v="25"/>
    <n v="5"/>
    <x v="476"/>
    <n v="1053.8"/>
    <n v="-44.50309999999979"/>
    <n v="-4.4093170205912434E-2"/>
    <n v="1"/>
    <n v="0"/>
  </r>
  <r>
    <s v="ORD-2023-799597"/>
    <d v="2023-03-14T00:00:00"/>
    <x v="22"/>
    <s v="Q1-2023"/>
    <d v="2023-03-18T00:00:00"/>
    <s v="Valid"/>
    <n v="4"/>
    <d v="2023-03-18T00:00:00"/>
    <x v="3"/>
    <s v="Europe → Germany → Frankfurt"/>
    <s v="Germany-2023-03"/>
    <x v="6"/>
    <s v="Frankfurt"/>
    <s v="Enterprise"/>
    <x v="4"/>
    <x v="8"/>
    <x v="0"/>
    <x v="476"/>
    <n v="472.33"/>
    <n v="360.34"/>
    <s v="Valid"/>
    <n v="360.34"/>
    <s v="Low"/>
    <n v="0.16500000000000001"/>
    <s v="Valid"/>
    <x v="205"/>
    <n v="14"/>
    <x v="477"/>
    <n v="6612.62"/>
    <n v="-2400.2454000000007"/>
    <n v="-0.56980815523861561"/>
    <n v="1"/>
    <n v="0"/>
  </r>
  <r>
    <s v="ORD-2023-569862"/>
    <d v="2023-07-16T00:00:00"/>
    <x v="24"/>
    <s v="Q3-2023"/>
    <d v="2023-08-13T00:00:00"/>
    <s v="Valid"/>
    <n v="28"/>
    <d v="2023-08-13T00:00:00"/>
    <x v="3"/>
    <s v="Europe → United Kingdom → Manchester"/>
    <s v="United Kingdom-2023-07"/>
    <x v="8"/>
    <s v="Manchester"/>
    <s v="Non-Profit"/>
    <x v="1"/>
    <x v="1"/>
    <x v="4"/>
    <x v="477"/>
    <n v="1039.03"/>
    <n v="2545.81"/>
    <s v="Valid"/>
    <n v="2545.81"/>
    <s v="High"/>
    <n v="0.216"/>
    <s v="Valid"/>
    <x v="153"/>
    <n v="21"/>
    <x v="478"/>
    <n v="21819.63"/>
    <n v="20094.585840000003"/>
    <n v="0.47942172929364774"/>
    <n v="0"/>
    <n v="1"/>
  </r>
  <r>
    <s v="ORD-2023-609394"/>
    <d v="2023-04-16T00:00:00"/>
    <x v="12"/>
    <s v="Q2-2023"/>
    <d v="2023-04-19T00:00:00"/>
    <s v="Valid"/>
    <n v="3"/>
    <d v="2023-04-19T00:00:00"/>
    <x v="3"/>
    <s v="Europe → Germany → Munich"/>
    <s v="Germany-2023-04"/>
    <x v="6"/>
    <s v="Munich"/>
    <s v="Corporate"/>
    <x v="4"/>
    <x v="5"/>
    <x v="6"/>
    <x v="478"/>
    <n v="553.61"/>
    <n v="699.47"/>
    <s v="Valid"/>
    <n v="699.47"/>
    <s v="Medium"/>
    <n v="0.02"/>
    <s v="Valid"/>
    <x v="112"/>
    <n v="33"/>
    <x v="479"/>
    <n v="18269.13"/>
    <n v="4351.729800000001"/>
    <n v="0.19237685209472014"/>
    <n v="1"/>
    <n v="0"/>
  </r>
  <r>
    <s v="ORD-2024-105586"/>
    <d v="2024-01-02T00:00:00"/>
    <x v="9"/>
    <s v="Q1-2024"/>
    <d v="2024-01-15T00:00:00"/>
    <s v="Valid"/>
    <n v="13"/>
    <d v="2024-01-15T00:00:00"/>
    <x v="1"/>
    <s v="Asia → Japan → Nagoya"/>
    <s v="Japan-2024-01"/>
    <x v="2"/>
    <s v="Nagoya"/>
    <s v="Small Business"/>
    <x v="2"/>
    <x v="3"/>
    <x v="2"/>
    <x v="479"/>
    <n v="1219.06"/>
    <n v="2738.69"/>
    <s v="Valid"/>
    <n v="2738.69"/>
    <s v="High"/>
    <n v="7.5999999999999998E-2"/>
    <s v="Valid"/>
    <x v="169"/>
    <n v="16"/>
    <x v="480"/>
    <n v="19504.96"/>
    <n v="20983.832960000007"/>
    <n v="0.51826274447673737"/>
    <n v="0"/>
    <n v="0"/>
  </r>
  <r>
    <s v="ORD-2024-207792"/>
    <d v="2024-09-03T00:00:00"/>
    <x v="29"/>
    <s v="Q3-2024"/>
    <d v="2024-09-07T00:00:00"/>
    <s v="Valid"/>
    <n v="4"/>
    <d v="2024-09-07T00:00:00"/>
    <x v="1"/>
    <s v="Asia → Japan → Tokyo"/>
    <s v="Japan-2024-09"/>
    <x v="2"/>
    <s v="Tokyo"/>
    <s v="Small Business"/>
    <x v="3"/>
    <x v="13"/>
    <x v="1"/>
    <x v="480"/>
    <n v="43.23"/>
    <n v="94.78"/>
    <s v="Valid"/>
    <n v="94.78"/>
    <s v="Low"/>
    <n v="9.0999999999999998E-2"/>
    <s v="Valid"/>
    <x v="118"/>
    <n v="55"/>
    <x v="481"/>
    <n v="2377.6499999999996"/>
    <n v="2360.8761000000004"/>
    <n v="0.49823005090127082"/>
    <n v="1"/>
    <n v="0"/>
  </r>
  <r>
    <s v="ORD-2025-417336"/>
    <d v="2025-08-30T00:00:00"/>
    <x v="28"/>
    <s v="Q3-2025"/>
    <d v="2025-09-03T00:00:00"/>
    <s v="Valid"/>
    <n v="4"/>
    <d v="2025-09-03T00:00:00"/>
    <x v="3"/>
    <s v="Europe → France → Marseille"/>
    <s v="France-2025-08"/>
    <x v="7"/>
    <s v="Marseille"/>
    <s v="Small Business"/>
    <x v="2"/>
    <x v="1"/>
    <x v="4"/>
    <x v="481"/>
    <n v="1286.56"/>
    <n v="2777.35"/>
    <s v="Valid"/>
    <n v="2777.35"/>
    <s v="High"/>
    <n v="0.13200000000000001"/>
    <s v="Valid"/>
    <x v="187"/>
    <n v="15"/>
    <x v="482"/>
    <n v="19298.399999999998"/>
    <n v="16862.697000000004"/>
    <n v="0.46632150014696744"/>
    <n v="1"/>
    <n v="0"/>
  </r>
  <r>
    <s v="ORD-2025-252117"/>
    <d v="2025-04-28T00:00:00"/>
    <x v="19"/>
    <s v="Q2-2025"/>
    <d v="2025-05-19T00:00:00"/>
    <s v="Valid"/>
    <n v="21"/>
    <d v="2025-05-19T00:00:00"/>
    <x v="3"/>
    <s v="Europe → Germany → Berlin"/>
    <s v="Germany-2025-04"/>
    <x v="6"/>
    <s v="Berlin"/>
    <s v="Corporate"/>
    <x v="3"/>
    <x v="5"/>
    <x v="3"/>
    <x v="482"/>
    <n v="350.76"/>
    <n v="492.18"/>
    <s v="Valid"/>
    <n v="492.18"/>
    <s v="Low"/>
    <n v="5.2999999999999999E-2"/>
    <s v="Valid"/>
    <x v="113"/>
    <n v="11"/>
    <x v="483"/>
    <n v="3858.3599999999997"/>
    <n v="1268.6790600000004"/>
    <n v="0.24744868239798437"/>
    <n v="0"/>
    <n v="0"/>
  </r>
  <r>
    <s v="ORD-2023-867175"/>
    <d v="2023-08-10T00:00:00"/>
    <x v="25"/>
    <s v="Q3-2023"/>
    <d v="2023-08-15T00:00:00"/>
    <s v="Valid"/>
    <n v="5"/>
    <d v="2023-08-15T00:00:00"/>
    <x v="2"/>
    <s v="Americas → Brazil → São Paulo"/>
    <s v="Brazil-2023-08"/>
    <x v="5"/>
    <s v="São Paulo"/>
    <s v="Education"/>
    <x v="4"/>
    <x v="3"/>
    <x v="2"/>
    <x v="483"/>
    <n v="1307.52"/>
    <n v="1921.65"/>
    <s v="Valid"/>
    <n v="1921.65"/>
    <s v="High"/>
    <n v="0.123"/>
    <s v="Valid"/>
    <x v="81"/>
    <n v="13"/>
    <x v="484"/>
    <n v="16997.759999999998"/>
    <n v="4910.9716500000031"/>
    <n v="0.22415590863289445"/>
    <n v="1"/>
    <n v="0"/>
  </r>
  <r>
    <s v="ORD-2024-382152"/>
    <d v="2024-12-08T00:00:00"/>
    <x v="6"/>
    <s v="Q4-2024"/>
    <d v="2024-12-08T00:00:00"/>
    <s v="Valid"/>
    <n v="0"/>
    <d v="2024-12-08T00:00:00"/>
    <x v="3"/>
    <s v="Europe → France → Lyon"/>
    <s v="France-2024-12"/>
    <x v="7"/>
    <s v="Lyon"/>
    <s v="Enterprise"/>
    <x v="0"/>
    <x v="10"/>
    <x v="0"/>
    <x v="484"/>
    <n v="257.44"/>
    <n v="290.33"/>
    <s v="Valid"/>
    <n v="290.33"/>
    <s v="Low"/>
    <n v="9.1999999999999998E-2"/>
    <s v="Valid"/>
    <x v="76"/>
    <n v="23"/>
    <x v="485"/>
    <n v="5921.12"/>
    <n v="142.1317199999994"/>
    <n v="2.3441500792581216E-2"/>
    <n v="1"/>
    <n v="0"/>
  </r>
  <r>
    <s v="ORD-2023-597666"/>
    <d v="2023-10-25T00:00:00"/>
    <x v="32"/>
    <s v="Q4-2023"/>
    <d v="2023-11-24T00:00:00"/>
    <s v="Valid"/>
    <n v="30"/>
    <d v="2023-11-24T00:00:00"/>
    <x v="3"/>
    <s v="Europe → France → Paris"/>
    <s v="France-2023-10"/>
    <x v="7"/>
    <s v="Paris"/>
    <s v="Enterprise"/>
    <x v="3"/>
    <x v="0"/>
    <x v="3"/>
    <x v="485"/>
    <n v="287.85000000000002"/>
    <n v="602.91999999999996"/>
    <s v="Valid"/>
    <n v="602.91999999999996"/>
    <s v="Low"/>
    <n v="0.222"/>
    <s v="Valid"/>
    <x v="211"/>
    <n v="11"/>
    <x v="486"/>
    <n v="3166.3500000000004"/>
    <n v="1993.4393599999994"/>
    <n v="0.38634122847216373"/>
    <n v="0"/>
    <n v="1"/>
  </r>
  <r>
    <s v="ORD-2024-371409"/>
    <d v="2024-11-17T00:00:00"/>
    <x v="18"/>
    <s v="Q4-2024"/>
    <d v="2024-11-28T00:00:00"/>
    <s v="Valid"/>
    <n v="11"/>
    <d v="2024-11-28T00:00:00"/>
    <x v="2"/>
    <s v="Americas → Canada → unknown"/>
    <s v="Canada-2024-11"/>
    <x v="3"/>
    <s v="unknown"/>
    <s v="Consumer"/>
    <x v="3"/>
    <x v="8"/>
    <x v="1"/>
    <x v="486"/>
    <n v="1008.16"/>
    <n v="2077.5"/>
    <s v="Valid"/>
    <n v="2077.5"/>
    <s v="High"/>
    <n v="7.3999999999999996E-2"/>
    <s v="Valid"/>
    <x v="13"/>
    <n v="15"/>
    <x v="487"/>
    <n v="15122.4"/>
    <n v="13734.075000000003"/>
    <n v="0.47594430712691005"/>
    <n v="0"/>
    <n v="0"/>
  </r>
  <r>
    <s v="ORD-2024-973420"/>
    <d v="2024-05-12T00:00:00"/>
    <x v="7"/>
    <s v="Q2-2024"/>
    <d v="2024-05-24T00:00:00"/>
    <s v="Valid"/>
    <n v="12"/>
    <d v="2024-05-24T00:00:00"/>
    <x v="3"/>
    <s v="Europe → United Kingdom → Manchester"/>
    <s v="United Kingdom-2024-05"/>
    <x v="8"/>
    <s v="Manchester"/>
    <s v="Education"/>
    <x v="2"/>
    <x v="11"/>
    <x v="1"/>
    <x v="487"/>
    <n v="111.02"/>
    <n v="172.88"/>
    <s v="Valid"/>
    <n v="172.88"/>
    <s v="Low"/>
    <n v="0.19700000000000001"/>
    <s v="Valid"/>
    <x v="114"/>
    <n v="29"/>
    <x v="488"/>
    <n v="3219.58"/>
    <n v="806.27655999999934"/>
    <n v="0.20027453735212053"/>
    <n v="0"/>
    <n v="0"/>
  </r>
  <r>
    <s v="ORD-2025-254721"/>
    <d v="2025-05-15T00:00:00"/>
    <x v="8"/>
    <s v="Q2-2025"/>
    <d v="2025-06-05T00:00:00"/>
    <s v="Valid"/>
    <n v="21"/>
    <d v="2025-06-05T00:00:00"/>
    <x v="1"/>
    <s v="Asia → Japan → Osaka"/>
    <s v="Japan-2025-05"/>
    <x v="2"/>
    <s v="Osaka"/>
    <s v="Enterprise"/>
    <x v="4"/>
    <x v="10"/>
    <x v="3"/>
    <x v="488"/>
    <n v="1466.5"/>
    <n v="2778.74"/>
    <s v="Valid"/>
    <n v="2778.74"/>
    <s v="High"/>
    <n v="0.13500000000000001"/>
    <s v="Valid"/>
    <x v="156"/>
    <n v="4"/>
    <x v="489"/>
    <n v="5866"/>
    <n v="3748.4403999999995"/>
    <n v="0.38987608680792279"/>
    <n v="0"/>
    <n v="0"/>
  </r>
  <r>
    <s v="ORD-2024-247032"/>
    <d v="2024-04-21T00:00:00"/>
    <x v="20"/>
    <s v="Q2-2024"/>
    <d v="2024-05-19T00:00:00"/>
    <s v="Valid"/>
    <n v="28"/>
    <d v="2024-05-19T00:00:00"/>
    <x v="0"/>
    <s v="Africa → Nigeria → Lagos"/>
    <s v="Nigeria-2024-04"/>
    <x v="1"/>
    <s v="Lagos"/>
    <s v="Corporate"/>
    <x v="3"/>
    <x v="8"/>
    <x v="6"/>
    <x v="489"/>
    <n v="187.22"/>
    <n v="309.47000000000003"/>
    <s v="Valid"/>
    <n v="309.47000000000003"/>
    <s v="Low"/>
    <n v="0"/>
    <s v="Valid"/>
    <x v="5"/>
    <n v="5"/>
    <x v="490"/>
    <n v="936.1"/>
    <n v="611.25000000000011"/>
    <n v="0.39503021294471197"/>
    <n v="0"/>
    <n v="0"/>
  </r>
  <r>
    <s v="ORD-2024-792353"/>
    <d v="2024-08-19T00:00:00"/>
    <x v="21"/>
    <s v="Q3-2024"/>
    <d v="2024-09-07T00:00:00"/>
    <s v="Valid"/>
    <n v="19"/>
    <d v="2024-09-07T00:00:00"/>
    <x v="3"/>
    <s v="Europe → France → Lyon"/>
    <s v="France-2024-08"/>
    <x v="7"/>
    <s v="Lyon"/>
    <s v="Corporate"/>
    <x v="4"/>
    <x v="1"/>
    <x v="0"/>
    <x v="490"/>
    <n v="297.58999999999997"/>
    <n v="666.41"/>
    <s v="Valid"/>
    <n v="666.41"/>
    <s v="Medium"/>
    <n v="0"/>
    <s v="Valid"/>
    <x v="5"/>
    <n v="10"/>
    <x v="491"/>
    <n v="2975.8999999999996"/>
    <n v="3688.2"/>
    <n v="0.55344307558409989"/>
    <n v="0"/>
    <n v="0"/>
  </r>
  <r>
    <s v="ORD-2025-703623"/>
    <d v="2025-07-23T00:00:00"/>
    <x v="13"/>
    <s v="Q3-2025"/>
    <d v="2025-08-19T00:00:00"/>
    <s v="Valid"/>
    <n v="27"/>
    <d v="2025-08-19T00:00:00"/>
    <x v="1"/>
    <s v="Asia → Japan → Nagoya"/>
    <s v="Japan-2025-07"/>
    <x v="2"/>
    <s v="Nagoya"/>
    <s v="Consumer"/>
    <x v="2"/>
    <x v="5"/>
    <x v="6"/>
    <x v="491"/>
    <n v="896.09"/>
    <n v="744.27"/>
    <s v="Valid"/>
    <n v="744.27"/>
    <s v="Medium"/>
    <n v="8.3000000000000004E-2"/>
    <s v="Valid"/>
    <x v="195"/>
    <n v="11"/>
    <x v="492"/>
    <n v="9856.99"/>
    <n v="-2349.5385100000003"/>
    <n v="-0.31296086469950679"/>
    <n v="0"/>
    <n v="0"/>
  </r>
  <r>
    <s v="ORD-2024-516704"/>
    <d v="2024-03-01T00:00:00"/>
    <x v="0"/>
    <s v="Q1-2024"/>
    <d v="2024-02-29T00:00:00"/>
    <s v="Invalid RequiredDate"/>
    <n v="-1"/>
    <d v="2024-03-27T00:00:00"/>
    <x v="2"/>
    <s v="Americas → Brazil → São Paulo"/>
    <s v="Brazil-2024-03"/>
    <x v="5"/>
    <s v="São Paulo"/>
    <s v="Non-Profit"/>
    <x v="4"/>
    <x v="2"/>
    <x v="3"/>
    <x v="492"/>
    <n v="5.34"/>
    <n v="12.69"/>
    <s v="Valid"/>
    <n v="12.69"/>
    <s v="Low"/>
    <n v="0.13200000000000001"/>
    <s v="Valid"/>
    <x v="187"/>
    <n v="10"/>
    <x v="493"/>
    <n v="53.4"/>
    <n v="56.749199999999995"/>
    <n v="0.51520301554618642"/>
    <n v="1"/>
    <n v="0"/>
  </r>
  <r>
    <s v="ORD-2024-578646"/>
    <d v="2024-05-27T00:00:00"/>
    <x v="7"/>
    <s v="Q2-2024"/>
    <d v="2024-06-17T00:00:00"/>
    <s v="Valid"/>
    <n v="21"/>
    <d v="2024-06-17T00:00:00"/>
    <x v="1"/>
    <s v="Asia → India → Delhi"/>
    <s v="India-2024-05"/>
    <x v="4"/>
    <s v="Delhi"/>
    <s v="Small Business"/>
    <x v="1"/>
    <x v="10"/>
    <x v="6"/>
    <x v="493"/>
    <n v="465.02"/>
    <n v="651.55999999999995"/>
    <s v="Valid"/>
    <n v="651.55999999999995"/>
    <s v="Medium"/>
    <n v="4.2000000000000003E-2"/>
    <s v="Valid"/>
    <x v="172"/>
    <n v="19"/>
    <x v="494"/>
    <n v="8835.3799999999992"/>
    <n v="3024.3151199999993"/>
    <n v="0.25500783025187918"/>
    <n v="0"/>
    <n v="0"/>
  </r>
  <r>
    <s v="ORD-2024-433936"/>
    <d v="2024-08-04T00:00:00"/>
    <x v="21"/>
    <s v="Q3-2024"/>
    <d v="2024-08-17T00:00:00"/>
    <s v="Valid"/>
    <n v="13"/>
    <d v="2024-08-17T00:00:00"/>
    <x v="2"/>
    <s v="Americas → USA → Austin"/>
    <s v="USA-2024-08"/>
    <x v="10"/>
    <s v="Austin"/>
    <s v="Consumer"/>
    <x v="0"/>
    <x v="14"/>
    <x v="5"/>
    <x v="494"/>
    <n v="352.79"/>
    <n v="754.22"/>
    <s v="Valid"/>
    <n v="754.22"/>
    <s v="Medium"/>
    <n v="0.113"/>
    <s v="Valid"/>
    <x v="138"/>
    <n v="7"/>
    <x v="495"/>
    <n v="2469.5300000000002"/>
    <n v="2213.4219799999996"/>
    <n v="0.47265528014233443"/>
    <n v="0"/>
    <n v="0"/>
  </r>
  <r>
    <s v="ORD-2023-434071"/>
    <d v="2023-06-20T00:00:00"/>
    <x v="23"/>
    <s v="Q2-2023"/>
    <d v="2023-07-04T00:00:00"/>
    <s v="Valid"/>
    <n v="14"/>
    <d v="2023-07-04T00:00:00"/>
    <x v="2"/>
    <s v="Americas → Brazil → Brasília"/>
    <s v="Brazil-2023-06"/>
    <x v="5"/>
    <s v="Brasília"/>
    <s v="Non-Profit"/>
    <x v="4"/>
    <x v="0"/>
    <x v="2"/>
    <x v="495"/>
    <n v="1292.8599999999999"/>
    <n v="2981.01"/>
    <s v="Valid"/>
    <n v="2981.01"/>
    <s v="High"/>
    <n v="0.14199999999999999"/>
    <s v="Valid"/>
    <x v="56"/>
    <n v="12"/>
    <x v="496"/>
    <n v="15514.32"/>
    <n v="15178.158960000001"/>
    <n v="0.49452372288927687"/>
    <n v="0"/>
    <n v="0"/>
  </r>
  <r>
    <s v="ORD-2024-728474"/>
    <d v="2024-09-09T00:00:00"/>
    <x v="29"/>
    <s v="Q3-2024"/>
    <d v="2024-09-13T00:00:00"/>
    <s v="Valid"/>
    <n v="4"/>
    <d v="2024-09-13T00:00:00"/>
    <x v="3"/>
    <s v="Europe → United Kingdom → London"/>
    <s v="United Kingdom-2024-09"/>
    <x v="8"/>
    <s v="London"/>
    <s v="Consumer"/>
    <x v="2"/>
    <x v="9"/>
    <x v="2"/>
    <x v="496"/>
    <n v="1133.08"/>
    <n v="976.17"/>
    <s v="Valid"/>
    <n v="976.17"/>
    <s v="Medium"/>
    <n v="4.2000000000000003E-2"/>
    <s v="Valid"/>
    <x v="172"/>
    <n v="27"/>
    <x v="497"/>
    <n v="30593.159999999996"/>
    <n v="-5343.5467799999969"/>
    <n v="-0.21162885678452373"/>
    <n v="1"/>
    <n v="0"/>
  </r>
  <r>
    <s v="ORD-2023-406606"/>
    <d v="2023-10-25T00:00:00"/>
    <x v="32"/>
    <s v="Q4-2023"/>
    <d v="2023-10-28T00:00:00"/>
    <s v="Valid"/>
    <n v="3"/>
    <d v="2023-10-28T00:00:00"/>
    <x v="2"/>
    <s v="Americas → Brazil → Brasília"/>
    <s v="Brazil-2023-10"/>
    <x v="5"/>
    <s v="Brasília"/>
    <s v="Corporate"/>
    <x v="3"/>
    <x v="4"/>
    <x v="6"/>
    <x v="497"/>
    <n v="509.31"/>
    <n v="1145.9000000000001"/>
    <s v="Valid"/>
    <n v="1145.9000000000001"/>
    <s v="Medium"/>
    <n v="5.7000000000000002E-2"/>
    <s v="Valid"/>
    <x v="91"/>
    <n v="8"/>
    <x v="498"/>
    <n v="4074.48"/>
    <n v="4570.1896000000015"/>
    <n v="0.52867140231709964"/>
    <n v="1"/>
    <n v="0"/>
  </r>
  <r>
    <s v="ORD-2025-823055"/>
    <d v="2025-09-08T00:00:00"/>
    <x v="11"/>
    <s v="Q3-2025"/>
    <d v="2025-10-05T00:00:00"/>
    <s v="Valid"/>
    <n v="27"/>
    <d v="2025-10-05T00:00:00"/>
    <x v="2"/>
    <s v="Americas → Brazil → Rio de Janeiro"/>
    <s v="Brazil-2025-09"/>
    <x v="5"/>
    <s v="Rio de Janeiro"/>
    <s v="Education"/>
    <x v="1"/>
    <x v="0"/>
    <x v="5"/>
    <x v="498"/>
    <n v="660.78"/>
    <n v="1630.39"/>
    <s v="Valid"/>
    <n v="1630.39"/>
    <s v="Medium"/>
    <n v="0.218"/>
    <s v="Valid"/>
    <x v="212"/>
    <n v="13"/>
    <x v="499"/>
    <n v="8590.14"/>
    <n v="7984.4047400000018"/>
    <n v="0.48172694123724097"/>
    <n v="0"/>
    <n v="1"/>
  </r>
  <r>
    <s v="ORD-2023-573656"/>
    <d v="2023-05-02T00:00:00"/>
    <x v="15"/>
    <s v="Q2-2023"/>
    <d v="2023-05-16T00:00:00"/>
    <s v="Valid"/>
    <n v="14"/>
    <d v="2023-05-16T00:00:00"/>
    <x v="1"/>
    <s v="Asia → India → Bengaluru"/>
    <s v="India-2023-05"/>
    <x v="4"/>
    <s v="Bengaluru"/>
    <s v="Non-Profit"/>
    <x v="0"/>
    <x v="4"/>
    <x v="5"/>
    <x v="499"/>
    <n v="475.37"/>
    <n v="963.73"/>
    <s v="Valid"/>
    <n v="963.73"/>
    <s v="Medium"/>
    <n v="4.1000000000000002E-2"/>
    <s v="Valid"/>
    <x v="202"/>
    <n v="22"/>
    <x v="500"/>
    <n v="10458.14"/>
    <n v="9874.6355399999993"/>
    <n v="0.48565113604750881"/>
    <n v="0"/>
    <n v="0"/>
  </r>
  <r>
    <s v="ORD-2024-567435"/>
    <d v="2024-04-26T00:00:00"/>
    <x v="20"/>
    <s v="Q2-2024"/>
    <d v="2024-04-24T00:00:00"/>
    <s v="Invalid RequiredDate"/>
    <n v="-2"/>
    <d v="2024-05-22T00:00:00"/>
    <x v="3"/>
    <s v="Europe → United Kingdom → London"/>
    <s v="United Kingdom-2024-04"/>
    <x v="8"/>
    <s v="London"/>
    <s v="Non-Profit"/>
    <x v="3"/>
    <x v="13"/>
    <x v="3"/>
    <x v="500"/>
    <n v="1232.77"/>
    <n v="891.73"/>
    <s v="Valid"/>
    <n v="891.73"/>
    <s v="Medium"/>
    <n v="0.16700000000000001"/>
    <s v="Valid"/>
    <x v="149"/>
    <n v="10"/>
    <x v="501"/>
    <n v="12327.7"/>
    <n v="-4899.589100000002"/>
    <n v="-0.65960096260813805"/>
    <n v="1"/>
    <n v="0"/>
  </r>
  <r>
    <s v="ORD-2023-744942"/>
    <d v="2023-02-23T00:00:00"/>
    <x v="2"/>
    <s v="Q1-2023"/>
    <d v="2023-03-18T00:00:00"/>
    <s v="Valid"/>
    <n v="23"/>
    <d v="2023-03-18T00:00:00"/>
    <x v="1"/>
    <s v="Asia → China → Beijing"/>
    <s v="China-2023-02"/>
    <x v="9"/>
    <s v="Beijing"/>
    <s v="Education"/>
    <x v="3"/>
    <x v="11"/>
    <x v="1"/>
    <x v="501"/>
    <n v="770.11"/>
    <n v="1667.82"/>
    <s v="Valid"/>
    <n v="1667.82"/>
    <s v="Medium"/>
    <n v="6.9000000000000006E-2"/>
    <s v="Valid"/>
    <x v="89"/>
    <n v="7"/>
    <x v="502"/>
    <n v="5390.77"/>
    <n v="5478.4129400000002"/>
    <n v="0.50403171703355287"/>
    <n v="0"/>
    <n v="0"/>
  </r>
  <r>
    <s v="ORD-2025-331237"/>
    <d v="2025-03-24T00:00:00"/>
    <x v="3"/>
    <s v="Q1-2025"/>
    <d v="2025-03-25T00:00:00"/>
    <s v="Valid"/>
    <n v="1"/>
    <d v="2025-03-25T00:00:00"/>
    <x v="1"/>
    <s v="Asia → China → Beijing"/>
    <s v="China-2025-03"/>
    <x v="9"/>
    <s v="Beijing"/>
    <s v="Non-Profit"/>
    <x v="1"/>
    <x v="3"/>
    <x v="2"/>
    <x v="502"/>
    <n v="1133.03"/>
    <n v="1921.51"/>
    <s v="Valid"/>
    <n v="1921.51"/>
    <s v="High"/>
    <n v="0.10100000000000001"/>
    <s v="Valid"/>
    <x v="27"/>
    <n v="5"/>
    <x v="503"/>
    <n v="5665.15"/>
    <n v="2972.0374499999998"/>
    <n v="0.3440978289755654"/>
    <n v="1"/>
    <n v="0"/>
  </r>
  <r>
    <s v="ORD-2025-680118"/>
    <d v="2025-03-10T00:00:00"/>
    <x v="3"/>
    <s v="Q1-2025"/>
    <d v="2025-03-27T00:00:00"/>
    <s v="Valid"/>
    <n v="17"/>
    <d v="2025-03-27T00:00:00"/>
    <x v="2"/>
    <s v="Americas → Brazil → Rio de Janeiro"/>
    <s v="Brazil-2025-03"/>
    <x v="5"/>
    <s v="Rio de Janeiro"/>
    <s v="Enterprise"/>
    <x v="4"/>
    <x v="9"/>
    <x v="2"/>
    <x v="503"/>
    <n v="996.73"/>
    <n v="1217.43"/>
    <s v="Valid"/>
    <n v="1217.43"/>
    <s v="Medium"/>
    <n v="7.0000000000000007E-2"/>
    <s v="Valid"/>
    <x v="67"/>
    <n v="9"/>
    <x v="504"/>
    <n v="8970.57"/>
    <n v="1219.3191000000006"/>
    <n v="0.11965970267527255"/>
    <n v="0"/>
    <n v="0"/>
  </r>
  <r>
    <s v="ORD-2024-310809"/>
    <d v="2024-04-05T00:00:00"/>
    <x v="20"/>
    <s v="Q2-2024"/>
    <d v="2024-04-09T00:00:00"/>
    <s v="Valid"/>
    <n v="4"/>
    <d v="2024-04-09T00:00:00"/>
    <x v="0"/>
    <s v="Africa → Nigeria → Lagos"/>
    <s v="Nigeria-2024-04"/>
    <x v="1"/>
    <s v="Lagos"/>
    <s v="Non-Profit"/>
    <x v="4"/>
    <x v="11"/>
    <x v="0"/>
    <x v="504"/>
    <n v="395.07"/>
    <n v="970.27"/>
    <s v="Valid"/>
    <n v="970.27"/>
    <s v="Medium"/>
    <n v="0.123"/>
    <s v="Valid"/>
    <x v="81"/>
    <n v="38"/>
    <x v="505"/>
    <n v="15012.66"/>
    <n v="17322.55802"/>
    <n v="0.53571799049833657"/>
    <n v="1"/>
    <n v="0"/>
  </r>
  <r>
    <s v="ORD-2025-474368"/>
    <d v="2025-04-27T00:00:00"/>
    <x v="19"/>
    <s v="Q2-2025"/>
    <d v="2025-05-17T00:00:00"/>
    <s v="Valid"/>
    <n v="20"/>
    <d v="2025-05-17T00:00:00"/>
    <x v="2"/>
    <s v="Americas → USA → Austin"/>
    <s v="USA-2025-04"/>
    <x v="10"/>
    <s v="Austin"/>
    <s v="Corporate"/>
    <x v="4"/>
    <x v="13"/>
    <x v="3"/>
    <x v="505"/>
    <n v="932.26"/>
    <n v="1624.67"/>
    <s v="Valid"/>
    <n v="1624.67"/>
    <s v="Medium"/>
    <n v="0.23499999999999999"/>
    <s v="Valid"/>
    <x v="145"/>
    <n v="28"/>
    <x v="506"/>
    <n v="26103.279999999999"/>
    <n v="8697.1514000000025"/>
    <n v="0.24991504559337163"/>
    <n v="0"/>
    <n v="1"/>
  </r>
  <r>
    <s v="ORD-2024-732543"/>
    <d v="2024-10-24T00:00:00"/>
    <x v="1"/>
    <s v="Q4-2024"/>
    <d v="2024-10-28T00:00:00"/>
    <s v="Valid"/>
    <n v="4"/>
    <d v="2024-10-28T00:00:00"/>
    <x v="1"/>
    <s v="Asia → China → Shanghai"/>
    <s v="China-2024-10"/>
    <x v="9"/>
    <s v="Shanghai"/>
    <s v="Small Business"/>
    <x v="3"/>
    <x v="2"/>
    <x v="2"/>
    <x v="506"/>
    <n v="1331.77"/>
    <n v="2606.11"/>
    <s v="Valid"/>
    <n v="2606.11"/>
    <s v="High"/>
    <n v="0.02"/>
    <s v="Valid"/>
    <x v="112"/>
    <n v="6"/>
    <x v="507"/>
    <n v="7990.62"/>
    <n v="7333.3067999999994"/>
    <n v="0.47855271665745619"/>
    <n v="1"/>
    <n v="0"/>
  </r>
  <r>
    <s v="ORD-2023-867166"/>
    <d v="2023-04-13T00:00:00"/>
    <x v="12"/>
    <s v="Q2-2023"/>
    <d v="2023-04-20T00:00:00"/>
    <s v="Valid"/>
    <n v="7"/>
    <d v="2023-04-20T00:00:00"/>
    <x v="3"/>
    <s v="Europe → France → Lyon"/>
    <s v="France-2023-04"/>
    <x v="7"/>
    <s v="Lyon"/>
    <s v="Small Business"/>
    <x v="1"/>
    <x v="8"/>
    <x v="4"/>
    <x v="507"/>
    <n v="227.02"/>
    <n v="434.72"/>
    <s v="Valid"/>
    <n v="434.72"/>
    <s v="Low"/>
    <n v="9.8000000000000004E-2"/>
    <s v="Valid"/>
    <x v="194"/>
    <n v="10"/>
    <x v="508"/>
    <n v="2270.2000000000003"/>
    <n v="1650.9744000000005"/>
    <n v="0.42104079838938052"/>
    <n v="1"/>
    <n v="0"/>
  </r>
  <r>
    <s v="ORD-2024-776337"/>
    <d v="2024-11-12T00:00:00"/>
    <x v="18"/>
    <s v="Q4-2024"/>
    <d v="2024-11-21T00:00:00"/>
    <s v="Valid"/>
    <n v="9"/>
    <d v="2024-11-21T00:00:00"/>
    <x v="1"/>
    <s v="Asia → India → Mumbai"/>
    <s v="India-2024-11"/>
    <x v="4"/>
    <s v="Mumbai"/>
    <s v="Corporate"/>
    <x v="4"/>
    <x v="10"/>
    <x v="4"/>
    <x v="508"/>
    <n v="903.41"/>
    <n v="1860.41"/>
    <s v="Valid"/>
    <n v="1860.41"/>
    <s v="Medium"/>
    <n v="0.108"/>
    <s v="Valid"/>
    <x v="85"/>
    <n v="5"/>
    <x v="509"/>
    <n v="4517.05"/>
    <n v="3780.3786000000009"/>
    <n v="0.455608451996803"/>
    <n v="0"/>
    <n v="0"/>
  </r>
  <r>
    <s v="ORD-2023-913592"/>
    <d v="2023-05-10T00:00:00"/>
    <x v="15"/>
    <s v="Q2-2023"/>
    <d v="2023-05-14T00:00:00"/>
    <s v="Valid"/>
    <n v="4"/>
    <d v="2023-05-14T00:00:00"/>
    <x v="1"/>
    <s v="Asia → India → Delhi"/>
    <s v="India-2023-05"/>
    <x v="4"/>
    <s v="Delhi"/>
    <s v="Non-Profit"/>
    <x v="3"/>
    <x v="0"/>
    <x v="5"/>
    <x v="509"/>
    <n v="622.6"/>
    <n v="833.69"/>
    <s v="Valid"/>
    <n v="833.69"/>
    <s v="Medium"/>
    <n v="0.20899999999999999"/>
    <s v="Valid"/>
    <x v="213"/>
    <n v="14"/>
    <x v="510"/>
    <n v="8716.4"/>
    <n v="515.88306000000011"/>
    <n v="5.5878167582959715E-2"/>
    <n v="1"/>
    <n v="1"/>
  </r>
  <r>
    <s v="ORD-2024-961501"/>
    <d v="2024-03-02T00:00:00"/>
    <x v="0"/>
    <s v="Q1-2024"/>
    <d v="2024-03-23T00:00:00"/>
    <s v="Valid"/>
    <n v="21"/>
    <d v="2024-03-23T00:00:00"/>
    <x v="2"/>
    <s v="Americas → USA → Chicago"/>
    <s v="USA-2024-03"/>
    <x v="10"/>
    <s v="Chicago"/>
    <s v="Small Business"/>
    <x v="1"/>
    <x v="9"/>
    <x v="0"/>
    <x v="510"/>
    <n v="225.01"/>
    <n v="333.48"/>
    <s v="Valid"/>
    <n v="333.48"/>
    <s v="Low"/>
    <n v="0.11899999999999999"/>
    <s v="Valid"/>
    <x v="45"/>
    <n v="12"/>
    <x v="511"/>
    <n v="2700.12"/>
    <n v="825.43056000000024"/>
    <n v="0.23412813004729685"/>
    <n v="0"/>
    <n v="0"/>
  </r>
  <r>
    <s v="ORD-2024-964950"/>
    <d v="2024-10-10T00:00:00"/>
    <x v="1"/>
    <s v="Q4-2024"/>
    <d v="2024-10-11T00:00:00"/>
    <s v="Valid"/>
    <n v="1"/>
    <d v="2024-10-11T00:00:00"/>
    <x v="3"/>
    <s v="Europe → United Kingdom → Manchester"/>
    <s v="United Kingdom-2024-10"/>
    <x v="8"/>
    <s v="Manchester"/>
    <s v="Non-Profit"/>
    <x v="3"/>
    <x v="4"/>
    <x v="0"/>
    <x v="511"/>
    <n v="1389.46"/>
    <n v="1784.7"/>
    <s v="Valid"/>
    <n v="1784.7"/>
    <s v="Medium"/>
    <n v="0.14599999999999999"/>
    <s v="Valid"/>
    <x v="34"/>
    <n v="33"/>
    <x v="512"/>
    <n v="45852.18"/>
    <n v="4444.2353999999978"/>
    <n v="8.8360877503011831E-2"/>
    <n v="1"/>
    <n v="0"/>
  </r>
  <r>
    <s v="ORD-2023-349264"/>
    <d v="2023-06-01T00:00:00"/>
    <x v="23"/>
    <s v="Q2-2023"/>
    <d v="2023-06-08T00:00:00"/>
    <s v="Valid"/>
    <n v="7"/>
    <d v="2023-06-08T00:00:00"/>
    <x v="3"/>
    <s v="Europe → Germany → Frankfurt"/>
    <s v="Germany-2023-06"/>
    <x v="6"/>
    <s v="Frankfurt"/>
    <s v="Consumer"/>
    <x v="1"/>
    <x v="8"/>
    <x v="3"/>
    <x v="512"/>
    <n v="804.17"/>
    <n v="1072.29"/>
    <s v="Valid"/>
    <n v="1072.29"/>
    <s v="Medium"/>
    <n v="3.2000000000000001E-2"/>
    <s v="Valid"/>
    <x v="191"/>
    <n v="5"/>
    <x v="513"/>
    <n v="4020.85"/>
    <n v="1169.0336000000002"/>
    <n v="0.2252523736755869"/>
    <n v="1"/>
    <n v="0"/>
  </r>
  <r>
    <s v="ORD-2025-137394"/>
    <d v="2025-01-04T00:00:00"/>
    <x v="10"/>
    <s v="Q1-2025"/>
    <d v="2025-01-05T00:00:00"/>
    <s v="Valid"/>
    <n v="1"/>
    <d v="2025-01-05T00:00:00"/>
    <x v="1"/>
    <s v="Asia → India → Delhi"/>
    <s v="India-2025-01"/>
    <x v="4"/>
    <s v="Delhi"/>
    <s v="Education"/>
    <x v="0"/>
    <x v="2"/>
    <x v="0"/>
    <x v="513"/>
    <n v="1428.33"/>
    <n v="3028.05"/>
    <s v="Valid"/>
    <n v="3028.05"/>
    <s v="High"/>
    <n v="0"/>
    <s v="Valid"/>
    <x v="5"/>
    <n v="11"/>
    <x v="514"/>
    <n v="15711.63"/>
    <n v="17596.920000000006"/>
    <n v="0.52830039134096207"/>
    <n v="1"/>
    <n v="0"/>
  </r>
  <r>
    <s v="ORD-2025-635337"/>
    <d v="2025-08-05T00:00:00"/>
    <x v="28"/>
    <s v="Q3-2025"/>
    <d v="2025-08-28T00:00:00"/>
    <s v="Valid"/>
    <n v="23"/>
    <d v="2025-08-28T00:00:00"/>
    <x v="1"/>
    <s v="Asia → India → Mumbai"/>
    <s v="India-2025-08"/>
    <x v="4"/>
    <s v="Mumbai"/>
    <s v="Non-Profit"/>
    <x v="3"/>
    <x v="13"/>
    <x v="4"/>
    <x v="514"/>
    <n v="638.54"/>
    <n v="987.24"/>
    <s v="Valid"/>
    <n v="987.24"/>
    <s v="Medium"/>
    <n v="0"/>
    <s v="Valid"/>
    <x v="5"/>
    <n v="11"/>
    <x v="515"/>
    <n v="7023.94"/>
    <n v="3835.7"/>
    <n v="0.35320692030306716"/>
    <n v="0"/>
    <n v="0"/>
  </r>
  <r>
    <s v="ORD-2023-568013"/>
    <d v="2023-09-30T00:00:00"/>
    <x v="27"/>
    <s v="Q3-2023"/>
    <d v="2023-10-30T00:00:00"/>
    <s v="Valid"/>
    <n v="30"/>
    <d v="2023-10-30T00:00:00"/>
    <x v="1"/>
    <s v="Asia → Japan → Tokyo"/>
    <s v="Japan-2023-09"/>
    <x v="2"/>
    <s v="Tokyo"/>
    <s v="Enterprise"/>
    <x v="1"/>
    <x v="14"/>
    <x v="1"/>
    <x v="515"/>
    <n v="649.13"/>
    <n v="975.43"/>
    <s v="Valid"/>
    <n v="975.43"/>
    <s v="Medium"/>
    <n v="0.157"/>
    <s v="Valid"/>
    <x v="86"/>
    <n v="27"/>
    <x v="516"/>
    <n v="17526.509999999998"/>
    <n v="4675.2522299999982"/>
    <n v="0.21058023149543473"/>
    <n v="0"/>
    <n v="0"/>
  </r>
  <r>
    <s v="ORD-2025-828263"/>
    <d v="2025-05-17T00:00:00"/>
    <x v="8"/>
    <s v="Q2-2025"/>
    <d v="2025-05-30T00:00:00"/>
    <s v="Valid"/>
    <n v="13"/>
    <d v="2025-05-30T00:00:00"/>
    <x v="0"/>
    <s v="Africa → Nigeria → Lagos"/>
    <s v="Nigeria-2025-05"/>
    <x v="1"/>
    <s v="Lagos"/>
    <s v="Consumer"/>
    <x v="3"/>
    <x v="9"/>
    <x v="6"/>
    <x v="516"/>
    <n v="66.400000000000006"/>
    <n v="141.43"/>
    <s v="Valid"/>
    <n v="141.43"/>
    <s v="Low"/>
    <n v="0.107"/>
    <s v="Valid"/>
    <x v="104"/>
    <n v="8"/>
    <x v="517"/>
    <n v="531.20000000000005"/>
    <n v="479.17592000000002"/>
    <n v="0.47425508715607551"/>
    <n v="0"/>
    <n v="0"/>
  </r>
  <r>
    <s v="ORD-2024-402240"/>
    <d v="2024-05-01T00:00:00"/>
    <x v="7"/>
    <s v="Q2-2024"/>
    <d v="2024-05-26T00:00:00"/>
    <s v="Valid"/>
    <n v="25"/>
    <d v="2024-05-26T00:00:00"/>
    <x v="3"/>
    <s v="Europe → Germany → Berlin"/>
    <s v="Germany-2024-05"/>
    <x v="6"/>
    <s v="Berlin"/>
    <s v="Non-Profit"/>
    <x v="0"/>
    <x v="5"/>
    <x v="2"/>
    <x v="517"/>
    <n v="930.71"/>
    <n v="1625.42"/>
    <s v="Valid"/>
    <n v="1625.42"/>
    <s v="Medium"/>
    <n v="0.13800000000000001"/>
    <s v="Valid"/>
    <x v="158"/>
    <n v="7"/>
    <x v="518"/>
    <n v="6514.97"/>
    <n v="3292.8142799999996"/>
    <n v="0.33573477821231196"/>
    <n v="0"/>
    <n v="0"/>
  </r>
  <r>
    <s v="ORD-2023-125739"/>
    <d v="2023-05-01T00:00:00"/>
    <x v="15"/>
    <s v="Q2-2023"/>
    <d v="2023-05-18T00:00:00"/>
    <s v="Valid"/>
    <n v="17"/>
    <d v="2023-05-18T00:00:00"/>
    <x v="0"/>
    <s v="Africa → Nigeria → Port Harcourt"/>
    <s v="Nigeria-2023-05"/>
    <x v="1"/>
    <s v="Port Harcourt"/>
    <s v="Corporate"/>
    <x v="4"/>
    <x v="9"/>
    <x v="0"/>
    <x v="518"/>
    <n v="327.97"/>
    <n v="299.94"/>
    <s v="Valid"/>
    <n v="299.94"/>
    <s v="Low"/>
    <n v="4.9000000000000002E-2"/>
    <s v="Valid"/>
    <x v="210"/>
    <n v="3"/>
    <x v="519"/>
    <n v="983.91000000000008"/>
    <n v="-128.18118000000015"/>
    <n v="-0.14979182306843442"/>
    <n v="0"/>
    <n v="0"/>
  </r>
  <r>
    <s v="ORD-2024-892879"/>
    <d v="2024-07-09T00:00:00"/>
    <x v="14"/>
    <s v="Q3-2024"/>
    <d v="2024-08-08T00:00:00"/>
    <s v="Valid"/>
    <n v="30"/>
    <d v="2024-08-08T00:00:00"/>
    <x v="3"/>
    <s v="Europe → France → Marseille"/>
    <s v="France-2024-07"/>
    <x v="7"/>
    <s v="Marseille"/>
    <s v="Corporate"/>
    <x v="4"/>
    <x v="1"/>
    <x v="0"/>
    <x v="519"/>
    <n v="1062.3800000000001"/>
    <n v="1503.96"/>
    <s v="Valid"/>
    <n v="1503.96"/>
    <s v="Medium"/>
    <n v="0.18"/>
    <s v="Valid"/>
    <x v="78"/>
    <n v="6"/>
    <x v="520"/>
    <n v="6374.2800000000007"/>
    <n v="1025.2031999999999"/>
    <n v="0.13855064905073369"/>
    <n v="0"/>
    <n v="0"/>
  </r>
  <r>
    <s v="ORD-2023-472050"/>
    <d v="2023-05-10T00:00:00"/>
    <x v="15"/>
    <s v="Q2-2023"/>
    <d v="2023-05-27T00:00:00"/>
    <s v="Valid"/>
    <n v="17"/>
    <d v="2023-05-27T00:00:00"/>
    <x v="1"/>
    <s v="Asia → India → Mumbai"/>
    <s v="India-2023-05"/>
    <x v="4"/>
    <s v="Mumbai"/>
    <s v="Consumer"/>
    <x v="0"/>
    <x v="12"/>
    <x v="4"/>
    <x v="520"/>
    <n v="1286.1600000000001"/>
    <n v="3101.11"/>
    <s v="Valid"/>
    <n v="3101.11"/>
    <s v="High"/>
    <n v="0.1"/>
    <s v="Valid"/>
    <x v="163"/>
    <n v="23"/>
    <x v="521"/>
    <n v="29581.68"/>
    <n v="34611.296999999999"/>
    <n v="0.53917575749758417"/>
    <n v="0"/>
    <n v="0"/>
  </r>
  <r>
    <s v="ORD-2024-468615"/>
    <d v="2024-07-09T00:00:00"/>
    <x v="14"/>
    <s v="Q3-2024"/>
    <d v="2024-07-12T00:00:00"/>
    <s v="Valid"/>
    <n v="3"/>
    <d v="2024-07-12T00:00:00"/>
    <x v="1"/>
    <s v="Asia → China → Shanghai"/>
    <s v="China-2024-07"/>
    <x v="9"/>
    <s v="Shanghai"/>
    <s v="Small Business"/>
    <x v="0"/>
    <x v="14"/>
    <x v="6"/>
    <x v="521"/>
    <n v="748.39"/>
    <n v="979.42"/>
    <s v="Valid"/>
    <n v="979.42"/>
    <s v="Medium"/>
    <n v="0"/>
    <s v="Valid"/>
    <x v="5"/>
    <n v="23"/>
    <x v="522"/>
    <n v="17212.97"/>
    <n v="5313.6899999999987"/>
    <n v="0.23588450307324738"/>
    <n v="1"/>
    <n v="0"/>
  </r>
  <r>
    <s v="ORD-2024-833375"/>
    <d v="2024-04-24T00:00:00"/>
    <x v="20"/>
    <s v="Q2-2024"/>
    <d v="2024-05-10T00:00:00"/>
    <s v="Valid"/>
    <n v="16"/>
    <d v="2024-05-10T00:00:00"/>
    <x v="0"/>
    <s v="Africa → Kenya → Kisumu"/>
    <s v="Kenya-2024-04"/>
    <x v="0"/>
    <s v="Kisumu"/>
    <s v="Non-Profit"/>
    <x v="1"/>
    <x v="13"/>
    <x v="5"/>
    <x v="522"/>
    <n v="513.30999999999995"/>
    <n v="1186.26"/>
    <s v="Valid"/>
    <n v="1186.26"/>
    <s v="Medium"/>
    <n v="9.4E-2"/>
    <s v="Valid"/>
    <x v="12"/>
    <n v="15"/>
    <x v="523"/>
    <n v="7699.65"/>
    <n v="8421.6234000000022"/>
    <n v="0.52239194702820446"/>
    <n v="0"/>
    <n v="0"/>
  </r>
  <r>
    <s v="ORD-2024-206311"/>
    <d v="2024-01-13T00:00:00"/>
    <x v="9"/>
    <s v="Q1-2024"/>
    <d v="2024-01-15T00:00:00"/>
    <s v="Valid"/>
    <n v="2"/>
    <d v="2024-01-15T00:00:00"/>
    <x v="2"/>
    <s v="Americas → USA → San Francisco"/>
    <s v="USA-2024-01"/>
    <x v="10"/>
    <s v="San Francisco"/>
    <s v="Non-Profit"/>
    <x v="4"/>
    <x v="6"/>
    <x v="0"/>
    <x v="523"/>
    <n v="1061.3699999999999"/>
    <n v="1938.33"/>
    <s v="Valid"/>
    <n v="1938.33"/>
    <s v="High"/>
    <n v="0.17"/>
    <s v="Valid"/>
    <x v="185"/>
    <n v="4"/>
    <x v="524"/>
    <n v="4245.4799999999996"/>
    <n v="2189.7755999999999"/>
    <n v="0.34027795259600879"/>
    <n v="1"/>
    <n v="0"/>
  </r>
  <r>
    <s v="ORD-2024-364080"/>
    <d v="2024-04-16T00:00:00"/>
    <x v="20"/>
    <s v="Q2-2024"/>
    <d v="2024-04-27T00:00:00"/>
    <s v="Valid"/>
    <n v="11"/>
    <d v="2024-04-27T00:00:00"/>
    <x v="0"/>
    <s v="Africa → Kenya → Nakuru"/>
    <s v="Kenya-2024-04"/>
    <x v="0"/>
    <s v="Nakuru"/>
    <s v="Enterprise"/>
    <x v="1"/>
    <x v="14"/>
    <x v="1"/>
    <x v="524"/>
    <n v="401.3"/>
    <n v="826.47"/>
    <s v="Valid"/>
    <n v="826.47"/>
    <s v="Medium"/>
    <n v="0.22500000000000001"/>
    <s v="Valid"/>
    <x v="151"/>
    <n v="13"/>
    <x v="525"/>
    <n v="5216.9000000000005"/>
    <n v="3109.7852499999999"/>
    <n v="0.37347217489696755"/>
    <n v="0"/>
    <n v="1"/>
  </r>
  <r>
    <s v="ORD-2025-460466"/>
    <d v="2025-02-07T00:00:00"/>
    <x v="26"/>
    <s v="Q1-2025"/>
    <d v="2025-02-16T00:00:00"/>
    <s v="Valid"/>
    <n v="9"/>
    <d v="2025-02-16T00:00:00"/>
    <x v="0"/>
    <s v="Africa → Nigeria → Lagos"/>
    <s v="Nigeria-2025-02"/>
    <x v="1"/>
    <s v="Lagos"/>
    <s v="Small Business"/>
    <x v="3"/>
    <x v="0"/>
    <x v="1"/>
    <x v="525"/>
    <n v="90.68"/>
    <n v="118.17"/>
    <s v="Valid"/>
    <n v="118.17"/>
    <s v="Low"/>
    <n v="0.13500000000000001"/>
    <s v="Valid"/>
    <x v="156"/>
    <n v="21"/>
    <x v="526"/>
    <n v="1904.2800000000002"/>
    <n v="242.27804999999989"/>
    <n v="0.11286815653552899"/>
    <n v="0"/>
    <n v="0"/>
  </r>
  <r>
    <s v="ORD-2023-700699"/>
    <d v="2023-01-12T00:00:00"/>
    <x v="5"/>
    <s v="Q1-2023"/>
    <d v="2023-01-26T00:00:00"/>
    <s v="Valid"/>
    <n v="14"/>
    <d v="2023-01-26T00:00:00"/>
    <x v="1"/>
    <s v="Asia → China → Shenzhen"/>
    <s v="China-2023-01"/>
    <x v="9"/>
    <s v="Shenzhen"/>
    <s v="Non-Profit"/>
    <x v="0"/>
    <x v="12"/>
    <x v="1"/>
    <x v="526"/>
    <n v="1083.0899999999999"/>
    <n v="1425.87"/>
    <s v="Valid"/>
    <n v="1425.87"/>
    <s v="Medium"/>
    <n v="0"/>
    <s v="Valid"/>
    <x v="5"/>
    <n v="8"/>
    <x v="527"/>
    <n v="8664.7199999999993"/>
    <n v="2742.24"/>
    <n v="0.24040059752992909"/>
    <n v="0"/>
    <n v="0"/>
  </r>
  <r>
    <s v="ORD-2024-713332"/>
    <d v="2024-06-05T00:00:00"/>
    <x v="17"/>
    <s v="Q2-2024"/>
    <d v="2024-06-23T00:00:00"/>
    <s v="Valid"/>
    <n v="18"/>
    <d v="2024-06-23T00:00:00"/>
    <x v="0"/>
    <s v="Africa → Kenya → Nairobi"/>
    <s v="Kenya-2024-06"/>
    <x v="0"/>
    <s v="Nairobi"/>
    <s v="Consumer"/>
    <x v="3"/>
    <x v="14"/>
    <x v="4"/>
    <x v="527"/>
    <n v="1208.74"/>
    <n v="1594.78"/>
    <s v="Valid"/>
    <n v="1594.78"/>
    <s v="Medium"/>
    <n v="5.8999999999999997E-2"/>
    <s v="Valid"/>
    <x v="161"/>
    <n v="39"/>
    <x v="528"/>
    <n v="47140.86"/>
    <n v="11385.971219999999"/>
    <n v="0.1945427589817838"/>
    <n v="0"/>
    <n v="0"/>
  </r>
  <r>
    <s v="ORD-2023-640022"/>
    <d v="2023-08-24T00:00:00"/>
    <x v="25"/>
    <s v="Q3-2023"/>
    <d v="2023-09-20T00:00:00"/>
    <s v="Valid"/>
    <n v="27"/>
    <d v="2023-09-20T00:00:00"/>
    <x v="0"/>
    <s v="Africa → South Africa → Durban"/>
    <s v="South Africa-2023-08"/>
    <x v="11"/>
    <s v="Durban"/>
    <s v="Small Business"/>
    <x v="2"/>
    <x v="12"/>
    <x v="1"/>
    <x v="528"/>
    <n v="1399.64"/>
    <n v="3342.11"/>
    <s v="Valid"/>
    <n v="3342.11"/>
    <s v="High"/>
    <n v="0"/>
    <s v="Valid"/>
    <x v="5"/>
    <n v="10"/>
    <x v="529"/>
    <n v="13996.400000000001"/>
    <n v="19424.699999999997"/>
    <n v="0.58121067229983447"/>
    <n v="0"/>
    <n v="0"/>
  </r>
  <r>
    <s v="ORD-2024-532184"/>
    <d v="2024-01-25T00:00:00"/>
    <x v="9"/>
    <s v="Q1-2024"/>
    <d v="2024-02-08T00:00:00"/>
    <s v="Valid"/>
    <n v="14"/>
    <d v="2024-02-08T00:00:00"/>
    <x v="1"/>
    <s v="Asia → Japan → Osaka"/>
    <s v="Japan-2024-01"/>
    <x v="2"/>
    <s v="Osaka"/>
    <s v="Consumer"/>
    <x v="2"/>
    <x v="2"/>
    <x v="2"/>
    <x v="529"/>
    <n v="937.16"/>
    <n v="1069.77"/>
    <s v="Valid"/>
    <n v="1069.77"/>
    <s v="Medium"/>
    <n v="3.7999999999999999E-2"/>
    <s v="Valid"/>
    <x v="16"/>
    <n v="9"/>
    <x v="530"/>
    <n v="8434.44"/>
    <n v="827.62866000000031"/>
    <n v="8.9356783066645962E-2"/>
    <n v="0"/>
    <n v="0"/>
  </r>
  <r>
    <s v="ORD-2025-926547"/>
    <d v="2025-03-11T00:00:00"/>
    <x v="3"/>
    <s v="Q1-2025"/>
    <d v="2025-03-26T00:00:00"/>
    <s v="Valid"/>
    <n v="15"/>
    <d v="2025-03-26T00:00:00"/>
    <x v="3"/>
    <s v="Europe → Germany → Berlin"/>
    <s v="Germany-2025-03"/>
    <x v="6"/>
    <s v="Berlin"/>
    <s v="Small Business"/>
    <x v="1"/>
    <x v="2"/>
    <x v="3"/>
    <x v="530"/>
    <n v="116.97"/>
    <n v="140.82"/>
    <s v="Valid"/>
    <n v="140.82"/>
    <s v="Low"/>
    <n v="0.122"/>
    <s v="Valid"/>
    <x v="152"/>
    <n v="5"/>
    <x v="531"/>
    <n v="584.85"/>
    <n v="33.349799999999846"/>
    <n v="5.3946636669891926E-2"/>
    <n v="0"/>
    <n v="0"/>
  </r>
  <r>
    <s v="ORD-2025-778145"/>
    <d v="2025-04-22T00:00:00"/>
    <x v="19"/>
    <s v="Q2-2025"/>
    <d v="2025-05-12T00:00:00"/>
    <s v="Valid"/>
    <n v="20"/>
    <d v="2025-05-12T00:00:00"/>
    <x v="3"/>
    <s v="Europe → France → Lyon"/>
    <s v="France-2025-04"/>
    <x v="7"/>
    <s v="Lyon"/>
    <s v="Enterprise"/>
    <x v="2"/>
    <x v="11"/>
    <x v="5"/>
    <x v="531"/>
    <n v="59.51"/>
    <n v="67.040000000000006"/>
    <s v="Valid"/>
    <n v="67.040000000000006"/>
    <s v="Low"/>
    <n v="0.114"/>
    <s v="Valid"/>
    <x v="59"/>
    <n v="9"/>
    <x v="532"/>
    <n v="535.59"/>
    <n v="-1.0130400000000463"/>
    <n v="-1.8950311663264469E-3"/>
    <n v="0"/>
    <n v="0"/>
  </r>
  <r>
    <s v="ORD-2023-525643"/>
    <d v="2023-08-17T00:00:00"/>
    <x v="25"/>
    <s v="Q3-2023"/>
    <d v="2023-09-03T00:00:00"/>
    <s v="Valid"/>
    <n v="17"/>
    <d v="2023-09-03T00:00:00"/>
    <x v="0"/>
    <s v="Africa → South Africa → Durban"/>
    <s v="South Africa-2023-08"/>
    <x v="11"/>
    <s v="Durban"/>
    <s v="Enterprise"/>
    <x v="0"/>
    <x v="8"/>
    <x v="3"/>
    <x v="532"/>
    <n v="676.37"/>
    <n v="1276.67"/>
    <s v="Valid"/>
    <n v="1276.67"/>
    <s v="Medium"/>
    <n v="6.6000000000000003E-2"/>
    <s v="Valid"/>
    <x v="71"/>
    <n v="10"/>
    <x v="533"/>
    <n v="6763.7"/>
    <n v="5160.3977999999997"/>
    <n v="0.4327705027712872"/>
    <n v="0"/>
    <n v="0"/>
  </r>
  <r>
    <s v="ORD-2025-312803"/>
    <d v="2025-06-24T00:00:00"/>
    <x v="16"/>
    <s v="Q2-2025"/>
    <d v="2025-07-14T00:00:00"/>
    <s v="Valid"/>
    <n v="20"/>
    <d v="2025-07-14T00:00:00"/>
    <x v="0"/>
    <s v="Africa → South Africa → Johannesburg"/>
    <s v="South Africa-2025-06"/>
    <x v="11"/>
    <s v="Johannesburg"/>
    <s v="Enterprise"/>
    <x v="2"/>
    <x v="1"/>
    <x v="4"/>
    <x v="533"/>
    <n v="1151.06"/>
    <n v="2821.36"/>
    <s v="Valid"/>
    <n v="2821.36"/>
    <s v="High"/>
    <n v="0.248"/>
    <s v="Valid"/>
    <x v="214"/>
    <n v="20"/>
    <x v="534"/>
    <n v="23021.199999999997"/>
    <n v="19412.054400000008"/>
    <n v="0.45747267501594235"/>
    <n v="0"/>
    <n v="1"/>
  </r>
  <r>
    <s v="ORD-2025-149156"/>
    <d v="2025-01-10T00:00:00"/>
    <x v="10"/>
    <s v="Q1-2025"/>
    <d v="2025-02-06T00:00:00"/>
    <s v="Valid"/>
    <n v="27"/>
    <d v="2025-02-06T00:00:00"/>
    <x v="2"/>
    <s v="Americas → Brazil → Brasília"/>
    <s v="Brazil-2025-01"/>
    <x v="5"/>
    <s v="Brasília"/>
    <s v="Non-Profit"/>
    <x v="0"/>
    <x v="5"/>
    <x v="4"/>
    <x v="534"/>
    <n v="725.62"/>
    <n v="1559.19"/>
    <s v="Valid"/>
    <n v="1559.19"/>
    <s v="Medium"/>
    <n v="0.19"/>
    <s v="Valid"/>
    <x v="193"/>
    <n v="12"/>
    <x v="535"/>
    <n v="8707.44"/>
    <n v="6447.8868000000002"/>
    <n v="0.42545349797405885"/>
    <n v="0"/>
    <n v="0"/>
  </r>
  <r>
    <s v="ORD-2023-215819"/>
    <d v="2023-07-01T00:00:00"/>
    <x v="24"/>
    <s v="Q3-2023"/>
    <d v="2023-07-11T00:00:00"/>
    <s v="Valid"/>
    <n v="10"/>
    <d v="2023-07-11T00:00:00"/>
    <x v="3"/>
    <s v="Europe → France → Paris"/>
    <s v="France-2023-07"/>
    <x v="7"/>
    <s v="Paris"/>
    <s v="Corporate"/>
    <x v="4"/>
    <x v="9"/>
    <x v="2"/>
    <x v="535"/>
    <n v="479.5"/>
    <n v="656.66"/>
    <s v="Valid"/>
    <n v="656.66"/>
    <s v="Medium"/>
    <n v="0.14899999999999999"/>
    <s v="Valid"/>
    <x v="9"/>
    <n v="14"/>
    <x v="536"/>
    <n v="6713"/>
    <n v="1110.4472399999995"/>
    <n v="0.14193835606412289"/>
    <n v="0"/>
    <n v="0"/>
  </r>
  <r>
    <s v="ORD-2024-353078"/>
    <d v="2024-08-16T00:00:00"/>
    <x v="21"/>
    <s v="Q3-2024"/>
    <d v="2024-08-26T00:00:00"/>
    <s v="Valid"/>
    <n v="10"/>
    <d v="2024-08-26T00:00:00"/>
    <x v="2"/>
    <s v="Americas → USA → Chicago"/>
    <s v="USA-2024-08"/>
    <x v="10"/>
    <s v="Chicago"/>
    <s v="Corporate"/>
    <x v="3"/>
    <x v="4"/>
    <x v="4"/>
    <x v="387"/>
    <n v="1291.7"/>
    <n v="2657.84"/>
    <s v="Valid"/>
    <n v="2657.84"/>
    <s v="High"/>
    <n v="8.6999999999999994E-2"/>
    <s v="Valid"/>
    <x v="24"/>
    <n v="21"/>
    <x v="537"/>
    <n v="27125.7"/>
    <n v="23833.066320000002"/>
    <n v="0.46769315745083367"/>
    <n v="0"/>
    <n v="0"/>
  </r>
  <r>
    <s v="ORD-2023-621393"/>
    <d v="2023-07-07T00:00:00"/>
    <x v="24"/>
    <s v="Q3-2023"/>
    <d v="2023-07-13T00:00:00"/>
    <s v="Valid"/>
    <n v="6"/>
    <d v="2023-07-13T00:00:00"/>
    <x v="0"/>
    <s v="Africa → South Africa → Cape Town"/>
    <s v="South Africa-2023-07"/>
    <x v="11"/>
    <s v="Cape Town"/>
    <s v="Small Business"/>
    <x v="2"/>
    <x v="5"/>
    <x v="6"/>
    <x v="536"/>
    <n v="612.59"/>
    <n v="1424.74"/>
    <s v="Valid"/>
    <n v="1424.74"/>
    <s v="Medium"/>
    <n v="4.3999999999999997E-2"/>
    <s v="Valid"/>
    <x v="215"/>
    <n v="15"/>
    <x v="538"/>
    <n v="9188.85"/>
    <n v="11241.921599999996"/>
    <n v="0.55024459281802152"/>
    <n v="1"/>
    <n v="0"/>
  </r>
  <r>
    <s v="ORD-2023-974506"/>
    <d v="2023-12-28T00:00:00"/>
    <x v="4"/>
    <s v="Q4-2023"/>
    <d v="2024-01-01T00:00:00"/>
    <s v="Valid"/>
    <n v="4"/>
    <d v="2024-01-01T00:00:00"/>
    <x v="0"/>
    <s v="Africa → South Africa → Cape Town"/>
    <s v="South Africa-2023-12"/>
    <x v="11"/>
    <s v="Cape Town"/>
    <s v="Education"/>
    <x v="3"/>
    <x v="8"/>
    <x v="1"/>
    <x v="537"/>
    <n v="1141.8"/>
    <n v="2318.7399999999998"/>
    <s v="Valid"/>
    <n v="2318.7399999999998"/>
    <s v="High"/>
    <n v="0.107"/>
    <s v="Valid"/>
    <x v="104"/>
    <n v="32"/>
    <x v="539"/>
    <n v="36537.599999999999"/>
    <n v="29722.714239999994"/>
    <n v="0.44857490612468304"/>
    <n v="1"/>
    <n v="0"/>
  </r>
  <r>
    <s v="ORD-2023-811823"/>
    <d v="2023-01-26T00:00:00"/>
    <x v="5"/>
    <s v="Q1-2023"/>
    <d v="2023-02-15T00:00:00"/>
    <s v="Valid"/>
    <n v="20"/>
    <d v="2023-02-15T00:00:00"/>
    <x v="3"/>
    <s v="Europe → Germany → Berlin"/>
    <s v="Germany-2023-01"/>
    <x v="6"/>
    <s v="Berlin"/>
    <s v="Small Business"/>
    <x v="1"/>
    <x v="7"/>
    <x v="2"/>
    <x v="538"/>
    <n v="492.62"/>
    <n v="366.7"/>
    <s v="Valid"/>
    <n v="366.7"/>
    <s v="Low"/>
    <n v="8.8999999999999996E-2"/>
    <s v="Valid"/>
    <x v="25"/>
    <n v="10"/>
    <x v="540"/>
    <n v="4926.2"/>
    <n v="-1585.5629999999996"/>
    <n v="-0.47462894052840809"/>
    <n v="0"/>
    <n v="0"/>
  </r>
  <r>
    <s v="ORD-2023-286720"/>
    <d v="2023-07-08T00:00:00"/>
    <x v="24"/>
    <s v="Q3-2023"/>
    <d v="2023-07-09T00:00:00"/>
    <s v="Valid"/>
    <n v="1"/>
    <d v="2023-07-09T00:00:00"/>
    <x v="0"/>
    <s v="Africa → Kenya → Nairobi"/>
    <s v="Kenya-2023-07"/>
    <x v="0"/>
    <s v="Nairobi"/>
    <s v="Consumer"/>
    <x v="1"/>
    <x v="14"/>
    <x v="4"/>
    <x v="539"/>
    <n v="1258.72"/>
    <n v="2797.41"/>
    <s v="Valid"/>
    <n v="2797.41"/>
    <s v="High"/>
    <n v="0"/>
    <s v="Valid"/>
    <x v="5"/>
    <n v="7"/>
    <x v="541"/>
    <n v="8811.0400000000009"/>
    <n v="10770.829999999998"/>
    <n v="0.55004093071805704"/>
    <n v="1"/>
    <n v="0"/>
  </r>
  <r>
    <s v="ORD-2024-626925"/>
    <d v="2024-06-07T00:00:00"/>
    <x v="17"/>
    <s v="Q2-2024"/>
    <d v="2024-06-09T00:00:00"/>
    <s v="Valid"/>
    <n v="2"/>
    <d v="2024-06-09T00:00:00"/>
    <x v="1"/>
    <s v="Asia → China → Shanghai"/>
    <s v="China-2024-06"/>
    <x v="9"/>
    <s v="Shanghai"/>
    <s v="Corporate"/>
    <x v="0"/>
    <x v="7"/>
    <x v="5"/>
    <x v="540"/>
    <n v="1370.28"/>
    <n v="2209.66"/>
    <s v="Valid"/>
    <n v="2209.66"/>
    <s v="High"/>
    <n v="0.13300000000000001"/>
    <s v="Valid"/>
    <x v="111"/>
    <n v="16"/>
    <x v="542"/>
    <n v="21924.48"/>
    <n v="8727.9235199999966"/>
    <n v="0.28473863442079589"/>
    <n v="1"/>
    <n v="0"/>
  </r>
  <r>
    <s v="ORD-2023-960380"/>
    <d v="2023-02-11T00:00:00"/>
    <x v="2"/>
    <s v="Q1-2023"/>
    <d v="2023-02-12T00:00:00"/>
    <s v="Valid"/>
    <n v="1"/>
    <d v="2023-02-12T00:00:00"/>
    <x v="0"/>
    <s v="Africa → Nigeria → Port Harcourt"/>
    <s v="Nigeria-2023-02"/>
    <x v="1"/>
    <s v="Port Harcourt"/>
    <s v="Non-Profit"/>
    <x v="4"/>
    <x v="14"/>
    <x v="6"/>
    <x v="541"/>
    <n v="944.61"/>
    <n v="839.04"/>
    <s v="Valid"/>
    <n v="839.04"/>
    <s v="Medium"/>
    <n v="5.8999999999999997E-2"/>
    <s v="Valid"/>
    <x v="161"/>
    <n v="6"/>
    <x v="543"/>
    <n v="5667.66"/>
    <n v="-930.44016000000011"/>
    <n v="-0.19641059343363726"/>
    <n v="1"/>
    <n v="0"/>
  </r>
  <r>
    <s v="ORD-2023-453699"/>
    <d v="2023-07-01T00:00:00"/>
    <x v="24"/>
    <s v="Q3-2023"/>
    <d v="2023-07-08T00:00:00"/>
    <s v="Valid"/>
    <n v="7"/>
    <d v="2023-07-08T00:00:00"/>
    <x v="3"/>
    <s v="Europe → Germany → Frankfurt"/>
    <s v="Germany-2023-07"/>
    <x v="6"/>
    <s v="Frankfurt"/>
    <s v="Small Business"/>
    <x v="3"/>
    <x v="13"/>
    <x v="4"/>
    <x v="542"/>
    <n v="460.21"/>
    <n v="1139.1500000000001"/>
    <s v="Valid"/>
    <n v="1139.1500000000001"/>
    <s v="Medium"/>
    <n v="0.115"/>
    <s v="Valid"/>
    <x v="157"/>
    <n v="14"/>
    <x v="544"/>
    <n v="6442.94"/>
    <n v="7671.1285000000016"/>
    <n v="0.54350937151821255"/>
    <n v="1"/>
    <n v="0"/>
  </r>
  <r>
    <s v="ORD-2025-960931"/>
    <d v="2025-08-20T00:00:00"/>
    <x v="28"/>
    <s v="Q3-2025"/>
    <d v="2025-08-26T00:00:00"/>
    <s v="Valid"/>
    <n v="6"/>
    <d v="2025-08-26T00:00:00"/>
    <x v="2"/>
    <s v="Americas → USA → New York"/>
    <s v="USA-2025-08"/>
    <x v="10"/>
    <s v="New York"/>
    <s v="Corporate"/>
    <x v="0"/>
    <x v="12"/>
    <x v="2"/>
    <x v="543"/>
    <n v="1304.95"/>
    <n v="1712.03"/>
    <s v="Valid"/>
    <n v="1712.03"/>
    <s v="Medium"/>
    <n v="0.21199999999999999"/>
    <s v="Valid"/>
    <x v="122"/>
    <n v="8"/>
    <x v="545"/>
    <n v="10439.6"/>
    <n v="353.03711999999905"/>
    <n v="3.2710922833287949E-2"/>
    <n v="1"/>
    <n v="1"/>
  </r>
  <r>
    <s v="ORD-2024-419248"/>
    <d v="2024-03-04T00:00:00"/>
    <x v="0"/>
    <s v="Q1-2024"/>
    <d v="2024-03-16T00:00:00"/>
    <s v="Valid"/>
    <n v="12"/>
    <d v="2024-03-16T00:00:00"/>
    <x v="0"/>
    <s v="Africa → South Africa → Johannesburg"/>
    <s v="South Africa-2024-03"/>
    <x v="11"/>
    <s v="Johannesburg"/>
    <s v="Enterprise"/>
    <x v="3"/>
    <x v="12"/>
    <x v="5"/>
    <x v="544"/>
    <n v="441.08"/>
    <n v="1054.29"/>
    <s v="Valid"/>
    <n v="1054.29"/>
    <s v="Medium"/>
    <n v="0.23699999999999999"/>
    <s v="Valid"/>
    <x v="1"/>
    <n v="6"/>
    <x v="546"/>
    <n v="2646.48"/>
    <n v="2180.0596199999995"/>
    <n v="0.45168169985932899"/>
    <n v="0"/>
    <n v="1"/>
  </r>
  <r>
    <s v="ORD-2023-488227"/>
    <d v="2023-09-08T00:00:00"/>
    <x v="27"/>
    <s v="Q3-2023"/>
    <d v="2023-10-02T00:00:00"/>
    <s v="Valid"/>
    <n v="24"/>
    <d v="2023-10-02T00:00:00"/>
    <x v="2"/>
    <s v="Americas → Canada → Toronto"/>
    <s v="Canada-2023-09"/>
    <x v="3"/>
    <s v="Toronto"/>
    <s v="Education"/>
    <x v="4"/>
    <x v="8"/>
    <x v="6"/>
    <x v="545"/>
    <n v="1299.03"/>
    <n v="2451.2199999999998"/>
    <s v="Valid"/>
    <n v="2451.2199999999998"/>
    <s v="High"/>
    <n v="0.20799999999999999"/>
    <s v="Valid"/>
    <x v="216"/>
    <n v="8"/>
    <x v="547"/>
    <n v="10392.24"/>
    <n v="5138.6899199999989"/>
    <n v="0.3308681416032041"/>
    <n v="0"/>
    <n v="1"/>
  </r>
  <r>
    <s v="ORD-2023-472078"/>
    <d v="2023-02-28T00:00:00"/>
    <x v="2"/>
    <s v="Q1-2023"/>
    <d v="2023-03-06T00:00:00"/>
    <s v="Valid"/>
    <n v="6"/>
    <d v="2023-03-06T00:00:00"/>
    <x v="3"/>
    <s v="Europe → Germany → Frankfurt"/>
    <s v="Germany-2023-02"/>
    <x v="6"/>
    <s v="Frankfurt"/>
    <s v="Small Business"/>
    <x v="2"/>
    <x v="14"/>
    <x v="1"/>
    <x v="546"/>
    <n v="880.02"/>
    <n v="1251.21"/>
    <s v="Valid"/>
    <n v="1251.21"/>
    <s v="Medium"/>
    <n v="0.123"/>
    <s v="Valid"/>
    <x v="81"/>
    <n v="29"/>
    <x v="548"/>
    <n v="25520.579999999998"/>
    <n v="6301.4439300000049"/>
    <n v="0.19802146915172672"/>
    <n v="1"/>
    <n v="0"/>
  </r>
  <r>
    <s v="ORD-2024-202877"/>
    <d v="2024-07-13T00:00:00"/>
    <x v="14"/>
    <s v="Q3-2024"/>
    <d v="2024-08-03T00:00:00"/>
    <s v="Valid"/>
    <n v="21"/>
    <d v="2024-08-03T00:00:00"/>
    <x v="2"/>
    <s v="Americas → Brazil → Rio de Janeiro"/>
    <s v="Brazil-2024-07"/>
    <x v="5"/>
    <s v="Rio de Janeiro"/>
    <s v="Corporate"/>
    <x v="2"/>
    <x v="12"/>
    <x v="5"/>
    <x v="547"/>
    <n v="702.98"/>
    <n v="1104.8"/>
    <s v="Valid"/>
    <n v="1104.8"/>
    <s v="Medium"/>
    <n v="0.17499999999999999"/>
    <s v="Valid"/>
    <x v="30"/>
    <n v="12"/>
    <x v="549"/>
    <n v="8435.76"/>
    <n v="2501.7599999999984"/>
    <n v="0.22873192460448061"/>
    <n v="0"/>
    <n v="0"/>
  </r>
  <r>
    <s v="ORD-2024-140633"/>
    <d v="2024-12-07T00:00:00"/>
    <x v="6"/>
    <s v="Q4-2024"/>
    <d v="2024-12-26T00:00:00"/>
    <s v="Valid"/>
    <n v="19"/>
    <d v="2024-12-26T00:00:00"/>
    <x v="3"/>
    <s v="Europe → United Kingdom → London"/>
    <s v="United Kingdom-2024-12"/>
    <x v="8"/>
    <s v="London"/>
    <s v="Enterprise"/>
    <x v="1"/>
    <x v="14"/>
    <x v="2"/>
    <x v="548"/>
    <n v="1035.24"/>
    <n v="2383.41"/>
    <s v="Valid"/>
    <n v="2383.41"/>
    <s v="High"/>
    <n v="0.17"/>
    <s v="Valid"/>
    <x v="185"/>
    <n v="15"/>
    <x v="550"/>
    <n v="15528.6"/>
    <n v="14144.854499999992"/>
    <n v="0.47668378145860962"/>
    <n v="0"/>
    <n v="0"/>
  </r>
  <r>
    <s v="ORD-2025-419532"/>
    <d v="2025-08-06T00:00:00"/>
    <x v="28"/>
    <s v="Q3-2025"/>
    <d v="2025-08-23T00:00:00"/>
    <s v="Valid"/>
    <n v="17"/>
    <d v="2025-08-23T00:00:00"/>
    <x v="2"/>
    <s v="Americas → Brazil → Brasília"/>
    <s v="Brazil-2025-08"/>
    <x v="5"/>
    <s v="Brasília"/>
    <s v="Consumer"/>
    <x v="3"/>
    <x v="8"/>
    <x v="5"/>
    <x v="549"/>
    <n v="86.64"/>
    <n v="213.06"/>
    <s v="Valid"/>
    <n v="213.06"/>
    <s v="Low"/>
    <n v="0.21199999999999999"/>
    <s v="Valid"/>
    <x v="122"/>
    <n v="11"/>
    <x v="551"/>
    <n v="953.04"/>
    <n v="893.76407999999992"/>
    <n v="0.48395175735154322"/>
    <n v="0"/>
    <n v="1"/>
  </r>
  <r>
    <s v="ORD-2023-139236"/>
    <d v="2023-03-03T00:00:00"/>
    <x v="22"/>
    <s v="Q1-2023"/>
    <d v="2023-03-20T00:00:00"/>
    <s v="Valid"/>
    <n v="17"/>
    <d v="2023-03-20T00:00:00"/>
    <x v="1"/>
    <s v="Asia → Japan → Nagoya"/>
    <s v="Japan-2023-03"/>
    <x v="2"/>
    <s v="Nagoya"/>
    <s v="Small Business"/>
    <x v="1"/>
    <x v="14"/>
    <x v="2"/>
    <x v="550"/>
    <n v="1171.17"/>
    <n v="2030.64"/>
    <s v="Valid"/>
    <n v="2030.64"/>
    <s v="High"/>
    <n v="0.157"/>
    <s v="Valid"/>
    <x v="86"/>
    <n v="11"/>
    <x v="552"/>
    <n v="12882.87"/>
    <n v="5947.254719999999"/>
    <n v="0.31583724528830415"/>
    <n v="0"/>
    <n v="0"/>
  </r>
  <r>
    <s v="ORD-2025-337268"/>
    <d v="2025-02-16T00:00:00"/>
    <x v="26"/>
    <s v="Q1-2025"/>
    <d v="2025-03-17T00:00:00"/>
    <s v="Valid"/>
    <n v="29"/>
    <d v="2025-03-17T00:00:00"/>
    <x v="3"/>
    <s v="Europe → Germany → Munich"/>
    <s v="Germany-2025-02"/>
    <x v="6"/>
    <s v="Munich"/>
    <s v="Consumer"/>
    <x v="0"/>
    <x v="4"/>
    <x v="6"/>
    <x v="551"/>
    <n v="730.42"/>
    <n v="956.7"/>
    <s v="Valid"/>
    <n v="956.7"/>
    <s v="Medium"/>
    <n v="4.2000000000000003E-2"/>
    <s v="Valid"/>
    <x v="172"/>
    <n v="22"/>
    <x v="553"/>
    <n v="16069.24"/>
    <n v="4094.1692000000021"/>
    <n v="0.20304945256975698"/>
    <n v="0"/>
    <n v="0"/>
  </r>
  <r>
    <s v="ORD-2025-332931"/>
    <d v="2025-02-15T00:00:00"/>
    <x v="26"/>
    <s v="Q1-2025"/>
    <d v="2025-03-01T00:00:00"/>
    <s v="Valid"/>
    <n v="14"/>
    <d v="2025-03-01T00:00:00"/>
    <x v="0"/>
    <s v="Africa → Kenya → Mombasa"/>
    <s v="Kenya-2025-02"/>
    <x v="0"/>
    <s v="Mombasa"/>
    <s v="Education"/>
    <x v="4"/>
    <x v="4"/>
    <x v="6"/>
    <x v="552"/>
    <n v="1162.8599999999999"/>
    <n v="1447.68"/>
    <s v="Valid"/>
    <n v="1447.68"/>
    <s v="Medium"/>
    <n v="8.6999999999999994E-2"/>
    <s v="Valid"/>
    <x v="24"/>
    <n v="12"/>
    <x v="554"/>
    <n v="13954.32"/>
    <n v="1906.4620800000012"/>
    <n v="0.12019975247021369"/>
    <n v="0"/>
    <n v="0"/>
  </r>
  <r>
    <s v="ORD-2024-536442"/>
    <d v="2024-08-31T00:00:00"/>
    <x v="21"/>
    <s v="Q3-2024"/>
    <d v="2024-09-26T00:00:00"/>
    <s v="Valid"/>
    <n v="26"/>
    <d v="2024-09-26T00:00:00"/>
    <x v="1"/>
    <s v="Asia → Japan → Tokyo"/>
    <s v="Japan-2024-08"/>
    <x v="2"/>
    <s v="Tokyo"/>
    <s v="Education"/>
    <x v="1"/>
    <x v="2"/>
    <x v="3"/>
    <x v="553"/>
    <n v="1189.03"/>
    <n v="2949.62"/>
    <s v="Valid"/>
    <n v="2949.62"/>
    <s v="High"/>
    <n v="0.125"/>
    <s v="Valid"/>
    <x v="22"/>
    <n v="13"/>
    <x v="555"/>
    <n v="15457.39"/>
    <n v="18094.537499999999"/>
    <n v="0.53929949330034765"/>
    <n v="0"/>
    <n v="0"/>
  </r>
  <r>
    <s v="ORD-2023-957692"/>
    <d v="2023-05-07T00:00:00"/>
    <x v="15"/>
    <s v="Q2-2023"/>
    <d v="2023-05-20T00:00:00"/>
    <s v="Valid"/>
    <n v="13"/>
    <d v="2023-05-20T00:00:00"/>
    <x v="1"/>
    <s v="Asia → India → Mumbai"/>
    <s v="India-2023-05"/>
    <x v="4"/>
    <s v="Mumbai"/>
    <s v="Enterprise"/>
    <x v="0"/>
    <x v="14"/>
    <x v="6"/>
    <x v="554"/>
    <n v="1443.28"/>
    <n v="2580.5700000000002"/>
    <s v="Valid"/>
    <n v="2580.5700000000002"/>
    <s v="High"/>
    <n v="0"/>
    <s v="Valid"/>
    <x v="5"/>
    <n v="18"/>
    <x v="556"/>
    <n v="25979.040000000001"/>
    <n v="20471.22"/>
    <n v="0.4407127107577008"/>
    <n v="0"/>
    <n v="0"/>
  </r>
  <r>
    <s v="ORD-2025-874124"/>
    <d v="2025-05-14T00:00:00"/>
    <x v="8"/>
    <s v="Q2-2025"/>
    <d v="2025-05-12T00:00:00"/>
    <s v="Invalid RequiredDate"/>
    <n v="-2"/>
    <d v="2025-06-09T00:00:00"/>
    <x v="2"/>
    <s v="Americas → Canada → Vancouver"/>
    <s v="Canada-2025-05"/>
    <x v="3"/>
    <s v="Vancouver"/>
    <s v="Non-Profit"/>
    <x v="3"/>
    <x v="9"/>
    <x v="1"/>
    <x v="555"/>
    <n v="883.5"/>
    <n v="1978.91"/>
    <s v="Valid"/>
    <n v="1978.91"/>
    <s v="High"/>
    <n v="5.3999999999999999E-2"/>
    <s v="Valid"/>
    <x v="217"/>
    <n v="27"/>
    <x v="557"/>
    <n v="23854.5"/>
    <n v="26690.819219999998"/>
    <n v="0.52805718970390547"/>
    <n v="1"/>
    <n v="0"/>
  </r>
  <r>
    <s v="ORD-2024-687073"/>
    <d v="2024-03-11T00:00:00"/>
    <x v="0"/>
    <s v="Q1-2024"/>
    <d v="2024-03-29T00:00:00"/>
    <s v="Valid"/>
    <n v="18"/>
    <d v="2024-03-29T00:00:00"/>
    <x v="2"/>
    <s v="Americas → USA → New York"/>
    <s v="USA-2024-03"/>
    <x v="10"/>
    <s v="New York"/>
    <s v="Corporate"/>
    <x v="0"/>
    <x v="12"/>
    <x v="5"/>
    <x v="556"/>
    <n v="710.98"/>
    <n v="1481.45"/>
    <s v="Valid"/>
    <n v="1481.45"/>
    <s v="Medium"/>
    <n v="0.21099999999999999"/>
    <s v="Valid"/>
    <x v="125"/>
    <n v="9"/>
    <x v="558"/>
    <n v="6398.82"/>
    <n v="4120.9564500000015"/>
    <n v="0.39173422264120461"/>
    <n v="0"/>
    <n v="1"/>
  </r>
  <r>
    <s v="ORD-2024-555229"/>
    <d v="2024-05-18T00:00:00"/>
    <x v="7"/>
    <s v="Q2-2024"/>
    <d v="2024-05-22T00:00:00"/>
    <s v="Valid"/>
    <n v="4"/>
    <d v="2024-05-22T00:00:00"/>
    <x v="0"/>
    <s v="Africa → Kenya → Nairobi"/>
    <s v="Kenya-2024-05"/>
    <x v="0"/>
    <s v="Nairobi"/>
    <s v="Corporate"/>
    <x v="4"/>
    <x v="10"/>
    <x v="6"/>
    <x v="557"/>
    <n v="857.42"/>
    <n v="1658.92"/>
    <s v="Valid"/>
    <n v="1658.92"/>
    <s v="Medium"/>
    <n v="0.122"/>
    <s v="Valid"/>
    <x v="152"/>
    <n v="9"/>
    <x v="559"/>
    <n v="7716.78"/>
    <n v="5392.0058400000007"/>
    <n v="0.41132763215544305"/>
    <n v="1"/>
    <n v="0"/>
  </r>
  <r>
    <s v="ORD-2024-872291"/>
    <d v="2024-01-08T00:00:00"/>
    <x v="9"/>
    <s v="Q1-2024"/>
    <d v="2024-01-12T00:00:00"/>
    <s v="Valid"/>
    <n v="4"/>
    <d v="2024-01-12T00:00:00"/>
    <x v="1"/>
    <s v="Asia → India → Bengaluru"/>
    <s v="India-2024-01"/>
    <x v="4"/>
    <s v="Bengaluru"/>
    <s v="Corporate"/>
    <x v="4"/>
    <x v="6"/>
    <x v="1"/>
    <x v="558"/>
    <n v="802.32"/>
    <n v="602.34"/>
    <s v="Valid"/>
    <n v="602.34"/>
    <s v="Low"/>
    <n v="0.12"/>
    <s v="Valid"/>
    <x v="18"/>
    <n v="25"/>
    <x v="560"/>
    <n v="20058"/>
    <n v="-6806.52"/>
    <n v="-0.51364224977134632"/>
    <n v="1"/>
    <n v="0"/>
  </r>
  <r>
    <s v="ORD-2024-250862"/>
    <d v="2024-10-25T00:00:00"/>
    <x v="1"/>
    <s v="Q4-2024"/>
    <d v="2024-11-05T00:00:00"/>
    <s v="Valid"/>
    <n v="11"/>
    <d v="2024-11-05T00:00:00"/>
    <x v="2"/>
    <s v="Americas → USA → New York"/>
    <s v="USA-2024-10"/>
    <x v="10"/>
    <s v="New York"/>
    <s v="Corporate"/>
    <x v="3"/>
    <x v="13"/>
    <x v="0"/>
    <x v="559"/>
    <n v="446.66"/>
    <n v="527.64"/>
    <s v="Valid"/>
    <n v="527.64"/>
    <s v="Low"/>
    <n v="0.14499999999999999"/>
    <s v="Valid"/>
    <x v="177"/>
    <n v="15"/>
    <x v="561"/>
    <n v="6699.9000000000005"/>
    <n v="67.082999999998719"/>
    <n v="9.9132804087137105E-3"/>
    <n v="0"/>
    <n v="0"/>
  </r>
  <r>
    <s v="ORD-2024-331226"/>
    <d v="2024-11-30T00:00:00"/>
    <x v="18"/>
    <s v="Q4-2024"/>
    <d v="2024-12-19T00:00:00"/>
    <s v="Valid"/>
    <n v="19"/>
    <d v="2024-12-19T00:00:00"/>
    <x v="0"/>
    <s v="Africa → Kenya → Kisumu"/>
    <s v="Kenya-2024-11"/>
    <x v="0"/>
    <s v="Kisumu"/>
    <s v="Corporate"/>
    <x v="1"/>
    <x v="4"/>
    <x v="3"/>
    <x v="560"/>
    <n v="1195.98"/>
    <n v="1841.9"/>
    <s v="Valid"/>
    <n v="1841.9"/>
    <s v="Medium"/>
    <n v="5.5E-2"/>
    <s v="Valid"/>
    <x v="132"/>
    <n v="19"/>
    <x v="562"/>
    <n v="22723.62"/>
    <n v="10347.694500000001"/>
    <n v="0.31289032977506842"/>
    <n v="0"/>
    <n v="0"/>
  </r>
  <r>
    <s v="ORD-2023-356427"/>
    <d v="2023-04-13T00:00:00"/>
    <x v="12"/>
    <s v="Q2-2023"/>
    <d v="2023-05-02T00:00:00"/>
    <s v="Valid"/>
    <n v="19"/>
    <d v="2023-05-02T00:00:00"/>
    <x v="2"/>
    <s v="Americas → Canada → Montreal"/>
    <s v="Canada-2023-04"/>
    <x v="3"/>
    <s v="Montreal"/>
    <s v="Consumer"/>
    <x v="3"/>
    <x v="6"/>
    <x v="5"/>
    <x v="561"/>
    <n v="671.05"/>
    <n v="1645.48"/>
    <s v="Valid"/>
    <n v="1645.48"/>
    <s v="Medium"/>
    <n v="0.13700000000000001"/>
    <s v="Valid"/>
    <x v="80"/>
    <n v="6"/>
    <x v="563"/>
    <n v="4026.2999999999997"/>
    <n v="4493.9954400000006"/>
    <n v="0.52744596377517172"/>
    <n v="0"/>
    <n v="0"/>
  </r>
  <r>
    <s v="ORD-2025-659650"/>
    <d v="2025-02-04T00:00:00"/>
    <x v="26"/>
    <s v="Q1-2025"/>
    <d v="2025-02-08T00:00:00"/>
    <s v="Valid"/>
    <n v="4"/>
    <d v="2025-02-08T00:00:00"/>
    <x v="3"/>
    <s v="Europe → United Kingdom → Manchester"/>
    <s v="United Kingdom-2025-02"/>
    <x v="8"/>
    <s v="Manchester"/>
    <s v="Enterprise"/>
    <x v="2"/>
    <x v="4"/>
    <x v="2"/>
    <x v="562"/>
    <n v="586.21"/>
    <n v="727.22"/>
    <s v="Valid"/>
    <n v="727.22"/>
    <s v="Medium"/>
    <n v="6.8000000000000005E-2"/>
    <s v="Valid"/>
    <x v="55"/>
    <n v="15"/>
    <x v="564"/>
    <n v="8793.1500000000015"/>
    <n v="1373.3855999999996"/>
    <n v="0.13508884973559721"/>
    <n v="1"/>
    <n v="0"/>
  </r>
  <r>
    <s v="ORD-2024-207669"/>
    <d v="2024-01-24T00:00:00"/>
    <x v="9"/>
    <s v="Q1-2024"/>
    <d v="2024-02-04T00:00:00"/>
    <s v="Valid"/>
    <n v="11"/>
    <d v="2024-02-04T00:00:00"/>
    <x v="3"/>
    <s v="Europe → United Kingdom → Manchester"/>
    <s v="United Kingdom-2024-01"/>
    <x v="8"/>
    <s v="Manchester"/>
    <s v="Consumer"/>
    <x v="0"/>
    <x v="5"/>
    <x v="4"/>
    <x v="563"/>
    <n v="525.34"/>
    <n v="1233.79"/>
    <s v="Valid"/>
    <n v="1233.79"/>
    <s v="Medium"/>
    <n v="0.14299999999999999"/>
    <s v="Valid"/>
    <x v="17"/>
    <n v="4"/>
    <x v="565"/>
    <n v="2101.36"/>
    <n v="2128.0721199999994"/>
    <n v="0.50315788494082736"/>
    <n v="0"/>
    <n v="0"/>
  </r>
  <r>
    <s v="ORD-2024-979401"/>
    <d v="2024-02-08T00:00:00"/>
    <x v="31"/>
    <s v="Q1-2024"/>
    <d v="2024-02-09T00:00:00"/>
    <s v="Valid"/>
    <n v="1"/>
    <d v="2024-02-09T00:00:00"/>
    <x v="0"/>
    <s v="Africa → Kenya → Mombasa"/>
    <s v="Kenya-2024-02"/>
    <x v="0"/>
    <s v="Mombasa"/>
    <s v="Corporate"/>
    <x v="4"/>
    <x v="9"/>
    <x v="0"/>
    <x v="564"/>
    <n v="1233.52"/>
    <n v="1543.76"/>
    <s v="Valid"/>
    <n v="1543.76"/>
    <s v="Medium"/>
    <n v="0.126"/>
    <s v="Valid"/>
    <x v="38"/>
    <n v="13"/>
    <x v="566"/>
    <n v="16035.76"/>
    <n v="1504.4411200000013"/>
    <n v="8.5771030201277493E-2"/>
    <n v="1"/>
    <n v="0"/>
  </r>
  <r>
    <s v="ORD-2025-929414"/>
    <d v="2025-06-26T00:00:00"/>
    <x v="16"/>
    <s v="Q2-2025"/>
    <d v="2025-07-11T00:00:00"/>
    <s v="Valid"/>
    <n v="15"/>
    <d v="2025-07-11T00:00:00"/>
    <x v="0"/>
    <s v="Africa → Nigeria → Port Harcourt"/>
    <s v="Nigeria-2025-06"/>
    <x v="1"/>
    <s v="Port Harcourt"/>
    <s v="Small Business"/>
    <x v="1"/>
    <x v="8"/>
    <x v="4"/>
    <x v="565"/>
    <n v="1170.1500000000001"/>
    <n v="2115.19"/>
    <s v="Valid"/>
    <n v="2115.19"/>
    <s v="High"/>
    <n v="9.1999999999999998E-2"/>
    <s v="Valid"/>
    <x v="76"/>
    <n v="23"/>
    <x v="567"/>
    <n v="26913.45"/>
    <n v="17260.177960000005"/>
    <n v="0.39073489674946776"/>
    <n v="0"/>
    <n v="0"/>
  </r>
  <r>
    <s v="ORD-2024-766980"/>
    <d v="2024-11-04T00:00:00"/>
    <x v="18"/>
    <s v="Q4-2024"/>
    <d v="2024-11-07T00:00:00"/>
    <s v="Valid"/>
    <n v="3"/>
    <d v="2024-11-07T00:00:00"/>
    <x v="3"/>
    <s v="Europe → France → Lyon"/>
    <s v="France-2024-11"/>
    <x v="7"/>
    <s v="Lyon"/>
    <s v="Corporate"/>
    <x v="1"/>
    <x v="7"/>
    <x v="5"/>
    <x v="566"/>
    <n v="740.68"/>
    <n v="1837.19"/>
    <s v="Valid"/>
    <n v="1837.19"/>
    <s v="Medium"/>
    <n v="0.19700000000000001"/>
    <s v="Valid"/>
    <x v="114"/>
    <n v="17"/>
    <x v="568"/>
    <n v="12591.56"/>
    <n v="12487.920689999997"/>
    <n v="0.4979337827748298"/>
    <n v="1"/>
    <n v="0"/>
  </r>
  <r>
    <s v="ORD-2024-437164"/>
    <d v="2024-02-20T00:00:00"/>
    <x v="31"/>
    <s v="Q1-2024"/>
    <d v="2024-02-20T00:00:00"/>
    <s v="Valid"/>
    <n v="0"/>
    <d v="2024-02-20T00:00:00"/>
    <x v="2"/>
    <s v="Americas → USA → New York"/>
    <s v="USA-2024-02"/>
    <x v="10"/>
    <s v="New York"/>
    <s v="Enterprise"/>
    <x v="1"/>
    <x v="0"/>
    <x v="2"/>
    <x v="567"/>
    <n v="1407.05"/>
    <n v="2858.93"/>
    <s v="Valid"/>
    <n v="2858.93"/>
    <s v="High"/>
    <n v="0"/>
    <s v="Valid"/>
    <x v="5"/>
    <n v="12"/>
    <x v="569"/>
    <n v="16884.599999999999"/>
    <n v="17422.559999999998"/>
    <n v="0.50784034586366222"/>
    <n v="1"/>
    <n v="0"/>
  </r>
  <r>
    <s v="ORD-2025-169093"/>
    <d v="2025-04-13T00:00:00"/>
    <x v="19"/>
    <s v="Q2-2025"/>
    <d v="2025-04-14T00:00:00"/>
    <s v="Valid"/>
    <n v="1"/>
    <d v="2025-04-14T00:00:00"/>
    <x v="1"/>
    <s v="Asia → Japan → Osaka"/>
    <s v="Japan-2025-04"/>
    <x v="2"/>
    <s v="Osaka"/>
    <s v="Enterprise"/>
    <x v="1"/>
    <x v="3"/>
    <x v="0"/>
    <x v="568"/>
    <n v="138.9"/>
    <n v="289.92"/>
    <s v="Valid"/>
    <n v="289.92"/>
    <s v="Low"/>
    <n v="2.9000000000000001E-2"/>
    <s v="Valid"/>
    <x v="133"/>
    <n v="12"/>
    <x v="570"/>
    <n v="1666.8000000000002"/>
    <n v="1711.3478399999999"/>
    <n v="0.50659353025828491"/>
    <n v="1"/>
    <n v="0"/>
  </r>
  <r>
    <s v="ORD-2023-868460"/>
    <d v="2023-06-01T00:00:00"/>
    <x v="23"/>
    <s v="Q2-2023"/>
    <d v="2023-06-01T00:00:00"/>
    <s v="Valid"/>
    <n v="0"/>
    <d v="2023-06-01T00:00:00"/>
    <x v="1"/>
    <s v="Asia → India → Bengaluru"/>
    <s v="India-2023-06"/>
    <x v="4"/>
    <s v="Bengaluru"/>
    <s v="Corporate"/>
    <x v="0"/>
    <x v="6"/>
    <x v="6"/>
    <x v="569"/>
    <n v="669.37"/>
    <n v="997.2"/>
    <s v="Valid"/>
    <n v="997.2"/>
    <s v="Medium"/>
    <n v="8.2000000000000003E-2"/>
    <s v="Valid"/>
    <x v="103"/>
    <n v="5"/>
    <x v="571"/>
    <n v="3346.85"/>
    <n v="1230.2980000000002"/>
    <n v="0.26879139586484863"/>
    <n v="1"/>
    <n v="0"/>
  </r>
  <r>
    <s v="ORD-2025-177994"/>
    <d v="2025-03-24T00:00:00"/>
    <x v="3"/>
    <s v="Q1-2025"/>
    <d v="2025-04-04T00:00:00"/>
    <s v="Valid"/>
    <n v="11"/>
    <d v="2025-04-04T00:00:00"/>
    <x v="1"/>
    <s v="Asia → India → Mumbai"/>
    <s v="India-2025-03"/>
    <x v="4"/>
    <s v="Mumbai"/>
    <s v="Education"/>
    <x v="2"/>
    <x v="1"/>
    <x v="3"/>
    <x v="570"/>
    <n v="23.83"/>
    <n v="47.29"/>
    <s v="Valid"/>
    <n v="47.29"/>
    <s v="Low"/>
    <n v="6.4000000000000001E-2"/>
    <s v="Valid"/>
    <x v="196"/>
    <n v="19"/>
    <x v="572"/>
    <n v="452.77"/>
    <n v="388.23536000000001"/>
    <n v="0.46163244429262618"/>
    <n v="0"/>
    <n v="0"/>
  </r>
  <r>
    <s v="ORD-2024-355095"/>
    <d v="2024-01-02T00:00:00"/>
    <x v="9"/>
    <s v="Q1-2024"/>
    <d v="2024-01-02T00:00:00"/>
    <s v="Valid"/>
    <n v="0"/>
    <d v="2024-01-02T00:00:00"/>
    <x v="2"/>
    <s v="Americas → Canada → Vancouver"/>
    <s v="Canada-2024-01"/>
    <x v="3"/>
    <s v="Vancouver"/>
    <s v="Education"/>
    <x v="4"/>
    <x v="8"/>
    <x v="4"/>
    <x v="571"/>
    <n v="444.41"/>
    <n v="754.24"/>
    <s v="Valid"/>
    <n v="754.24"/>
    <s v="Medium"/>
    <n v="0.20699999999999999"/>
    <s v="Valid"/>
    <x v="160"/>
    <n v="32"/>
    <x v="573"/>
    <n v="14221.12"/>
    <n v="4918.4742400000014"/>
    <n v="0.25697902360546598"/>
    <n v="1"/>
    <n v="1"/>
  </r>
  <r>
    <s v="ORD-2023-126505"/>
    <d v="2023-12-19T00:00:00"/>
    <x v="4"/>
    <s v="Q4-2023"/>
    <d v="2024-01-01T00:00:00"/>
    <s v="Valid"/>
    <n v="13"/>
    <d v="2024-01-01T00:00:00"/>
    <x v="2"/>
    <s v="Americas → Canada → Toronto"/>
    <s v="Canada-2023-12"/>
    <x v="3"/>
    <s v="Toronto"/>
    <s v="Enterprise"/>
    <x v="0"/>
    <x v="11"/>
    <x v="5"/>
    <x v="572"/>
    <n v="856.1"/>
    <n v="901.48"/>
    <s v="Valid"/>
    <n v="901.48"/>
    <s v="Medium"/>
    <n v="5.6000000000000001E-2"/>
    <s v="Valid"/>
    <x v="120"/>
    <n v="17"/>
    <x v="574"/>
    <n v="14553.7"/>
    <n v="-86.748960000000807"/>
    <n v="-5.9963540182134192E-3"/>
    <n v="0"/>
    <n v="0"/>
  </r>
  <r>
    <s v="ORD-2023-340056"/>
    <d v="2023-04-26T00:00:00"/>
    <x v="12"/>
    <s v="Q2-2023"/>
    <d v="2023-04-26T00:00:00"/>
    <s v="Valid"/>
    <n v="0"/>
    <d v="2023-04-26T00:00:00"/>
    <x v="3"/>
    <s v="Europe → France → Marseille"/>
    <s v="France-2023-04"/>
    <x v="7"/>
    <s v="Marseille"/>
    <s v="Consumer"/>
    <x v="4"/>
    <x v="12"/>
    <x v="0"/>
    <x v="573"/>
    <n v="81.489999999999995"/>
    <n v="113.08"/>
    <s v="Valid"/>
    <n v="113.08"/>
    <s v="Low"/>
    <n v="0.121"/>
    <s v="Valid"/>
    <x v="171"/>
    <n v="5"/>
    <x v="575"/>
    <n v="407.45"/>
    <n v="89.536600000000021"/>
    <n v="0.18015898215364362"/>
    <n v="1"/>
    <n v="0"/>
  </r>
  <r>
    <s v="ORD-2025-281413"/>
    <d v="2025-08-03T00:00:00"/>
    <x v="28"/>
    <s v="Q3-2025"/>
    <d v="2025-08-16T00:00:00"/>
    <s v="Valid"/>
    <n v="13"/>
    <d v="2025-08-16T00:00:00"/>
    <x v="2"/>
    <s v="Americas → Canada → Montreal"/>
    <s v="Canada-2025-08"/>
    <x v="3"/>
    <s v="Montreal"/>
    <s v="Enterprise"/>
    <x v="3"/>
    <x v="7"/>
    <x v="2"/>
    <x v="574"/>
    <n v="698.66"/>
    <n v="868.62"/>
    <s v="Valid"/>
    <n v="868.62"/>
    <s v="Medium"/>
    <n v="7.1999999999999995E-2"/>
    <s v="Valid"/>
    <x v="3"/>
    <n v="15"/>
    <x v="576"/>
    <n v="10479.9"/>
    <n v="1611.2903999999999"/>
    <n v="0.13326151906432637"/>
    <n v="0"/>
    <n v="0"/>
  </r>
  <r>
    <s v="ORD-2023-713614"/>
    <d v="2023-08-02T00:00:00"/>
    <x v="25"/>
    <s v="Q3-2023"/>
    <d v="2023-08-19T00:00:00"/>
    <s v="Valid"/>
    <n v="17"/>
    <d v="2023-08-19T00:00:00"/>
    <x v="2"/>
    <s v="Americas → Canada → Vancouver"/>
    <s v="Canada-2023-08"/>
    <x v="3"/>
    <s v="Vancouver"/>
    <s v="Corporate"/>
    <x v="1"/>
    <x v="9"/>
    <x v="2"/>
    <x v="575"/>
    <n v="175.38"/>
    <n v="347.9"/>
    <s v="Valid"/>
    <n v="347.9"/>
    <s v="Low"/>
    <n v="7.1999999999999995E-2"/>
    <s v="Valid"/>
    <x v="3"/>
    <n v="43"/>
    <x v="577"/>
    <n v="7541.34"/>
    <n v="6341.2615999999998"/>
    <n v="0.45677761148169804"/>
    <n v="0"/>
    <n v="0"/>
  </r>
  <r>
    <s v="ORD-2023-173313"/>
    <d v="2023-06-15T00:00:00"/>
    <x v="23"/>
    <s v="Q2-2023"/>
    <d v="2023-07-12T00:00:00"/>
    <s v="Valid"/>
    <n v="27"/>
    <d v="2023-07-12T00:00:00"/>
    <x v="3"/>
    <s v="Europe → United Kingdom → Manchester"/>
    <s v="United Kingdom-2023-06"/>
    <x v="8"/>
    <s v="Manchester"/>
    <s v="Consumer"/>
    <x v="4"/>
    <x v="2"/>
    <x v="6"/>
    <x v="576"/>
    <n v="751.28"/>
    <n v="1111.8800000000001"/>
    <s v="Valid"/>
    <n v="1111.8800000000001"/>
    <s v="Medium"/>
    <n v="0.13500000000000001"/>
    <s v="Valid"/>
    <x v="156"/>
    <n v="7"/>
    <x v="578"/>
    <n v="5258.96"/>
    <n v="1473.4734000000008"/>
    <n v="0.21886193482433863"/>
    <n v="0"/>
    <n v="0"/>
  </r>
  <r>
    <s v="ORD-2024-496601"/>
    <d v="2024-11-11T00:00:00"/>
    <x v="18"/>
    <s v="Q4-2024"/>
    <d v="2024-11-24T00:00:00"/>
    <s v="Valid"/>
    <n v="13"/>
    <d v="2024-11-24T00:00:00"/>
    <x v="3"/>
    <s v="Europe → United Kingdom → London"/>
    <s v="United Kingdom-2024-11"/>
    <x v="8"/>
    <s v="London"/>
    <s v="Corporate"/>
    <x v="0"/>
    <x v="6"/>
    <x v="2"/>
    <x v="577"/>
    <n v="164.53"/>
    <n v="327.72"/>
    <s v="Valid"/>
    <n v="327.72"/>
    <s v="Low"/>
    <n v="6.7000000000000004E-2"/>
    <s v="Valid"/>
    <x v="142"/>
    <n v="14"/>
    <x v="579"/>
    <n v="2303.42"/>
    <n v="1977.25864"/>
    <n v="0.46190307805960412"/>
    <n v="0"/>
    <n v="0"/>
  </r>
  <r>
    <s v="ORD-2025-155182"/>
    <d v="2025-07-11T00:00:00"/>
    <x v="13"/>
    <s v="Q3-2025"/>
    <d v="2025-08-03T00:00:00"/>
    <s v="Valid"/>
    <n v="23"/>
    <d v="2025-08-03T00:00:00"/>
    <x v="0"/>
    <s v="Africa → Kenya → Nakuru"/>
    <s v="Kenya-2025-07"/>
    <x v="0"/>
    <s v="Nakuru"/>
    <s v="Small Business"/>
    <x v="0"/>
    <x v="0"/>
    <x v="3"/>
    <x v="578"/>
    <n v="389.93"/>
    <n v="486.13"/>
    <s v="Valid"/>
    <n v="486.13"/>
    <s v="Low"/>
    <n v="0.13200000000000001"/>
    <s v="Valid"/>
    <x v="187"/>
    <n v="17"/>
    <x v="580"/>
    <n v="6628.81"/>
    <n v="544.52427999999873"/>
    <n v="7.5909508569562828E-2"/>
    <n v="0"/>
    <n v="0"/>
  </r>
  <r>
    <s v="ORD-2023-244375"/>
    <d v="2023-06-03T00:00:00"/>
    <x v="23"/>
    <s v="Q2-2023"/>
    <d v="2023-07-01T00:00:00"/>
    <s v="Valid"/>
    <n v="28"/>
    <d v="2023-07-01T00:00:00"/>
    <x v="2"/>
    <s v="Americas → Brazil → Brasília"/>
    <s v="Brazil-2023-06"/>
    <x v="5"/>
    <s v="Brasília"/>
    <s v="Small Business"/>
    <x v="2"/>
    <x v="8"/>
    <x v="0"/>
    <x v="579"/>
    <n v="860.4"/>
    <n v="2066.6"/>
    <s v="Valid"/>
    <n v="2066.6"/>
    <s v="High"/>
    <n v="0.01"/>
    <s v="Valid"/>
    <x v="19"/>
    <n v="3"/>
    <x v="581"/>
    <n v="2581.1999999999998"/>
    <n v="3556.601999999999"/>
    <n v="0.57945857491004105"/>
    <n v="0"/>
    <n v="0"/>
  </r>
  <r>
    <s v="ORD-2023-856322"/>
    <d v="2023-01-29T00:00:00"/>
    <x v="5"/>
    <s v="Q1-2023"/>
    <d v="2023-02-06T00:00:00"/>
    <s v="Valid"/>
    <n v="8"/>
    <d v="2023-02-06T00:00:00"/>
    <x v="2"/>
    <s v="Americas → Brazil → Brasília"/>
    <s v="Brazil-2023-01"/>
    <x v="5"/>
    <s v="Brasília"/>
    <s v="Corporate"/>
    <x v="2"/>
    <x v="14"/>
    <x v="5"/>
    <x v="580"/>
    <n v="41.84"/>
    <n v="86.2"/>
    <s v="Valid"/>
    <n v="86.2"/>
    <s v="Low"/>
    <n v="0.22600000000000001"/>
    <s v="Valid"/>
    <x v="199"/>
    <n v="27"/>
    <x v="582"/>
    <n v="1129.68"/>
    <n v="671.72760000000017"/>
    <n v="0.37289039970742882"/>
    <n v="0"/>
    <n v="1"/>
  </r>
  <r>
    <s v="ORD-2024-594527"/>
    <d v="2024-09-06T00:00:00"/>
    <x v="29"/>
    <s v="Q3-2024"/>
    <d v="2024-09-04T00:00:00"/>
    <s v="Invalid RequiredDate"/>
    <n v="-2"/>
    <d v="2024-10-02T00:00:00"/>
    <x v="1"/>
    <s v="Asia → Japan → Osaka"/>
    <s v="Japan-2024-09"/>
    <x v="2"/>
    <s v="Osaka"/>
    <s v="Corporate"/>
    <x v="4"/>
    <x v="8"/>
    <x v="4"/>
    <x v="581"/>
    <n v="1368.17"/>
    <n v="2307.75"/>
    <s v="Valid"/>
    <n v="2307.75"/>
    <s v="High"/>
    <n v="0.16300000000000001"/>
    <s v="Valid"/>
    <x v="192"/>
    <n v="21"/>
    <x v="583"/>
    <n v="28731.57"/>
    <n v="11831.751749999996"/>
    <n v="0.29168596750831921"/>
    <n v="1"/>
    <n v="0"/>
  </r>
  <r>
    <s v="ORD-2024-689872"/>
    <d v="2024-08-03T00:00:00"/>
    <x v="21"/>
    <s v="Q3-2024"/>
    <d v="2024-08-09T00:00:00"/>
    <s v="Valid"/>
    <n v="6"/>
    <d v="2024-08-09T00:00:00"/>
    <x v="0"/>
    <s v="Africa → Kenya → Mombasa"/>
    <s v="Kenya-2024-08"/>
    <x v="0"/>
    <s v="Mombasa"/>
    <s v="Consumer"/>
    <x v="2"/>
    <x v="10"/>
    <x v="4"/>
    <x v="582"/>
    <n v="643.21"/>
    <n v="1112.81"/>
    <s v="Valid"/>
    <n v="1112.81"/>
    <s v="Medium"/>
    <n v="0.14099999999999999"/>
    <s v="Valid"/>
    <x v="167"/>
    <n v="4"/>
    <x v="584"/>
    <n v="2572.84"/>
    <n v="1250.7751599999997"/>
    <n v="0.32711847496702562"/>
    <n v="1"/>
    <n v="0"/>
  </r>
  <r>
    <s v="ORD-2025-246692"/>
    <d v="2025-04-17T00:00:00"/>
    <x v="19"/>
    <s v="Q2-2025"/>
    <d v="2025-04-17T00:00:00"/>
    <s v="Valid"/>
    <n v="0"/>
    <d v="2025-04-17T00:00:00"/>
    <x v="2"/>
    <s v="Americas → Brazil → São Paulo"/>
    <s v="Brazil-2025-04"/>
    <x v="5"/>
    <s v="São Paulo"/>
    <s v="Corporate"/>
    <x v="3"/>
    <x v="4"/>
    <x v="3"/>
    <x v="583"/>
    <n v="719.41"/>
    <n v="1125.99"/>
    <s v="Valid"/>
    <n v="1125.99"/>
    <s v="Medium"/>
    <n v="4.1000000000000002E-2"/>
    <s v="Valid"/>
    <x v="202"/>
    <n v="21"/>
    <x v="585"/>
    <n v="15107.609999999999"/>
    <n v="7568.7026100000021"/>
    <n v="0.33377131194876403"/>
    <n v="1"/>
    <n v="0"/>
  </r>
  <r>
    <s v="ORD-2023-378676"/>
    <d v="2023-05-03T00:00:00"/>
    <x v="15"/>
    <s v="Q2-2023"/>
    <d v="2023-05-16T00:00:00"/>
    <s v="Valid"/>
    <n v="13"/>
    <d v="2023-05-16T00:00:00"/>
    <x v="2"/>
    <s v="Americas → USA → New York"/>
    <s v="USA-2023-05"/>
    <x v="10"/>
    <s v="New York"/>
    <s v="Corporate"/>
    <x v="2"/>
    <x v="4"/>
    <x v="3"/>
    <x v="584"/>
    <n v="64.5"/>
    <n v="123.62"/>
    <s v="Valid"/>
    <n v="123.62"/>
    <s v="Low"/>
    <n v="0"/>
    <s v="Valid"/>
    <x v="5"/>
    <n v="3"/>
    <x v="586"/>
    <n v="193.5"/>
    <n v="177.36"/>
    <n v="0.47823976702798904"/>
    <n v="0"/>
    <n v="0"/>
  </r>
  <r>
    <s v="ORD-2024-243988"/>
    <d v="2024-03-13T00:00:00"/>
    <x v="0"/>
    <s v="Q1-2024"/>
    <d v="2024-04-06T00:00:00"/>
    <s v="Valid"/>
    <n v="24"/>
    <d v="2024-04-06T00:00:00"/>
    <x v="0"/>
    <s v="Africa → Nigeria → Abuja"/>
    <s v="Nigeria-2024-03"/>
    <x v="1"/>
    <s v="Abuja"/>
    <s v="Consumer"/>
    <x v="3"/>
    <x v="4"/>
    <x v="0"/>
    <x v="585"/>
    <n v="1232.78"/>
    <n v="1731.75"/>
    <s v="Valid"/>
    <n v="1731.75"/>
    <s v="Medium"/>
    <n v="9.2999999999999999E-2"/>
    <s v="Valid"/>
    <x v="141"/>
    <n v="16"/>
    <x v="587"/>
    <n v="19724.48"/>
    <n v="5406.6759999999995"/>
    <n v="0.21513837246484005"/>
    <n v="0"/>
    <n v="0"/>
  </r>
  <r>
    <s v="ORD-2024-572312"/>
    <d v="2024-06-16T00:00:00"/>
    <x v="17"/>
    <s v="Q2-2024"/>
    <d v="2024-06-21T00:00:00"/>
    <s v="Valid"/>
    <n v="5"/>
    <d v="2024-06-21T00:00:00"/>
    <x v="1"/>
    <s v="Asia → Japan → Tokyo"/>
    <s v="Japan-2024-06"/>
    <x v="2"/>
    <s v="Tokyo"/>
    <s v="Small Business"/>
    <x v="3"/>
    <x v="9"/>
    <x v="3"/>
    <x v="586"/>
    <n v="1367.13"/>
    <n v="3062.01"/>
    <s v="Valid"/>
    <n v="3062.01"/>
    <s v="High"/>
    <n v="0.10299999999999999"/>
    <s v="Valid"/>
    <x v="170"/>
    <n v="25"/>
    <x v="588"/>
    <n v="34178.25"/>
    <n v="34487.324250000005"/>
    <n v="0.50225057645971705"/>
    <n v="1"/>
    <n v="0"/>
  </r>
  <r>
    <s v="ORD-2025-281062"/>
    <d v="2025-02-15T00:00:00"/>
    <x v="26"/>
    <s v="Q1-2025"/>
    <d v="2025-02-27T00:00:00"/>
    <s v="Valid"/>
    <n v="12"/>
    <d v="2025-02-27T00:00:00"/>
    <x v="3"/>
    <s v="Europe → France → Lyon"/>
    <s v="France-2025-02"/>
    <x v="7"/>
    <s v="Lyon"/>
    <s v="Non-Profit"/>
    <x v="4"/>
    <x v="11"/>
    <x v="6"/>
    <x v="587"/>
    <n v="1027.26"/>
    <n v="2200.41"/>
    <s v="Valid"/>
    <n v="2200.41"/>
    <s v="High"/>
    <n v="8.7999999999999995E-2"/>
    <s v="Valid"/>
    <x v="165"/>
    <n v="6"/>
    <x v="589"/>
    <n v="6163.5599999999995"/>
    <n v="5877.0835200000001"/>
    <n v="0.48810377204822358"/>
    <n v="0"/>
    <n v="0"/>
  </r>
  <r>
    <s v="ORD-2023-727290"/>
    <d v="2023-04-03T00:00:00"/>
    <x v="12"/>
    <s v="Q2-2023"/>
    <d v="2023-04-16T00:00:00"/>
    <s v="Valid"/>
    <n v="13"/>
    <d v="2023-04-16T00:00:00"/>
    <x v="3"/>
    <s v="Europe → France → Marseille"/>
    <s v="France-2023-04"/>
    <x v="7"/>
    <s v="Marseille"/>
    <s v="Non-Profit"/>
    <x v="2"/>
    <x v="12"/>
    <x v="6"/>
    <x v="588"/>
    <n v="790.54"/>
    <n v="601.49"/>
    <s v="Valid"/>
    <n v="601.49"/>
    <s v="Low"/>
    <n v="0"/>
    <s v="Valid"/>
    <x v="5"/>
    <n v="15"/>
    <x v="590"/>
    <n v="11858.099999999999"/>
    <n v="-2835.7499999999982"/>
    <n v="-0.31430281467688553"/>
    <n v="0"/>
    <n v="0"/>
  </r>
  <r>
    <s v="ORD-2025-993993"/>
    <d v="2025-08-30T00:00:00"/>
    <x v="28"/>
    <s v="Q3-2025"/>
    <d v="2025-09-22T00:00:00"/>
    <s v="Valid"/>
    <n v="23"/>
    <d v="2025-09-22T00:00:00"/>
    <x v="3"/>
    <s v="Europe → France → Marseille"/>
    <s v="France-2025-08"/>
    <x v="7"/>
    <s v="Marseille"/>
    <s v="Corporate"/>
    <x v="4"/>
    <x v="6"/>
    <x v="0"/>
    <x v="589"/>
    <n v="663.9"/>
    <n v="947.77"/>
    <s v="Valid"/>
    <n v="947.77"/>
    <s v="Medium"/>
    <n v="0.17399999999999999"/>
    <s v="Valid"/>
    <x v="154"/>
    <n v="15"/>
    <x v="591"/>
    <n v="9958.5"/>
    <n v="1784.3703000000005"/>
    <n v="0.1519535049280073"/>
    <n v="0"/>
    <n v="0"/>
  </r>
  <r>
    <s v="ORD-2023-619493"/>
    <d v="2023-02-27T00:00:00"/>
    <x v="2"/>
    <s v="Q1-2023"/>
    <d v="2023-02-26T00:00:00"/>
    <s v="Invalid RequiredDate"/>
    <n v="-1"/>
    <d v="2023-03-25T00:00:00"/>
    <x v="2"/>
    <s v="Americas → USA → San Francisco"/>
    <s v="USA-2023-02"/>
    <x v="10"/>
    <s v="San Francisco"/>
    <s v="Non-Profit"/>
    <x v="1"/>
    <x v="4"/>
    <x v="2"/>
    <x v="590"/>
    <n v="1015.91"/>
    <n v="2331.48"/>
    <s v="Valid"/>
    <n v="2331.48"/>
    <s v="High"/>
    <n v="0.14599999999999999"/>
    <s v="Valid"/>
    <x v="34"/>
    <n v="26"/>
    <x v="592"/>
    <n v="26413.66"/>
    <n v="25354.521920000003"/>
    <n v="0.48977037592669626"/>
    <n v="1"/>
    <n v="0"/>
  </r>
  <r>
    <s v="ORD-2024-947056"/>
    <d v="2024-07-31T00:00:00"/>
    <x v="14"/>
    <s v="Q3-2024"/>
    <d v="2024-08-15T00:00:00"/>
    <s v="Valid"/>
    <n v="15"/>
    <d v="2024-08-15T00:00:00"/>
    <x v="1"/>
    <s v="Asia → Japan → Tokyo"/>
    <s v="Japan-2024-07"/>
    <x v="2"/>
    <s v="Tokyo"/>
    <s v="Corporate"/>
    <x v="2"/>
    <x v="9"/>
    <x v="5"/>
    <x v="591"/>
    <n v="1252.52"/>
    <n v="1417.24"/>
    <s v="Valid"/>
    <n v="1417.24"/>
    <s v="Medium"/>
    <n v="0.192"/>
    <s v="Valid"/>
    <x v="97"/>
    <n v="5"/>
    <x v="593"/>
    <n v="6262.6"/>
    <n v="-536.95039999999972"/>
    <n v="-9.3779821943696953E-2"/>
    <n v="0"/>
    <n v="0"/>
  </r>
  <r>
    <s v="ORD-2025-856556"/>
    <d v="2025-06-15T00:00:00"/>
    <x v="16"/>
    <s v="Q2-2025"/>
    <d v="2025-07-12T00:00:00"/>
    <s v="Valid"/>
    <n v="27"/>
    <d v="2025-07-12T00:00:00"/>
    <x v="3"/>
    <s v="Europe → France → Marseille"/>
    <s v="France-2025-06"/>
    <x v="7"/>
    <s v="Marseille"/>
    <s v="Consumer"/>
    <x v="4"/>
    <x v="0"/>
    <x v="6"/>
    <x v="592"/>
    <n v="318.83"/>
    <n v="699.5"/>
    <s v="Valid"/>
    <n v="699.5"/>
    <s v="Medium"/>
    <n v="0.08"/>
    <s v="Valid"/>
    <x v="162"/>
    <n v="13"/>
    <x v="594"/>
    <n v="4144.79"/>
    <n v="4221.2300000000005"/>
    <n v="0.50456848059172699"/>
    <n v="0"/>
    <n v="0"/>
  </r>
  <r>
    <s v="ORD-2024-442776"/>
    <d v="2024-06-30T00:00:00"/>
    <x v="17"/>
    <s v="Q2-2024"/>
    <d v="2024-07-21T00:00:00"/>
    <s v="Valid"/>
    <n v="21"/>
    <d v="2024-07-21T00:00:00"/>
    <x v="0"/>
    <s v="Africa → Kenya → Kisumu"/>
    <s v="Kenya-2024-06"/>
    <x v="0"/>
    <s v="Kisumu"/>
    <s v="Small Business"/>
    <x v="0"/>
    <x v="11"/>
    <x v="4"/>
    <x v="593"/>
    <n v="753.43"/>
    <n v="1787.2"/>
    <s v="Valid"/>
    <n v="1787.2"/>
    <s v="Medium"/>
    <n v="7.2999999999999995E-2"/>
    <s v="Valid"/>
    <x v="92"/>
    <n v="9"/>
    <x v="595"/>
    <n v="6780.87"/>
    <n v="8129.7396000000017"/>
    <n v="0.54523187301476939"/>
    <n v="0"/>
    <n v="0"/>
  </r>
  <r>
    <s v="ORD-2025-705398"/>
    <d v="2025-02-17T00:00:00"/>
    <x v="26"/>
    <s v="Q1-2025"/>
    <d v="2025-02-15T00:00:00"/>
    <s v="Invalid RequiredDate"/>
    <n v="-2"/>
    <d v="2025-03-15T00:00:00"/>
    <x v="2"/>
    <s v="Americas → Canada → Toronto"/>
    <s v="Canada-2025-02"/>
    <x v="3"/>
    <s v="Toronto"/>
    <s v="Small Business"/>
    <x v="0"/>
    <x v="14"/>
    <x v="0"/>
    <x v="594"/>
    <n v="1133.47"/>
    <n v="1698.75"/>
    <s v="Valid"/>
    <n v="1698.75"/>
    <s v="Medium"/>
    <n v="4.2999999999999997E-2"/>
    <s v="Valid"/>
    <x v="88"/>
    <n v="5"/>
    <x v="596"/>
    <n v="5667.35"/>
    <n v="2461.1687499999989"/>
    <n v="0.30278194904821976"/>
    <n v="1"/>
    <n v="0"/>
  </r>
  <r>
    <s v="ORD-2023-689428"/>
    <d v="2023-01-07T00:00:00"/>
    <x v="5"/>
    <s v="Q1-2023"/>
    <d v="2023-01-30T00:00:00"/>
    <s v="Valid"/>
    <n v="23"/>
    <d v="2023-01-30T00:00:00"/>
    <x v="0"/>
    <s v="Africa → South Africa → Cape Town"/>
    <s v="South Africa-2023-01"/>
    <x v="11"/>
    <s v="Cape Town"/>
    <s v="Consumer"/>
    <x v="1"/>
    <x v="8"/>
    <x v="1"/>
    <x v="595"/>
    <n v="299.02"/>
    <n v="724.7"/>
    <s v="Valid"/>
    <n v="724.7"/>
    <s v="Medium"/>
    <n v="0.14000000000000001"/>
    <s v="Valid"/>
    <x v="77"/>
    <n v="5"/>
    <x v="597"/>
    <n v="1495.1"/>
    <n v="1621.1100000000001"/>
    <n v="0.52021847051386139"/>
    <n v="0"/>
    <n v="0"/>
  </r>
  <r>
    <s v="ORD-2025-683247"/>
    <d v="2025-03-10T00:00:00"/>
    <x v="3"/>
    <s v="Q1-2025"/>
    <d v="2025-04-04T00:00:00"/>
    <s v="Valid"/>
    <n v="25"/>
    <d v="2025-04-04T00:00:00"/>
    <x v="1"/>
    <s v="Asia → Japan → Osaka"/>
    <s v="Japan-2025-03"/>
    <x v="2"/>
    <s v="Osaka"/>
    <s v="Corporate"/>
    <x v="4"/>
    <x v="10"/>
    <x v="1"/>
    <x v="596"/>
    <n v="783.72"/>
    <n v="1355.94"/>
    <s v="Valid"/>
    <n v="1355.94"/>
    <s v="Medium"/>
    <n v="0.187"/>
    <s v="Valid"/>
    <x v="37"/>
    <n v="4"/>
    <x v="598"/>
    <n v="3134.88"/>
    <n v="1274.63688"/>
    <n v="0.28906497348525856"/>
    <n v="0"/>
    <n v="0"/>
  </r>
  <r>
    <s v="ORD-2024-585443"/>
    <d v="2024-08-17T00:00:00"/>
    <x v="21"/>
    <s v="Q3-2024"/>
    <d v="2024-08-15T00:00:00"/>
    <s v="Invalid RequiredDate"/>
    <n v="-2"/>
    <d v="2024-09-12T00:00:00"/>
    <x v="2"/>
    <s v="Americas → Brazil → Rio de Janeiro"/>
    <s v="Brazil-2024-08"/>
    <x v="5"/>
    <s v="Rio de Janeiro"/>
    <s v="Consumer"/>
    <x v="4"/>
    <x v="12"/>
    <x v="5"/>
    <x v="597"/>
    <n v="165.3"/>
    <n v="275.07"/>
    <s v="Valid"/>
    <n v="275.07"/>
    <s v="Low"/>
    <n v="0.13300000000000001"/>
    <s v="Valid"/>
    <x v="111"/>
    <n v="25"/>
    <x v="599"/>
    <n v="4132.5"/>
    <n v="1829.6422499999999"/>
    <n v="0.30687665159280625"/>
    <n v="1"/>
    <n v="0"/>
  </r>
  <r>
    <s v="ORD-2024-907733"/>
    <d v="2024-03-09T00:00:00"/>
    <x v="0"/>
    <s v="Q1-2024"/>
    <d v="2024-03-22T00:00:00"/>
    <s v="Valid"/>
    <n v="13"/>
    <d v="2024-03-22T00:00:00"/>
    <x v="3"/>
    <s v="Europe → United Kingdom → Manchester"/>
    <s v="United Kingdom-2024-03"/>
    <x v="8"/>
    <s v="Manchester"/>
    <s v="Consumer"/>
    <x v="1"/>
    <x v="6"/>
    <x v="4"/>
    <x v="598"/>
    <n v="985.45"/>
    <n v="1802.44"/>
    <s v="Valid"/>
    <n v="1802.44"/>
    <s v="Medium"/>
    <n v="8.9999999999999993E-3"/>
    <s v="Valid"/>
    <x v="98"/>
    <n v="19"/>
    <x v="600"/>
    <n v="18723.55"/>
    <n v="15214.592760000003"/>
    <n v="0.44830363486867486"/>
    <n v="0"/>
    <n v="0"/>
  </r>
  <r>
    <s v="ORD-2024-550400"/>
    <d v="2024-08-19T00:00:00"/>
    <x v="21"/>
    <s v="Q3-2024"/>
    <d v="2024-09-02T00:00:00"/>
    <s v="Valid"/>
    <n v="14"/>
    <d v="2024-09-02T00:00:00"/>
    <x v="2"/>
    <s v="Americas → Canada → Toronto"/>
    <s v="Canada-2024-08"/>
    <x v="3"/>
    <s v="Toronto"/>
    <s v="Consumer"/>
    <x v="3"/>
    <x v="0"/>
    <x v="1"/>
    <x v="599"/>
    <n v="1337.01"/>
    <n v="1269.78"/>
    <s v="Valid"/>
    <n v="1269.78"/>
    <s v="Medium"/>
    <n v="0.16"/>
    <s v="Valid"/>
    <x v="74"/>
    <n v="7"/>
    <x v="601"/>
    <n v="9359.07"/>
    <n v="-1892.7636000000011"/>
    <n v="-0.25350735672996244"/>
    <n v="0"/>
    <n v="0"/>
  </r>
  <r>
    <s v="ORD-2025-189846"/>
    <d v="2025-08-11T00:00:00"/>
    <x v="28"/>
    <s v="Q3-2025"/>
    <d v="2025-08-28T00:00:00"/>
    <s v="Valid"/>
    <n v="17"/>
    <d v="2025-08-28T00:00:00"/>
    <x v="3"/>
    <s v="Europe → France → Paris"/>
    <s v="France-2025-08"/>
    <x v="7"/>
    <s v="Paris"/>
    <s v="Education"/>
    <x v="1"/>
    <x v="9"/>
    <x v="2"/>
    <x v="600"/>
    <n v="416.16"/>
    <n v="571.9"/>
    <s v="Valid"/>
    <n v="571.9"/>
    <s v="Low"/>
    <n v="7.0999999999999994E-2"/>
    <s v="Valid"/>
    <x v="87"/>
    <n v="2"/>
    <x v="602"/>
    <n v="832.32"/>
    <n v="230.27020000000005"/>
    <n v="0.21670649701079497"/>
    <n v="0"/>
    <n v="0"/>
  </r>
  <r>
    <s v="ORD-2025-752192"/>
    <d v="2025-05-16T00:00:00"/>
    <x v="8"/>
    <s v="Q2-2025"/>
    <d v="2025-05-18T00:00:00"/>
    <s v="Valid"/>
    <n v="2"/>
    <d v="2025-05-18T00:00:00"/>
    <x v="1"/>
    <s v="Asia → Japan → Tokyo"/>
    <s v="Japan-2025-05"/>
    <x v="2"/>
    <s v="Tokyo"/>
    <s v="Enterprise"/>
    <x v="0"/>
    <x v="1"/>
    <x v="1"/>
    <x v="601"/>
    <n v="1144.3800000000001"/>
    <n v="2755.04"/>
    <s v="Valid"/>
    <n v="2755.04"/>
    <s v="High"/>
    <n v="0.15"/>
    <s v="Valid"/>
    <x v="203"/>
    <n v="17"/>
    <x v="603"/>
    <n v="19454.460000000003"/>
    <n v="20355.867999999999"/>
    <n v="0.51132128326096682"/>
    <n v="1"/>
    <n v="0"/>
  </r>
  <r>
    <s v="ORD-2023-294716"/>
    <d v="2023-04-10T00:00:00"/>
    <x v="12"/>
    <s v="Q2-2023"/>
    <d v="2023-04-25T00:00:00"/>
    <s v="Valid"/>
    <n v="15"/>
    <d v="2023-04-25T00:00:00"/>
    <x v="3"/>
    <s v="Europe → United Kingdom → London"/>
    <s v="United Kingdom-2023-04"/>
    <x v="8"/>
    <s v="London"/>
    <s v="Small Business"/>
    <x v="0"/>
    <x v="14"/>
    <x v="1"/>
    <x v="602"/>
    <n v="405.66"/>
    <n v="962.51"/>
    <s v="Valid"/>
    <n v="962.51"/>
    <s v="Medium"/>
    <n v="0.19"/>
    <s v="Valid"/>
    <x v="193"/>
    <n v="7"/>
    <x v="604"/>
    <n v="2839.6200000000003"/>
    <n v="2617.8116999999997"/>
    <n v="0.47967832561239376"/>
    <n v="0"/>
    <n v="0"/>
  </r>
  <r>
    <s v="ORD-2023-552115"/>
    <d v="2023-09-17T00:00:00"/>
    <x v="27"/>
    <s v="Q3-2023"/>
    <d v="2023-10-02T00:00:00"/>
    <s v="Valid"/>
    <n v="15"/>
    <d v="2023-10-02T00:00:00"/>
    <x v="2"/>
    <s v="Americas → Brazil → Rio de Janeiro"/>
    <s v="Brazil-2023-09"/>
    <x v="5"/>
    <s v="Rio de Janeiro"/>
    <s v="Small Business"/>
    <x v="0"/>
    <x v="5"/>
    <x v="4"/>
    <x v="603"/>
    <n v="689.33"/>
    <n v="668.27"/>
    <s v="Valid"/>
    <n v="668.27"/>
    <s v="Medium"/>
    <n v="0.186"/>
    <s v="Valid"/>
    <x v="62"/>
    <n v="13"/>
    <x v="605"/>
    <n v="8961.2900000000009"/>
    <n v="-1889.6568600000001"/>
    <n v="-0.26721647214861033"/>
    <n v="0"/>
    <n v="0"/>
  </r>
  <r>
    <s v="ORD-2023-107265"/>
    <d v="2023-04-22T00:00:00"/>
    <x v="12"/>
    <s v="Q2-2023"/>
    <d v="2023-05-14T00:00:00"/>
    <s v="Valid"/>
    <n v="22"/>
    <d v="2023-05-14T00:00:00"/>
    <x v="1"/>
    <s v="Asia → Japan → Nagoya"/>
    <s v="Japan-2023-04"/>
    <x v="2"/>
    <s v="Nagoya"/>
    <s v="Enterprise"/>
    <x v="0"/>
    <x v="8"/>
    <x v="6"/>
    <x v="604"/>
    <n v="1209.22"/>
    <n v="1404.33"/>
    <s v="Valid"/>
    <n v="1404.33"/>
    <s v="Medium"/>
    <n v="0.10299999999999999"/>
    <s v="Valid"/>
    <x v="170"/>
    <n v="11"/>
    <x v="606"/>
    <n v="13301.42"/>
    <n v="555.10411000000022"/>
    <n v="4.0060848275751328E-2"/>
    <n v="0"/>
    <n v="0"/>
  </r>
  <r>
    <s v="ORD-2025-262434"/>
    <d v="2025-06-19T00:00:00"/>
    <x v="16"/>
    <s v="Q2-2025"/>
    <d v="2025-06-21T00:00:00"/>
    <s v="Valid"/>
    <n v="2"/>
    <d v="2025-06-21T00:00:00"/>
    <x v="0"/>
    <s v="Africa → South Africa → Johannesburg"/>
    <s v="South Africa-2025-06"/>
    <x v="11"/>
    <s v="Johannesburg"/>
    <s v="Small Business"/>
    <x v="5"/>
    <x v="10"/>
    <x v="3"/>
    <x v="605"/>
    <n v="1466.27"/>
    <n v="3589.89"/>
    <s v="Valid"/>
    <n v="3589.89"/>
    <s v="High"/>
    <n v="9.7000000000000003E-2"/>
    <s v="Valid"/>
    <x v="218"/>
    <n v="9"/>
    <x v="607"/>
    <n v="13196.43"/>
    <n v="15978.606029999999"/>
    <n v="0.54768076425234147"/>
    <n v="1"/>
    <n v="0"/>
  </r>
  <r>
    <s v="ORD-2024-266562"/>
    <d v="2024-11-27T00:00:00"/>
    <x v="18"/>
    <s v="Q4-2024"/>
    <d v="2024-12-24T00:00:00"/>
    <s v="Valid"/>
    <n v="27"/>
    <d v="2024-12-24T00:00:00"/>
    <x v="0"/>
    <s v="Africa → Kenya → Mombasa"/>
    <s v="Kenya-2024-11"/>
    <x v="0"/>
    <s v="Mombasa"/>
    <s v="Corporate"/>
    <x v="3"/>
    <x v="5"/>
    <x v="1"/>
    <x v="606"/>
    <n v="143.33000000000001"/>
    <n v="233.51"/>
    <s v="Valid"/>
    <n v="233.51"/>
    <s v="Low"/>
    <n v="0.16300000000000001"/>
    <s v="Valid"/>
    <x v="192"/>
    <n v="14"/>
    <x v="608"/>
    <n v="2006.6200000000001"/>
    <n v="729.65017999999986"/>
    <n v="0.26665867476580835"/>
    <n v="0"/>
    <n v="0"/>
  </r>
  <r>
    <s v="ORD-2024-838925"/>
    <d v="2024-01-28T00:00:00"/>
    <x v="9"/>
    <s v="Q1-2024"/>
    <d v="2024-01-27T00:00:00"/>
    <s v="Invalid RequiredDate"/>
    <n v="-1"/>
    <d v="2024-02-23T00:00:00"/>
    <x v="0"/>
    <s v="Africa → South Africa → Cape Town"/>
    <s v="South Africa-2024-01"/>
    <x v="11"/>
    <s v="Cape Town"/>
    <s v="Enterprise"/>
    <x v="4"/>
    <x v="7"/>
    <x v="0"/>
    <x v="607"/>
    <n v="109.75"/>
    <n v="124.25"/>
    <s v="Valid"/>
    <n v="124.25"/>
    <s v="Low"/>
    <n v="0.12"/>
    <s v="Valid"/>
    <x v="18"/>
    <n v="19"/>
    <x v="609"/>
    <n v="2085.25"/>
    <n v="-7.7899999999999636"/>
    <n v="-3.7497713554051405E-3"/>
    <n v="1"/>
    <n v="0"/>
  </r>
  <r>
    <s v="ORD-2023-664790"/>
    <d v="2023-04-16T00:00:00"/>
    <x v="12"/>
    <s v="Q2-2023"/>
    <d v="2023-04-23T00:00:00"/>
    <s v="Valid"/>
    <n v="7"/>
    <d v="2023-04-23T00:00:00"/>
    <x v="2"/>
    <s v="Americas → USA → Austin"/>
    <s v="USA-2023-04"/>
    <x v="10"/>
    <s v="Austin"/>
    <s v="Corporate"/>
    <x v="3"/>
    <x v="7"/>
    <x v="1"/>
    <x v="608"/>
    <n v="1099.1500000000001"/>
    <n v="1431.37"/>
    <s v="Valid"/>
    <n v="1431.37"/>
    <s v="Medium"/>
    <n v="0.104"/>
    <s v="Valid"/>
    <x v="66"/>
    <n v="8"/>
    <x v="610"/>
    <n v="8793.2000000000007"/>
    <n v="1466.8601599999984"/>
    <n v="0.14296798821109433"/>
    <n v="1"/>
    <n v="0"/>
  </r>
  <r>
    <s v="ORD-2024-331408"/>
    <d v="2024-02-01T00:00:00"/>
    <x v="31"/>
    <s v="Q1-2024"/>
    <d v="2024-02-01T00:00:00"/>
    <s v="Valid"/>
    <n v="0"/>
    <d v="2024-02-01T00:00:00"/>
    <x v="2"/>
    <s v="Americas → USA → Austin"/>
    <s v="USA-2024-02"/>
    <x v="10"/>
    <s v="Austin"/>
    <s v="Consumer"/>
    <x v="3"/>
    <x v="10"/>
    <x v="1"/>
    <x v="609"/>
    <n v="714.43"/>
    <n v="1595.52"/>
    <s v="Valid"/>
    <n v="1595.52"/>
    <s v="Medium"/>
    <n v="0.19400000000000001"/>
    <s v="Valid"/>
    <x v="7"/>
    <n v="14"/>
    <x v="611"/>
    <n v="10002.019999999999"/>
    <n v="8001.8276800000003"/>
    <n v="0.44445097638151093"/>
    <n v="1"/>
    <n v="0"/>
  </r>
  <r>
    <s v="ORD-2024-741404"/>
    <d v="2024-10-19T00:00:00"/>
    <x v="1"/>
    <s v="Q4-2024"/>
    <d v="2024-11-06T00:00:00"/>
    <s v="Valid"/>
    <n v="18"/>
    <d v="2024-11-06T00:00:00"/>
    <x v="2"/>
    <s v="Americas → USA → Chicago"/>
    <s v="USA-2024-10"/>
    <x v="10"/>
    <s v="Chicago"/>
    <s v="Education"/>
    <x v="5"/>
    <x v="0"/>
    <x v="5"/>
    <x v="610"/>
    <n v="942.02"/>
    <n v="1028.46"/>
    <s v="Valid"/>
    <n v="1028.46"/>
    <s v="Medium"/>
    <n v="0"/>
    <s v="Valid"/>
    <x v="5"/>
    <n v="9"/>
    <x v="612"/>
    <n v="8478.18"/>
    <n v="777.95999999999913"/>
    <n v="8.4047994088248354E-2"/>
    <n v="0"/>
    <n v="0"/>
  </r>
  <r>
    <s v="ORD-2024-341535"/>
    <d v="2024-06-25T00:00:00"/>
    <x v="17"/>
    <s v="Q2-2024"/>
    <d v="2024-06-30T00:00:00"/>
    <s v="Valid"/>
    <n v="5"/>
    <d v="2024-06-30T00:00:00"/>
    <x v="0"/>
    <s v="Africa → Kenya → Kisumu"/>
    <s v="Kenya-2024-06"/>
    <x v="0"/>
    <s v="Kisumu"/>
    <s v="Education"/>
    <x v="4"/>
    <x v="12"/>
    <x v="2"/>
    <x v="611"/>
    <n v="1323.55"/>
    <n v="3230.35"/>
    <s v="Valid"/>
    <n v="3230.35"/>
    <s v="High"/>
    <n v="2.1999999999999999E-2"/>
    <s v="Valid"/>
    <x v="117"/>
    <n v="26"/>
    <x v="613"/>
    <n v="34412.299999999996"/>
    <n v="47729.039799999991"/>
    <n v="0.58105991351263542"/>
    <n v="1"/>
    <n v="0"/>
  </r>
  <r>
    <s v="ORD-2023-451931"/>
    <d v="2023-07-30T00:00:00"/>
    <x v="24"/>
    <s v="Q3-2023"/>
    <d v="2023-08-19T00:00:00"/>
    <s v="Valid"/>
    <n v="20"/>
    <d v="2023-08-19T00:00:00"/>
    <x v="3"/>
    <s v="Europe → France → Paris"/>
    <s v="France-2023-07"/>
    <x v="7"/>
    <s v="Paris"/>
    <s v="Enterprise"/>
    <x v="2"/>
    <x v="3"/>
    <x v="2"/>
    <x v="612"/>
    <n v="1418.51"/>
    <n v="2789.61"/>
    <s v="Valid"/>
    <n v="2789.61"/>
    <s v="High"/>
    <n v="0.17100000000000001"/>
    <s v="Valid"/>
    <x v="219"/>
    <n v="8"/>
    <x v="614"/>
    <n v="11348.08"/>
    <n v="7152.6135200000008"/>
    <n v="0.38661326464695689"/>
    <n v="0"/>
    <n v="0"/>
  </r>
  <r>
    <s v="ORD-2025-532859"/>
    <d v="2025-03-11T00:00:00"/>
    <x v="3"/>
    <s v="Q1-2025"/>
    <d v="2025-03-27T00:00:00"/>
    <s v="Valid"/>
    <n v="16"/>
    <d v="2025-03-27T00:00:00"/>
    <x v="1"/>
    <s v="Asia → Japan → Tokyo"/>
    <s v="Japan-2025-03"/>
    <x v="2"/>
    <s v="Tokyo"/>
    <s v="Enterprise"/>
    <x v="3"/>
    <x v="5"/>
    <x v="1"/>
    <x v="613"/>
    <n v="1317.58"/>
    <n v="1897.74"/>
    <s v="Valid"/>
    <n v="1897.74"/>
    <s v="Medium"/>
    <n v="8.1000000000000003E-2"/>
    <s v="Valid"/>
    <x v="220"/>
    <n v="6"/>
    <x v="615"/>
    <n v="7905.48"/>
    <n v="2558.6583600000013"/>
    <n v="0.24451687009230266"/>
    <n v="0"/>
    <n v="0"/>
  </r>
  <r>
    <s v="ORD-2023-502205"/>
    <d v="2023-10-09T00:00:00"/>
    <x v="32"/>
    <s v="Q4-2023"/>
    <d v="2023-10-11T00:00:00"/>
    <s v="Valid"/>
    <n v="2"/>
    <d v="2023-10-11T00:00:00"/>
    <x v="0"/>
    <s v="Africa → Nigeria → Port Harcourt"/>
    <s v="Nigeria-2023-10"/>
    <x v="1"/>
    <s v="Port Harcourt"/>
    <s v="Education"/>
    <x v="2"/>
    <x v="11"/>
    <x v="2"/>
    <x v="614"/>
    <n v="391.16"/>
    <n v="902.47"/>
    <s v="Valid"/>
    <n v="902.47"/>
    <s v="Medium"/>
    <n v="4.0000000000000001E-3"/>
    <s v="Valid"/>
    <x v="139"/>
    <n v="12"/>
    <x v="616"/>
    <n v="4693.92"/>
    <n v="6092.4014399999996"/>
    <n v="0.56482661618139207"/>
    <n v="1"/>
    <n v="0"/>
  </r>
  <r>
    <s v="ORD-2024-930679"/>
    <d v="2024-12-17T00:00:00"/>
    <x v="6"/>
    <s v="Q4-2024"/>
    <d v="2025-01-16T00:00:00"/>
    <s v="Valid"/>
    <n v="30"/>
    <d v="2025-01-16T00:00:00"/>
    <x v="3"/>
    <s v="Europe → United Kingdom → Manchester"/>
    <s v="United Kingdom-2024-12"/>
    <x v="8"/>
    <s v="Manchester"/>
    <s v="Corporate"/>
    <x v="0"/>
    <x v="14"/>
    <x v="5"/>
    <x v="615"/>
    <n v="722.87"/>
    <n v="-33.659999999999997"/>
    <s v="Invalid Price"/>
    <n v="1202.1397872340422"/>
    <s v="Medium"/>
    <n v="0.10199999999999999"/>
    <s v="Valid"/>
    <x v="4"/>
    <n v="28"/>
    <x v="617"/>
    <n v="20240.36"/>
    <n v="9986.242810212756"/>
    <n v="0.33037926468000806"/>
    <n v="0"/>
    <n v="0"/>
  </r>
  <r>
    <s v="ORD-2025-150713"/>
    <d v="2025-07-11T00:00:00"/>
    <x v="13"/>
    <s v="Q3-2025"/>
    <d v="2025-07-16T00:00:00"/>
    <s v="Valid"/>
    <n v="5"/>
    <d v="2025-07-16T00:00:00"/>
    <x v="3"/>
    <s v="Europe → United Kingdom → London"/>
    <s v="United Kingdom-2025-07"/>
    <x v="8"/>
    <s v="London"/>
    <s v="Enterprise"/>
    <x v="1"/>
    <x v="11"/>
    <x v="1"/>
    <x v="616"/>
    <n v="930.03"/>
    <n v="1086.68"/>
    <s v="Valid"/>
    <n v="1086.68"/>
    <s v="Medium"/>
    <n v="0.109"/>
    <s v="Valid"/>
    <x v="14"/>
    <n v="26"/>
    <x v="618"/>
    <n v="24180.78"/>
    <n v="993.24888000000283"/>
    <n v="3.9455300728168656E-2"/>
    <n v="1"/>
    <n v="0"/>
  </r>
  <r>
    <s v="ORD-2024-756884"/>
    <d v="2024-10-13T00:00:00"/>
    <x v="1"/>
    <s v="Q4-2024"/>
    <d v="2024-10-24T00:00:00"/>
    <s v="Valid"/>
    <n v="11"/>
    <d v="2024-10-24T00:00:00"/>
    <x v="3"/>
    <s v="Europe → France → Paris"/>
    <s v="France-2024-10"/>
    <x v="7"/>
    <s v="Paris"/>
    <s v="Education"/>
    <x v="3"/>
    <x v="9"/>
    <x v="0"/>
    <x v="617"/>
    <n v="816.7"/>
    <n v="1010.75"/>
    <s v="Valid"/>
    <n v="1010.75"/>
    <s v="Medium"/>
    <n v="4.7E-2"/>
    <s v="Valid"/>
    <x v="58"/>
    <n v="43"/>
    <x v="619"/>
    <n v="35118.1"/>
    <n v="6301.4242499999964"/>
    <n v="0.15213656757537472"/>
    <n v="0"/>
    <n v="0"/>
  </r>
  <r>
    <s v="ORD-2023-755337"/>
    <d v="2023-09-08T00:00:00"/>
    <x v="27"/>
    <s v="Q3-2023"/>
    <d v="2023-09-14T00:00:00"/>
    <s v="Valid"/>
    <n v="6"/>
    <d v="2023-09-14T00:00:00"/>
    <x v="0"/>
    <s v="Africa → Kenya → Nakuru"/>
    <s v="Kenya-2023-09"/>
    <x v="0"/>
    <s v="Nakuru"/>
    <s v="Education"/>
    <x v="4"/>
    <x v="2"/>
    <x v="6"/>
    <x v="618"/>
    <n v="251.03"/>
    <n v="411.48"/>
    <s v="Valid"/>
    <n v="411.48"/>
    <s v="Low"/>
    <n v="0.16500000000000001"/>
    <s v="Valid"/>
    <x v="205"/>
    <n v="3"/>
    <x v="620"/>
    <n v="753.09"/>
    <n v="277.66739999999993"/>
    <n v="0.26938191275658069"/>
    <n v="1"/>
    <n v="0"/>
  </r>
  <r>
    <s v="ORD-2025-907040"/>
    <d v="2025-04-17T00:00:00"/>
    <x v="19"/>
    <s v="Q2-2025"/>
    <d v="2025-05-03T00:00:00"/>
    <s v="Valid"/>
    <n v="16"/>
    <d v="2025-05-03T00:00:00"/>
    <x v="2"/>
    <s v="Americas → Brazil → Rio de Janeiro"/>
    <s v="Brazil-2025-04"/>
    <x v="5"/>
    <s v="Rio de Janeiro"/>
    <s v="Consumer"/>
    <x v="2"/>
    <x v="1"/>
    <x v="2"/>
    <x v="619"/>
    <n v="168.68"/>
    <n v="413.34"/>
    <s v="Valid"/>
    <n v="413.34"/>
    <s v="Low"/>
    <n v="0.186"/>
    <s v="Valid"/>
    <x v="62"/>
    <n v="7"/>
    <x v="621"/>
    <n v="1180.76"/>
    <n v="1174.4513199999999"/>
    <n v="0.49866069767361682"/>
    <n v="0"/>
    <n v="0"/>
  </r>
  <r>
    <s v="ORD-2024-817997"/>
    <d v="2024-07-28T00:00:00"/>
    <x v="14"/>
    <s v="Q3-2024"/>
    <d v="2024-08-23T00:00:00"/>
    <s v="Valid"/>
    <n v="26"/>
    <d v="2024-08-23T00:00:00"/>
    <x v="1"/>
    <s v="Asia → India → Hyderabad"/>
    <s v="India-2024-07"/>
    <x v="4"/>
    <s v="Hyderabad"/>
    <s v="Corporate"/>
    <x v="0"/>
    <x v="1"/>
    <x v="2"/>
    <x v="620"/>
    <n v="1339.24"/>
    <n v="1558.89"/>
    <s v="Valid"/>
    <n v="1558.89"/>
    <s v="Medium"/>
    <n v="0.192"/>
    <s v="Valid"/>
    <x v="97"/>
    <n v="24"/>
    <x v="622"/>
    <n v="32141.760000000002"/>
    <n v="-1911.76512"/>
    <n v="-6.3240669659021781E-2"/>
    <n v="0"/>
    <n v="0"/>
  </r>
  <r>
    <s v="ORD-2025-649633"/>
    <d v="2025-07-19T00:00:00"/>
    <x v="13"/>
    <s v="Q3-2025"/>
    <d v="2025-07-31T00:00:00"/>
    <s v="Valid"/>
    <n v="12"/>
    <d v="2025-07-31T00:00:00"/>
    <x v="0"/>
    <s v="Africa → Kenya → Nairobi"/>
    <s v="Kenya-2025-07"/>
    <x v="0"/>
    <s v="Nairobi"/>
    <s v="Small Business"/>
    <x v="2"/>
    <x v="7"/>
    <x v="6"/>
    <x v="621"/>
    <n v="619.64"/>
    <n v="861.16"/>
    <s v="Valid"/>
    <n v="861.16"/>
    <s v="Medium"/>
    <n v="0.113"/>
    <s v="Valid"/>
    <x v="138"/>
    <n v="14"/>
    <x v="623"/>
    <n v="8674.9599999999991"/>
    <n v="2018.9248800000005"/>
    <n v="0.18879246435276761"/>
    <n v="0"/>
    <n v="0"/>
  </r>
  <r>
    <s v="ORD-2023-885216"/>
    <d v="2023-08-03T00:00:00"/>
    <x v="25"/>
    <s v="Q3-2023"/>
    <d v="2023-08-02T00:00:00"/>
    <s v="Invalid RequiredDate"/>
    <n v="-1"/>
    <d v="2023-08-29T00:00:00"/>
    <x v="1"/>
    <s v="Asia → China → Shanghai"/>
    <s v="China-2023-08"/>
    <x v="9"/>
    <s v="Shanghai"/>
    <s v="Non-Profit"/>
    <x v="4"/>
    <x v="1"/>
    <x v="2"/>
    <x v="622"/>
    <n v="1021.97"/>
    <n v="2296.25"/>
    <s v="Valid"/>
    <n v="2296.25"/>
    <s v="High"/>
    <n v="0.161"/>
    <s v="Valid"/>
    <x v="63"/>
    <n v="26"/>
    <x v="624"/>
    <n v="26571.22"/>
    <n v="23519.177499999998"/>
    <n v="0.46953465482081669"/>
    <n v="1"/>
    <n v="0"/>
  </r>
  <r>
    <s v="ORD-2023-561823"/>
    <d v="2023-11-19T00:00:00"/>
    <x v="30"/>
    <s v="Q4-2023"/>
    <d v="2023-12-12T00:00:00"/>
    <s v="Valid"/>
    <n v="23"/>
    <d v="2023-12-12T00:00:00"/>
    <x v="1"/>
    <s v="Asia → India → Delhi"/>
    <s v="India-2023-11"/>
    <x v="4"/>
    <s v="Delhi"/>
    <s v="Small Business"/>
    <x v="4"/>
    <x v="0"/>
    <x v="2"/>
    <x v="623"/>
    <n v="1349.04"/>
    <n v="2636.6"/>
    <s v="Valid"/>
    <n v="2636.6"/>
    <s v="High"/>
    <n v="0.114"/>
    <s v="Valid"/>
    <x v="59"/>
    <n v="14"/>
    <x v="625"/>
    <n v="18886.559999999998"/>
    <n v="13817.826400000005"/>
    <n v="0.42250682312143928"/>
    <n v="0"/>
    <n v="0"/>
  </r>
  <r>
    <s v="ORD-2023-249805"/>
    <d v="2023-12-22T00:00:00"/>
    <x v="4"/>
    <s v="Q4-2023"/>
    <d v="2024-01-16T00:00:00"/>
    <s v="Valid"/>
    <n v="25"/>
    <d v="2024-01-16T00:00:00"/>
    <x v="1"/>
    <s v="Asia → India → Hyderabad"/>
    <s v="India-2023-12"/>
    <x v="4"/>
    <s v="Hyderabad"/>
    <s v="Small Business"/>
    <x v="0"/>
    <x v="8"/>
    <x v="0"/>
    <x v="624"/>
    <n v="1346.81"/>
    <n v="978.09"/>
    <s v="Valid"/>
    <n v="978.09"/>
    <s v="Medium"/>
    <n v="0.159"/>
    <s v="Valid"/>
    <x v="128"/>
    <n v="17"/>
    <x v="626"/>
    <n v="22895.77"/>
    <n v="-8912.0172700000021"/>
    <n v="-0.6373122753293996"/>
    <n v="0"/>
    <n v="0"/>
  </r>
  <r>
    <s v="ORD-2023-548934"/>
    <d v="2023-08-03T00:00:00"/>
    <x v="25"/>
    <s v="Q3-2023"/>
    <d v="2023-08-30T00:00:00"/>
    <s v="Valid"/>
    <n v="27"/>
    <d v="2023-08-30T00:00:00"/>
    <x v="1"/>
    <s v="Asia → China → Shanghai"/>
    <s v="China-2023-08"/>
    <x v="9"/>
    <s v="Shanghai"/>
    <s v="Consumer"/>
    <x v="3"/>
    <x v="13"/>
    <x v="5"/>
    <x v="625"/>
    <n v="226.04"/>
    <n v="545.72"/>
    <s v="Valid"/>
    <n v="545.72"/>
    <s v="Low"/>
    <n v="0.151"/>
    <s v="Valid"/>
    <x v="101"/>
    <n v="11"/>
    <x v="627"/>
    <n v="2486.44"/>
    <n v="2610.03908"/>
    <n v="0.51212592831834014"/>
    <n v="0"/>
    <n v="0"/>
  </r>
  <r>
    <s v="ORD-2023-921939"/>
    <d v="2023-06-23T00:00:00"/>
    <x v="23"/>
    <s v="Q2-2023"/>
    <d v="2023-07-18T00:00:00"/>
    <s v="Valid"/>
    <n v="25"/>
    <d v="2023-07-18T00:00:00"/>
    <x v="2"/>
    <s v="Americas → Canada → Vancouver"/>
    <s v="Canada-2023-06"/>
    <x v="3"/>
    <s v="Vancouver"/>
    <s v="Enterprise"/>
    <x v="1"/>
    <x v="13"/>
    <x v="3"/>
    <x v="626"/>
    <n v="807.02"/>
    <n v="1435.54"/>
    <s v="Valid"/>
    <n v="1435.54"/>
    <s v="Medium"/>
    <n v="0"/>
    <s v="Valid"/>
    <x v="5"/>
    <n v="23"/>
    <x v="628"/>
    <n v="18561.46"/>
    <n v="14455.96"/>
    <n v="0.43782827368098415"/>
    <n v="0"/>
    <n v="0"/>
  </r>
  <r>
    <s v="ORD-2023-961864"/>
    <d v="2023-12-07T00:00:00"/>
    <x v="4"/>
    <s v="Q4-2023"/>
    <d v="2024-01-02T00:00:00"/>
    <s v="Valid"/>
    <n v="26"/>
    <d v="2024-01-02T00:00:00"/>
    <x v="3"/>
    <s v="Europe → Germany → Frankfurt"/>
    <s v="Germany-2023-12"/>
    <x v="6"/>
    <s v="Frankfurt"/>
    <s v="Enterprise"/>
    <x v="3"/>
    <x v="6"/>
    <x v="0"/>
    <x v="627"/>
    <n v="1071.99"/>
    <n v="2397.3000000000002"/>
    <s v="Valid"/>
    <n v="2397.3000000000002"/>
    <s v="High"/>
    <n v="6.2E-2"/>
    <s v="Valid"/>
    <x v="221"/>
    <n v="18"/>
    <x v="629"/>
    <n v="19295.82"/>
    <n v="21180.193200000002"/>
    <n v="0.52327765324476183"/>
    <n v="0"/>
    <n v="0"/>
  </r>
  <r>
    <s v="ORD-2023-455933"/>
    <d v="2023-11-19T00:00:00"/>
    <x v="30"/>
    <s v="Q4-2023"/>
    <d v="2023-12-19T00:00:00"/>
    <s v="Valid"/>
    <n v="30"/>
    <d v="2023-12-19T00:00:00"/>
    <x v="1"/>
    <s v="Asia → Japan → Nagoya"/>
    <s v="Japan-2023-11"/>
    <x v="2"/>
    <s v="Nagoya"/>
    <s v="Consumer"/>
    <x v="0"/>
    <x v="15"/>
    <x v="3"/>
    <x v="628"/>
    <n v="807.11"/>
    <n v="1853.86"/>
    <s v="Valid"/>
    <n v="1853.86"/>
    <s v="Medium"/>
    <n v="0.13900000000000001"/>
    <s v="Valid"/>
    <x v="23"/>
    <n v="8"/>
    <x v="630"/>
    <n v="6456.88"/>
    <n v="6312.5076799999997"/>
    <n v="0.49434693645388639"/>
    <n v="0"/>
    <n v="0"/>
  </r>
  <r>
    <s v="ORD-2025-728935"/>
    <d v="2025-02-28T00:00:00"/>
    <x v="26"/>
    <s v="Q1-2025"/>
    <d v="2025-03-10T00:00:00"/>
    <s v="Valid"/>
    <n v="10"/>
    <d v="2025-03-10T00:00:00"/>
    <x v="1"/>
    <s v="Asia → Japan → Osaka"/>
    <s v="Japan-2025-02"/>
    <x v="2"/>
    <s v="Osaka"/>
    <s v="Education"/>
    <x v="3"/>
    <x v="13"/>
    <x v="4"/>
    <x v="629"/>
    <n v="51.86"/>
    <n v="45.98"/>
    <s v="Valid"/>
    <n v="45.98"/>
    <s v="Low"/>
    <n v="0.17299999999999999"/>
    <s v="Valid"/>
    <x v="121"/>
    <n v="7"/>
    <x v="631"/>
    <n v="363.02"/>
    <n v="-96.841780000000028"/>
    <n v="-0.3638230806412337"/>
    <n v="0"/>
    <n v="0"/>
  </r>
  <r>
    <n v="0"/>
    <m/>
    <x v="33"/>
    <m/>
    <m/>
    <m/>
    <m/>
    <m/>
    <x v="4"/>
    <m/>
    <m/>
    <x v="12"/>
    <m/>
    <m/>
    <x v="6"/>
    <x v="16"/>
    <x v="7"/>
    <x v="630"/>
    <m/>
    <m/>
    <m/>
    <m/>
    <m/>
    <m/>
    <m/>
    <x v="222"/>
    <m/>
    <x v="632"/>
    <m/>
    <n v="3526215.3210968319"/>
    <m/>
    <n v="0.2721518987341772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4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1:AJ16" firstHeaderRow="1" firstDataRow="2" firstDataCol="1"/>
  <pivotFields count="31">
    <pivotField showAll="0"/>
    <pivotField showAll="0"/>
    <pivotField axis="axisCol"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showAll="0"/>
    <pivotField showAll="0"/>
    <pivotField showAll="0"/>
    <pivotField showAll="0">
      <items count="321">
        <item x="306"/>
        <item x="24"/>
        <item x="101"/>
        <item x="184"/>
        <item x="283"/>
        <item x="81"/>
        <item x="120"/>
        <item x="197"/>
        <item x="314"/>
        <item x="194"/>
        <item x="169"/>
        <item x="59"/>
        <item x="203"/>
        <item x="219"/>
        <item x="285"/>
        <item x="136"/>
        <item x="153"/>
        <item x="25"/>
        <item x="297"/>
        <item x="68"/>
        <item x="157"/>
        <item x="108"/>
        <item x="258"/>
        <item x="52"/>
        <item x="12"/>
        <item x="51"/>
        <item x="9"/>
        <item x="18"/>
        <item x="237"/>
        <item x="14"/>
        <item x="5"/>
        <item x="28"/>
        <item x="190"/>
        <item x="148"/>
        <item x="214"/>
        <item x="202"/>
        <item x="70"/>
        <item x="296"/>
        <item x="221"/>
        <item x="304"/>
        <item x="303"/>
        <item x="186"/>
        <item x="191"/>
        <item x="41"/>
        <item x="119"/>
        <item x="232"/>
        <item x="313"/>
        <item x="124"/>
        <item x="46"/>
        <item x="89"/>
        <item x="310"/>
        <item x="125"/>
        <item x="210"/>
        <item x="102"/>
        <item x="104"/>
        <item x="245"/>
        <item x="200"/>
        <item x="292"/>
        <item x="287"/>
        <item x="259"/>
        <item x="63"/>
        <item x="21"/>
        <item x="103"/>
        <item x="109"/>
        <item x="248"/>
        <item x="155"/>
        <item x="261"/>
        <item x="116"/>
        <item x="239"/>
        <item x="75"/>
        <item x="96"/>
        <item x="227"/>
        <item x="90"/>
        <item x="135"/>
        <item x="238"/>
        <item x="65"/>
        <item x="87"/>
        <item x="264"/>
        <item x="182"/>
        <item x="34"/>
        <item x="85"/>
        <item x="133"/>
        <item x="212"/>
        <item x="218"/>
        <item x="115"/>
        <item x="151"/>
        <item x="45"/>
        <item x="281"/>
        <item x="123"/>
        <item x="284"/>
        <item x="106"/>
        <item x="241"/>
        <item x="13"/>
        <item x="130"/>
        <item x="56"/>
        <item x="226"/>
        <item x="138"/>
        <item x="247"/>
        <item x="250"/>
        <item x="316"/>
        <item x="26"/>
        <item x="16"/>
        <item x="49"/>
        <item x="309"/>
        <item x="27"/>
        <item x="71"/>
        <item x="54"/>
        <item x="282"/>
        <item x="158"/>
        <item x="86"/>
        <item x="262"/>
        <item x="159"/>
        <item x="196"/>
        <item x="288"/>
        <item x="294"/>
        <item x="50"/>
        <item x="277"/>
        <item x="235"/>
        <item x="10"/>
        <item x="147"/>
        <item x="33"/>
        <item x="122"/>
        <item x="217"/>
        <item x="110"/>
        <item x="37"/>
        <item x="268"/>
        <item x="53"/>
        <item x="132"/>
        <item x="280"/>
        <item x="187"/>
        <item x="40"/>
        <item x="193"/>
        <item x="253"/>
        <item x="152"/>
        <item x="134"/>
        <item x="32"/>
        <item x="42"/>
        <item x="117"/>
        <item x="302"/>
        <item x="274"/>
        <item x="223"/>
        <item x="67"/>
        <item x="139"/>
        <item x="180"/>
        <item x="171"/>
        <item x="77"/>
        <item x="231"/>
        <item x="271"/>
        <item x="275"/>
        <item x="263"/>
        <item x="318"/>
        <item x="131"/>
        <item x="207"/>
        <item x="47"/>
        <item x="57"/>
        <item x="6"/>
        <item x="289"/>
        <item x="201"/>
        <item x="240"/>
        <item x="225"/>
        <item x="206"/>
        <item x="80"/>
        <item x="84"/>
        <item x="267"/>
        <item x="137"/>
        <item x="270"/>
        <item x="216"/>
        <item x="78"/>
        <item x="173"/>
        <item x="142"/>
        <item x="265"/>
        <item x="100"/>
        <item x="4"/>
        <item x="179"/>
        <item x="170"/>
        <item x="61"/>
        <item x="308"/>
        <item x="141"/>
        <item x="129"/>
        <item x="177"/>
        <item x="94"/>
        <item x="254"/>
        <item x="11"/>
        <item x="149"/>
        <item x="204"/>
        <item x="79"/>
        <item x="252"/>
        <item x="276"/>
        <item x="279"/>
        <item x="183"/>
        <item x="17"/>
        <item x="162"/>
        <item x="2"/>
        <item x="48"/>
        <item x="15"/>
        <item x="92"/>
        <item x="220"/>
        <item x="229"/>
        <item x="205"/>
        <item x="317"/>
        <item x="128"/>
        <item x="107"/>
        <item x="127"/>
        <item x="0"/>
        <item x="291"/>
        <item x="299"/>
        <item x="95"/>
        <item x="20"/>
        <item x="307"/>
        <item x="166"/>
        <item x="39"/>
        <item x="188"/>
        <item x="165"/>
        <item x="298"/>
        <item x="88"/>
        <item x="257"/>
        <item x="55"/>
        <item x="305"/>
        <item x="76"/>
        <item x="82"/>
        <item x="7"/>
        <item x="293"/>
        <item x="242"/>
        <item x="195"/>
        <item x="43"/>
        <item x="228"/>
        <item x="150"/>
        <item x="315"/>
        <item x="233"/>
        <item x="185"/>
        <item x="35"/>
        <item x="8"/>
        <item x="273"/>
        <item x="176"/>
        <item x="1"/>
        <item x="269"/>
        <item x="260"/>
        <item x="3"/>
        <item x="199"/>
        <item x="290"/>
        <item x="22"/>
        <item x="167"/>
        <item x="208"/>
        <item x="311"/>
        <item x="58"/>
        <item x="178"/>
        <item x="66"/>
        <item x="126"/>
        <item x="62"/>
        <item x="249"/>
        <item x="121"/>
        <item x="74"/>
        <item x="38"/>
        <item x="295"/>
        <item x="64"/>
        <item x="91"/>
        <item x="98"/>
        <item x="31"/>
        <item x="256"/>
        <item x="168"/>
        <item x="243"/>
        <item x="272"/>
        <item x="278"/>
        <item x="144"/>
        <item x="198"/>
        <item x="29"/>
        <item x="255"/>
        <item x="113"/>
        <item x="234"/>
        <item x="60"/>
        <item x="83"/>
        <item x="251"/>
        <item x="69"/>
        <item x="164"/>
        <item x="146"/>
        <item x="209"/>
        <item x="224"/>
        <item x="236"/>
        <item x="312"/>
        <item x="30"/>
        <item x="44"/>
        <item x="97"/>
        <item x="93"/>
        <item x="286"/>
        <item x="140"/>
        <item x="215"/>
        <item x="213"/>
        <item x="244"/>
        <item x="163"/>
        <item x="73"/>
        <item x="145"/>
        <item x="19"/>
        <item x="105"/>
        <item x="246"/>
        <item x="111"/>
        <item x="222"/>
        <item x="112"/>
        <item x="143"/>
        <item x="230"/>
        <item x="156"/>
        <item x="36"/>
        <item x="118"/>
        <item x="161"/>
        <item x="172"/>
        <item x="174"/>
        <item x="160"/>
        <item x="301"/>
        <item x="181"/>
        <item x="23"/>
        <item x="192"/>
        <item x="154"/>
        <item x="189"/>
        <item x="300"/>
        <item x="114"/>
        <item x="99"/>
        <item x="266"/>
        <item x="72"/>
        <item x="211"/>
        <item x="175"/>
        <item x="319"/>
        <item t="default"/>
      </items>
    </pivotField>
    <pivotField axis="axisRow" showAll="0">
      <items count="14">
        <item x="5"/>
        <item x="3"/>
        <item x="9"/>
        <item x="7"/>
        <item x="6"/>
        <item x="4"/>
        <item x="2"/>
        <item x="0"/>
        <item x="1"/>
        <item x="11"/>
        <item x="8"/>
        <item x="10"/>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1"/>
  </rowFields>
  <rowItems count="14">
    <i>
      <x/>
    </i>
    <i>
      <x v="1"/>
    </i>
    <i>
      <x v="2"/>
    </i>
    <i>
      <x v="3"/>
    </i>
    <i>
      <x v="4"/>
    </i>
    <i>
      <x v="5"/>
    </i>
    <i>
      <x v="6"/>
    </i>
    <i>
      <x v="7"/>
    </i>
    <i>
      <x v="8"/>
    </i>
    <i>
      <x v="9"/>
    </i>
    <i>
      <x v="10"/>
    </i>
    <i>
      <x v="11"/>
    </i>
    <i>
      <x v="12"/>
    </i>
    <i t="grand">
      <x/>
    </i>
  </rowItems>
  <colFields count="1">
    <field x="2"/>
  </colFields>
  <col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colItems>
  <dataFields count="1">
    <dataField name="Sum of GrossRevenue" fld="27" baseField="0" baseItem="76512504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4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382" firstHeaderRow="1" firstDataRow="1" firstDataCol="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6"/>
        <item x="0"/>
        <item sd="0" x="4"/>
        <item sd="0" x="5"/>
        <item sd="0" x="2"/>
        <item x="3"/>
        <item x="1"/>
        <item x="7"/>
        <item t="default"/>
      </items>
    </pivotField>
    <pivotField axis="axisRow" showAll="0" sortType="descending">
      <items count="632">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x="63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2">
    <field x="16"/>
    <field x="17"/>
  </rowFields>
  <rowItems count="379">
    <i>
      <x/>
    </i>
    <i r="1">
      <x v="60"/>
    </i>
    <i r="1">
      <x v="13"/>
    </i>
    <i r="1">
      <x v="23"/>
    </i>
    <i r="1">
      <x v="82"/>
    </i>
    <i r="1">
      <x v="84"/>
    </i>
    <i r="1">
      <x v="72"/>
    </i>
    <i r="1">
      <x v="41"/>
    </i>
    <i r="1">
      <x v="68"/>
    </i>
    <i r="1">
      <x v="50"/>
    </i>
    <i r="1">
      <x v="81"/>
    </i>
    <i r="1">
      <x v="63"/>
    </i>
    <i r="1">
      <x v="6"/>
    </i>
    <i r="1">
      <x v="10"/>
    </i>
    <i r="1">
      <x v="4"/>
    </i>
    <i r="1">
      <x v="56"/>
    </i>
    <i r="1">
      <x v="44"/>
    </i>
    <i r="1">
      <x v="53"/>
    </i>
    <i r="1">
      <x v="59"/>
    </i>
    <i r="1">
      <x v="86"/>
    </i>
    <i r="1">
      <x v="75"/>
    </i>
    <i r="1">
      <x v="26"/>
    </i>
    <i r="1">
      <x v="12"/>
    </i>
    <i r="1">
      <x v="33"/>
    </i>
    <i r="1">
      <x v="83"/>
    </i>
    <i r="1">
      <x v="49"/>
    </i>
    <i r="1">
      <x v="79"/>
    </i>
    <i r="1">
      <x v="32"/>
    </i>
    <i r="1">
      <x v="40"/>
    </i>
    <i r="1">
      <x v="14"/>
    </i>
    <i r="1">
      <x v="78"/>
    </i>
    <i r="1">
      <x v="80"/>
    </i>
    <i r="1">
      <x v="70"/>
    </i>
    <i r="1">
      <x v="48"/>
    </i>
    <i r="1">
      <x v="29"/>
    </i>
    <i r="1">
      <x v="57"/>
    </i>
    <i r="1">
      <x v="76"/>
    </i>
    <i r="1">
      <x v="18"/>
    </i>
    <i r="1">
      <x v="5"/>
    </i>
    <i r="1">
      <x v="67"/>
    </i>
    <i r="1">
      <x v="58"/>
    </i>
    <i r="1">
      <x v="65"/>
    </i>
    <i r="1">
      <x v="54"/>
    </i>
    <i r="1">
      <x v="9"/>
    </i>
    <i r="1">
      <x v="64"/>
    </i>
    <i r="1">
      <x v="22"/>
    </i>
    <i r="1">
      <x v="39"/>
    </i>
    <i r="1">
      <x v="36"/>
    </i>
    <i r="1">
      <x v="3"/>
    </i>
    <i r="1">
      <x v="1"/>
    </i>
    <i r="1">
      <x v="19"/>
    </i>
    <i r="1">
      <x v="28"/>
    </i>
    <i r="1">
      <x v="37"/>
    </i>
    <i r="1">
      <x v="16"/>
    </i>
    <i r="1">
      <x v="46"/>
    </i>
    <i r="1">
      <x v="20"/>
    </i>
    <i r="1">
      <x v="77"/>
    </i>
    <i r="1">
      <x v="69"/>
    </i>
    <i r="1">
      <x v="21"/>
    </i>
    <i r="1">
      <x v="52"/>
    </i>
    <i r="1">
      <x v="85"/>
    </i>
    <i r="1">
      <x v="11"/>
    </i>
    <i r="1">
      <x v="31"/>
    </i>
    <i r="1">
      <x v="8"/>
    </i>
    <i r="1">
      <x v="7"/>
    </i>
    <i r="1">
      <x v="35"/>
    </i>
    <i r="1">
      <x v="25"/>
    </i>
    <i r="1">
      <x v="34"/>
    </i>
    <i r="1">
      <x v="71"/>
    </i>
    <i r="1">
      <x v="17"/>
    </i>
    <i r="1">
      <x v="2"/>
    </i>
    <i r="1">
      <x v="47"/>
    </i>
    <i r="1">
      <x v="55"/>
    </i>
    <i r="1">
      <x v="74"/>
    </i>
    <i r="1">
      <x v="43"/>
    </i>
    <i r="1">
      <x v="15"/>
    </i>
    <i r="1">
      <x v="38"/>
    </i>
    <i r="1">
      <x v="62"/>
    </i>
    <i r="1">
      <x v="73"/>
    </i>
    <i r="1">
      <x v="66"/>
    </i>
    <i r="1">
      <x v="42"/>
    </i>
    <i r="1">
      <x v="24"/>
    </i>
    <i r="1">
      <x/>
    </i>
    <i r="1">
      <x v="45"/>
    </i>
    <i r="1">
      <x v="27"/>
    </i>
    <i r="1">
      <x v="51"/>
    </i>
    <i r="1">
      <x v="30"/>
    </i>
    <i r="1">
      <x v="87"/>
    </i>
    <i r="1">
      <x v="61"/>
    </i>
    <i>
      <x v="1"/>
    </i>
    <i r="1">
      <x v="171"/>
    </i>
    <i r="1">
      <x v="117"/>
    </i>
    <i r="1">
      <x v="99"/>
    </i>
    <i r="1">
      <x v="114"/>
    </i>
    <i r="1">
      <x v="100"/>
    </i>
    <i r="1">
      <x v="160"/>
    </i>
    <i r="1">
      <x v="128"/>
    </i>
    <i r="1">
      <x v="97"/>
    </i>
    <i r="1">
      <x v="158"/>
    </i>
    <i r="1">
      <x v="90"/>
    </i>
    <i r="1">
      <x v="145"/>
    </i>
    <i r="1">
      <x v="151"/>
    </i>
    <i r="1">
      <x v="143"/>
    </i>
    <i r="1">
      <x v="95"/>
    </i>
    <i r="1">
      <x v="124"/>
    </i>
    <i r="1">
      <x v="108"/>
    </i>
    <i r="1">
      <x v="174"/>
    </i>
    <i r="1">
      <x v="120"/>
    </i>
    <i r="1">
      <x v="172"/>
    </i>
    <i r="1">
      <x v="105"/>
    </i>
    <i r="1">
      <x v="111"/>
    </i>
    <i r="1">
      <x v="116"/>
    </i>
    <i r="1">
      <x v="147"/>
    </i>
    <i r="1">
      <x v="123"/>
    </i>
    <i r="1">
      <x v="137"/>
    </i>
    <i r="1">
      <x v="152"/>
    </i>
    <i r="1">
      <x v="166"/>
    </i>
    <i r="1">
      <x v="125"/>
    </i>
    <i r="1">
      <x v="157"/>
    </i>
    <i r="1">
      <x v="110"/>
    </i>
    <i r="1">
      <x v="118"/>
    </i>
    <i r="1">
      <x v="140"/>
    </i>
    <i r="1">
      <x v="175"/>
    </i>
    <i r="1">
      <x v="139"/>
    </i>
    <i r="1">
      <x v="98"/>
    </i>
    <i r="1">
      <x v="91"/>
    </i>
    <i r="1">
      <x v="104"/>
    </i>
    <i r="1">
      <x v="163"/>
    </i>
    <i r="1">
      <x v="162"/>
    </i>
    <i r="1">
      <x v="94"/>
    </i>
    <i r="1">
      <x v="127"/>
    </i>
    <i r="1">
      <x v="148"/>
    </i>
    <i r="1">
      <x v="121"/>
    </i>
    <i r="1">
      <x v="156"/>
    </i>
    <i r="1">
      <x v="159"/>
    </i>
    <i r="1">
      <x v="165"/>
    </i>
    <i r="1">
      <x v="133"/>
    </i>
    <i r="1">
      <x v="169"/>
    </i>
    <i r="1">
      <x v="149"/>
    </i>
    <i r="1">
      <x v="113"/>
    </i>
    <i r="1">
      <x v="155"/>
    </i>
    <i r="1">
      <x v="132"/>
    </i>
    <i r="1">
      <x v="142"/>
    </i>
    <i r="1">
      <x v="115"/>
    </i>
    <i r="1">
      <x v="119"/>
    </i>
    <i r="1">
      <x v="129"/>
    </i>
    <i r="1">
      <x v="168"/>
    </i>
    <i r="1">
      <x v="138"/>
    </i>
    <i r="1">
      <x v="167"/>
    </i>
    <i r="1">
      <x v="88"/>
    </i>
    <i r="1">
      <x v="176"/>
    </i>
    <i r="1">
      <x v="154"/>
    </i>
    <i r="1">
      <x v="134"/>
    </i>
    <i r="1">
      <x v="103"/>
    </i>
    <i r="1">
      <x v="161"/>
    </i>
    <i r="1">
      <x v="92"/>
    </i>
    <i r="1">
      <x v="102"/>
    </i>
    <i r="1">
      <x v="122"/>
    </i>
    <i r="1">
      <x v="107"/>
    </i>
    <i r="1">
      <x v="112"/>
    </i>
    <i r="1">
      <x v="164"/>
    </i>
    <i r="1">
      <x v="131"/>
    </i>
    <i r="1">
      <x v="153"/>
    </i>
    <i r="1">
      <x v="170"/>
    </i>
    <i r="1">
      <x v="109"/>
    </i>
    <i r="1">
      <x v="144"/>
    </i>
    <i r="1">
      <x v="130"/>
    </i>
    <i r="1">
      <x v="89"/>
    </i>
    <i r="1">
      <x v="93"/>
    </i>
    <i r="1">
      <x v="101"/>
    </i>
    <i r="1">
      <x v="136"/>
    </i>
    <i r="1">
      <x v="146"/>
    </i>
    <i r="1">
      <x v="106"/>
    </i>
    <i r="1">
      <x v="135"/>
    </i>
    <i r="1">
      <x v="141"/>
    </i>
    <i r="1">
      <x v="177"/>
    </i>
    <i r="1">
      <x v="150"/>
    </i>
    <i r="1">
      <x v="126"/>
    </i>
    <i r="1">
      <x v="173"/>
    </i>
    <i r="1">
      <x v="96"/>
    </i>
    <i>
      <x v="2"/>
    </i>
    <i>
      <x v="3"/>
    </i>
    <i>
      <x v="4"/>
    </i>
    <i>
      <x v="5"/>
    </i>
    <i r="1">
      <x v="525"/>
    </i>
    <i r="1">
      <x v="513"/>
    </i>
    <i r="1">
      <x v="474"/>
    </i>
    <i r="1">
      <x v="503"/>
    </i>
    <i r="1">
      <x v="486"/>
    </i>
    <i r="1">
      <x v="479"/>
    </i>
    <i r="1">
      <x v="517"/>
    </i>
    <i r="1">
      <x v="440"/>
    </i>
    <i r="1">
      <x v="495"/>
    </i>
    <i r="1">
      <x v="516"/>
    </i>
    <i r="1">
      <x v="489"/>
    </i>
    <i r="1">
      <x v="446"/>
    </i>
    <i r="1">
      <x v="476"/>
    </i>
    <i r="1">
      <x v="508"/>
    </i>
    <i r="1">
      <x v="456"/>
    </i>
    <i r="1">
      <x v="522"/>
    </i>
    <i r="1">
      <x v="502"/>
    </i>
    <i r="1">
      <x v="505"/>
    </i>
    <i r="1">
      <x v="518"/>
    </i>
    <i r="1">
      <x v="478"/>
    </i>
    <i r="1">
      <x v="448"/>
    </i>
    <i r="1">
      <x v="443"/>
    </i>
    <i r="1">
      <x v="451"/>
    </i>
    <i r="1">
      <x v="473"/>
    </i>
    <i r="1">
      <x v="523"/>
    </i>
    <i r="1">
      <x v="526"/>
    </i>
    <i r="1">
      <x v="501"/>
    </i>
    <i r="1">
      <x v="487"/>
    </i>
    <i r="1">
      <x v="493"/>
    </i>
    <i r="1">
      <x v="460"/>
    </i>
    <i r="1">
      <x v="497"/>
    </i>
    <i r="1">
      <x v="463"/>
    </i>
    <i r="1">
      <x v="524"/>
    </i>
    <i r="1">
      <x v="449"/>
    </i>
    <i r="1">
      <x v="468"/>
    </i>
    <i r="1">
      <x v="507"/>
    </i>
    <i r="1">
      <x v="461"/>
    </i>
    <i r="1">
      <x v="514"/>
    </i>
    <i r="1">
      <x v="521"/>
    </i>
    <i r="1">
      <x v="469"/>
    </i>
    <i r="1">
      <x v="452"/>
    </i>
    <i r="1">
      <x v="500"/>
    </i>
    <i r="1">
      <x v="475"/>
    </i>
    <i r="1">
      <x v="485"/>
    </i>
    <i r="1">
      <x v="511"/>
    </i>
    <i r="1">
      <x v="480"/>
    </i>
    <i r="1">
      <x v="462"/>
    </i>
    <i r="1">
      <x v="512"/>
    </i>
    <i r="1">
      <x v="499"/>
    </i>
    <i r="1">
      <x v="439"/>
    </i>
    <i r="1">
      <x v="464"/>
    </i>
    <i r="1">
      <x v="492"/>
    </i>
    <i r="1">
      <x v="490"/>
    </i>
    <i r="1">
      <x v="444"/>
    </i>
    <i r="1">
      <x v="510"/>
    </i>
    <i r="1">
      <x v="484"/>
    </i>
    <i r="1">
      <x v="481"/>
    </i>
    <i r="1">
      <x v="520"/>
    </i>
    <i r="1">
      <x v="504"/>
    </i>
    <i r="1">
      <x v="459"/>
    </i>
    <i r="1">
      <x v="453"/>
    </i>
    <i r="1">
      <x v="455"/>
    </i>
    <i r="1">
      <x v="498"/>
    </i>
    <i r="1">
      <x v="472"/>
    </i>
    <i r="1">
      <x v="447"/>
    </i>
    <i r="1">
      <x v="488"/>
    </i>
    <i r="1">
      <x v="454"/>
    </i>
    <i r="1">
      <x v="467"/>
    </i>
    <i r="1">
      <x v="483"/>
    </i>
    <i r="1">
      <x v="509"/>
    </i>
    <i r="1">
      <x v="496"/>
    </i>
    <i r="1">
      <x v="494"/>
    </i>
    <i r="1">
      <x v="445"/>
    </i>
    <i r="1">
      <x v="450"/>
    </i>
    <i r="1">
      <x v="457"/>
    </i>
    <i r="1">
      <x v="477"/>
    </i>
    <i r="1">
      <x v="470"/>
    </i>
    <i r="1">
      <x v="491"/>
    </i>
    <i r="1">
      <x v="442"/>
    </i>
    <i r="1">
      <x v="515"/>
    </i>
    <i r="1">
      <x v="471"/>
    </i>
    <i r="1">
      <x v="441"/>
    </i>
    <i r="1">
      <x v="458"/>
    </i>
    <i r="1">
      <x v="466"/>
    </i>
    <i r="1">
      <x v="519"/>
    </i>
    <i r="1">
      <x v="482"/>
    </i>
    <i r="1">
      <x v="506"/>
    </i>
    <i r="1">
      <x v="465"/>
    </i>
    <i>
      <x v="6"/>
    </i>
    <i r="1">
      <x v="536"/>
    </i>
    <i r="1">
      <x v="588"/>
    </i>
    <i r="1">
      <x v="598"/>
    </i>
    <i r="1">
      <x v="544"/>
    </i>
    <i r="1">
      <x v="621"/>
    </i>
    <i r="1">
      <x v="616"/>
    </i>
    <i r="1">
      <x v="542"/>
    </i>
    <i r="1">
      <x v="585"/>
    </i>
    <i r="1">
      <x v="575"/>
    </i>
    <i r="1">
      <x v="583"/>
    </i>
    <i r="1">
      <x v="600"/>
    </i>
    <i r="1">
      <x v="569"/>
    </i>
    <i r="1">
      <x v="534"/>
    </i>
    <i r="1">
      <x v="563"/>
    </i>
    <i r="1">
      <x v="623"/>
    </i>
    <i r="1">
      <x v="552"/>
    </i>
    <i r="1">
      <x v="601"/>
    </i>
    <i r="1">
      <x v="533"/>
    </i>
    <i r="1">
      <x v="548"/>
    </i>
    <i r="1">
      <x v="531"/>
    </i>
    <i r="1">
      <x v="596"/>
    </i>
    <i r="1">
      <x v="549"/>
    </i>
    <i r="1">
      <x v="580"/>
    </i>
    <i r="1">
      <x v="619"/>
    </i>
    <i r="1">
      <x v="538"/>
    </i>
    <i r="1">
      <x v="622"/>
    </i>
    <i r="1">
      <x v="610"/>
    </i>
    <i r="1">
      <x v="540"/>
    </i>
    <i r="1">
      <x v="567"/>
    </i>
    <i r="1">
      <x v="629"/>
    </i>
    <i r="1">
      <x v="624"/>
    </i>
    <i r="1">
      <x v="568"/>
    </i>
    <i r="1">
      <x v="618"/>
    </i>
    <i r="1">
      <x v="578"/>
    </i>
    <i r="1">
      <x v="604"/>
    </i>
    <i r="1">
      <x v="541"/>
    </i>
    <i r="1">
      <x v="553"/>
    </i>
    <i r="1">
      <x v="528"/>
    </i>
    <i r="1">
      <x v="584"/>
    </i>
    <i r="1">
      <x v="573"/>
    </i>
    <i r="1">
      <x v="602"/>
    </i>
    <i r="1">
      <x v="560"/>
    </i>
    <i r="1">
      <x v="594"/>
    </i>
    <i r="1">
      <x v="593"/>
    </i>
    <i r="1">
      <x v="545"/>
    </i>
    <i r="1">
      <x v="554"/>
    </i>
    <i r="1">
      <x v="532"/>
    </i>
    <i r="1">
      <x v="543"/>
    </i>
    <i r="1">
      <x v="565"/>
    </i>
    <i r="1">
      <x v="558"/>
    </i>
    <i r="1">
      <x v="613"/>
    </i>
    <i r="1">
      <x v="535"/>
    </i>
    <i r="1">
      <x v="607"/>
    </i>
    <i r="1">
      <x v="527"/>
    </i>
    <i r="1">
      <x v="625"/>
    </i>
    <i r="1">
      <x v="574"/>
    </i>
    <i r="1">
      <x v="620"/>
    </i>
    <i r="1">
      <x v="617"/>
    </i>
    <i r="1">
      <x v="590"/>
    </i>
    <i r="1">
      <x v="561"/>
    </i>
    <i r="1">
      <x v="591"/>
    </i>
    <i r="1">
      <x v="615"/>
    </i>
    <i r="1">
      <x v="547"/>
    </i>
    <i r="1">
      <x v="586"/>
    </i>
    <i r="1">
      <x v="595"/>
    </i>
    <i r="1">
      <x v="626"/>
    </i>
    <i r="1">
      <x v="599"/>
    </i>
    <i r="1">
      <x v="546"/>
    </i>
    <i r="1">
      <x v="551"/>
    </i>
    <i r="1">
      <x v="537"/>
    </i>
    <i r="1">
      <x v="562"/>
    </i>
    <i r="1">
      <x v="579"/>
    </i>
    <i r="1">
      <x v="566"/>
    </i>
    <i r="1">
      <x v="572"/>
    </i>
    <i r="1">
      <x v="550"/>
    </i>
    <i r="1">
      <x v="557"/>
    </i>
    <i r="1">
      <x v="611"/>
    </i>
    <i r="1">
      <x v="555"/>
    </i>
    <i r="1">
      <x v="571"/>
    </i>
    <i r="1">
      <x v="608"/>
    </i>
    <i r="1">
      <x v="627"/>
    </i>
    <i r="1">
      <x v="570"/>
    </i>
    <i r="1">
      <x v="605"/>
    </i>
    <i r="1">
      <x v="609"/>
    </i>
    <i r="1">
      <x v="603"/>
    </i>
    <i r="1">
      <x v="612"/>
    </i>
    <i r="1">
      <x v="597"/>
    </i>
    <i r="1">
      <x v="581"/>
    </i>
    <i r="1">
      <x v="592"/>
    </i>
    <i r="1">
      <x v="564"/>
    </i>
    <i r="1">
      <x v="529"/>
    </i>
    <i r="1">
      <x v="577"/>
    </i>
    <i r="1">
      <x v="530"/>
    </i>
    <i r="1">
      <x v="539"/>
    </i>
    <i r="1">
      <x v="556"/>
    </i>
    <i r="1">
      <x v="606"/>
    </i>
    <i r="1">
      <x v="559"/>
    </i>
    <i r="1">
      <x v="628"/>
    </i>
    <i r="1">
      <x v="614"/>
    </i>
    <i r="1">
      <x v="589"/>
    </i>
    <i r="1">
      <x v="576"/>
    </i>
    <i r="1">
      <x v="582"/>
    </i>
    <i r="1">
      <x v="587"/>
    </i>
    <i>
      <x v="7"/>
    </i>
    <i r="1">
      <x v="630"/>
    </i>
    <i t="grand">
      <x/>
    </i>
  </rowItems>
  <colItems count="1">
    <i/>
  </colItems>
  <dataFields count="1">
    <dataField name="Sum of GrossRevenue" fld="27" baseField="17" baseItem="0" numFmtId="10">
      <extLst>
        <ext xmlns:x14="http://schemas.microsoft.com/office/spreadsheetml/2009/9/main" uri="{E15A36E0-9728-4e99-A89B-3F7291B0FE68}">
          <x14:dataField pivotShowAs="percentOfRunningTotal"/>
        </ext>
      </extLst>
    </dataField>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C21" firstHeaderRow="0" firstDataRow="1" firstDataCol="1"/>
  <pivotFields count="3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8"/>
        <item x="5"/>
        <item x="0"/>
        <item x="14"/>
        <item x="6"/>
        <item x="9"/>
        <item x="3"/>
        <item x="10"/>
        <item x="2"/>
        <item x="1"/>
        <item x="11"/>
        <item x="4"/>
        <item x="12"/>
        <item x="13"/>
        <item x="7"/>
        <item x="15"/>
        <item x="1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GrossRevenue" fld="27" baseField="15" baseItem="0"/>
    <dataField name="Count of OrderID" fld="0" subtotal="count" baseField="15" baseItem="0"/>
  </dataFields>
  <formats count="8">
    <format dxfId="9">
      <pivotArea collapsedLevelsAreSubtotals="1" fieldPosition="0">
        <references count="2">
          <reference field="4294967294" count="1" selected="0">
            <x v="0"/>
          </reference>
          <reference field="15" count="1">
            <x v="1"/>
          </reference>
        </references>
      </pivotArea>
    </format>
    <format dxfId="8">
      <pivotArea collapsedLevelsAreSubtotals="1" fieldPosition="0">
        <references count="2">
          <reference field="4294967294" count="1" selected="0">
            <x v="0"/>
          </reference>
          <reference field="15" count="1">
            <x v="12"/>
          </reference>
        </references>
      </pivotArea>
    </format>
    <format dxfId="7">
      <pivotArea collapsedLevelsAreSubtotals="1" fieldPosition="0">
        <references count="2">
          <reference field="4294967294" count="1" selected="0">
            <x v="0"/>
          </reference>
          <reference field="15" count="1">
            <x v="10"/>
          </reference>
        </references>
      </pivotArea>
    </format>
    <format dxfId="6">
      <pivotArea collapsedLevelsAreSubtotals="1" fieldPosition="0">
        <references count="2">
          <reference field="4294967294" count="1" selected="0">
            <x v="0"/>
          </reference>
          <reference field="15" count="1">
            <x v="10"/>
          </reference>
        </references>
      </pivotArea>
    </format>
    <format dxfId="5">
      <pivotArea collapsedLevelsAreSubtotals="1" fieldPosition="0">
        <references count="2">
          <reference field="4294967294" count="1" selected="0">
            <x v="0"/>
          </reference>
          <reference field="15" count="1">
            <x v="1"/>
          </reference>
        </references>
      </pivotArea>
    </format>
    <format dxfId="4">
      <pivotArea collapsedLevelsAreSubtotals="1" fieldPosition="0">
        <references count="2">
          <reference field="4294967294" count="1" selected="0">
            <x v="0"/>
          </reference>
          <reference field="15" count="1">
            <x v="15"/>
          </reference>
        </references>
      </pivotArea>
    </format>
    <format dxfId="3">
      <pivotArea collapsedLevelsAreSubtotals="1" fieldPosition="0">
        <references count="2">
          <reference field="4294967294" count="1" selected="0">
            <x v="0"/>
          </reference>
          <reference field="15" count="1">
            <x v="13"/>
          </reference>
        </references>
      </pivotArea>
    </format>
    <format dxfId="2">
      <pivotArea collapsedLevelsAreSubtotals="1" fieldPosition="0">
        <references count="2">
          <reference field="4294967294" count="1" selected="0">
            <x v="0"/>
          </reference>
          <reference field="15"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4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AJ22" firstHeaderRow="1" firstDataRow="2" firstDataCol="1"/>
  <pivotFields count="31">
    <pivotField dataField="1" showAll="0"/>
    <pivotField showAll="0"/>
    <pivotField axis="axisCol"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8"/>
        <item x="5"/>
        <item x="0"/>
        <item x="14"/>
        <item x="6"/>
        <item x="9"/>
        <item x="3"/>
        <item x="10"/>
        <item x="2"/>
        <item x="1"/>
        <item x="11"/>
        <item x="4"/>
        <item x="12"/>
        <item x="13"/>
        <item x="7"/>
        <item x="15"/>
        <item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colItems>
  <dataFields count="1">
    <dataField name="Count of OrderID" fld="0" subtotal="count"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4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C21" firstHeaderRow="0" firstDataRow="1" firstDataCol="1"/>
  <pivotFields count="3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8"/>
        <item x="5"/>
        <item x="0"/>
        <item x="14"/>
        <item x="6"/>
        <item x="9"/>
        <item x="3"/>
        <item x="10"/>
        <item x="2"/>
        <item x="1"/>
        <item x="11"/>
        <item x="4"/>
        <item x="12"/>
        <item x="13"/>
        <item x="7"/>
        <item x="15"/>
        <item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GrossProfit" fld="29" baseField="15" baseItem="0"/>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4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I10" firstHeaderRow="1" firstDataRow="2" firstDataCol="1"/>
  <pivotFields count="31">
    <pivotField showAll="0"/>
    <pivotField showAll="0"/>
    <pivotField showAll="0"/>
    <pivotField showAll="0"/>
    <pivotField showAll="0"/>
    <pivotField showAll="0"/>
    <pivotField showAll="0"/>
    <pivotField showAll="0"/>
    <pivotField axis="axisRow" showAll="0">
      <items count="6">
        <item x="0"/>
        <item x="2"/>
        <item x="1"/>
        <item x="3"/>
        <item x="4"/>
        <item t="default"/>
      </items>
    </pivotField>
    <pivotField showAll="0"/>
    <pivotField showAll="0"/>
    <pivotField showAll="0"/>
    <pivotField showAll="0"/>
    <pivotField showAll="0"/>
    <pivotField axis="axisCol" showAll="0">
      <items count="8">
        <item x="4"/>
        <item x="3"/>
        <item x="2"/>
        <item x="1"/>
        <item x="0"/>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8"/>
  </rowFields>
  <rowItems count="6">
    <i>
      <x/>
    </i>
    <i>
      <x v="1"/>
    </i>
    <i>
      <x v="2"/>
    </i>
    <i>
      <x v="3"/>
    </i>
    <i>
      <x v="4"/>
    </i>
    <i t="grand">
      <x/>
    </i>
  </rowItems>
  <colFields count="1">
    <field x="14"/>
  </colFields>
  <colItems count="8">
    <i>
      <x/>
    </i>
    <i>
      <x v="1"/>
    </i>
    <i>
      <x v="2"/>
    </i>
    <i>
      <x v="3"/>
    </i>
    <i>
      <x v="4"/>
    </i>
    <i>
      <x v="5"/>
    </i>
    <i>
      <x v="6"/>
    </i>
    <i t="grand">
      <x/>
    </i>
  </colItems>
  <dataFields count="1">
    <dataField name="Sum of GrossRevenue" fld="27" baseField="8" baseItem="0"/>
  </dataFields>
  <chartFormats count="13">
    <chartFormat chart="0" format="0" series="1">
      <pivotArea type="data" outline="0" fieldPosition="0">
        <references count="1">
          <reference field="14" count="1" selected="0">
            <x v="0"/>
          </reference>
        </references>
      </pivotArea>
    </chartFormat>
    <chartFormat chart="0" format="1" series="1">
      <pivotArea type="data" outline="0" fieldPosition="0">
        <references count="1">
          <reference field="14" count="1" selected="0">
            <x v="1"/>
          </reference>
        </references>
      </pivotArea>
    </chartFormat>
    <chartFormat chart="0" format="2" series="1">
      <pivotArea type="data" outline="0" fieldPosition="0">
        <references count="1">
          <reference field="14" count="1" selected="0">
            <x v="2"/>
          </reference>
        </references>
      </pivotArea>
    </chartFormat>
    <chartFormat chart="0" format="3" series="1">
      <pivotArea type="data" outline="0" fieldPosition="0">
        <references count="1">
          <reference field="14" count="1" selected="0">
            <x v="3"/>
          </reference>
        </references>
      </pivotArea>
    </chartFormat>
    <chartFormat chart="0" format="4" series="1">
      <pivotArea type="data" outline="0" fieldPosition="0">
        <references count="1">
          <reference field="14" count="1" selected="0">
            <x v="4"/>
          </reference>
        </references>
      </pivotArea>
    </chartFormat>
    <chartFormat chart="0" format="5" series="1">
      <pivotArea type="data" outline="0" fieldPosition="0">
        <references count="1">
          <reference field="14" count="1" selected="0">
            <x v="5"/>
          </reference>
        </references>
      </pivotArea>
    </chartFormat>
    <chartFormat chart="0" format="6" series="1">
      <pivotArea type="data" outline="0" fieldPosition="0">
        <references count="1">
          <reference field="14" count="1" selected="0">
            <x v="6"/>
          </reference>
        </references>
      </pivotArea>
    </chartFormat>
    <chartFormat chart="0" format="7" series="1">
      <pivotArea type="data" outline="0" fieldPosition="0">
        <references count="2">
          <reference field="4294967294" count="1" selected="0">
            <x v="0"/>
          </reference>
          <reference field="14" count="1" selected="0">
            <x v="1"/>
          </reference>
        </references>
      </pivotArea>
    </chartFormat>
    <chartFormat chart="0" format="8" series="1">
      <pivotArea type="data" outline="0" fieldPosition="0">
        <references count="2">
          <reference field="4294967294" count="1" selected="0">
            <x v="0"/>
          </reference>
          <reference field="14" count="1" selected="0">
            <x v="2"/>
          </reference>
        </references>
      </pivotArea>
    </chartFormat>
    <chartFormat chart="0" format="9" series="1">
      <pivotArea type="data" outline="0" fieldPosition="0">
        <references count="2">
          <reference field="4294967294" count="1" selected="0">
            <x v="0"/>
          </reference>
          <reference field="14" count="1" selected="0">
            <x v="3"/>
          </reference>
        </references>
      </pivotArea>
    </chartFormat>
    <chartFormat chart="0" format="10" series="1">
      <pivotArea type="data" outline="0" fieldPosition="0">
        <references count="2">
          <reference field="4294967294" count="1" selected="0">
            <x v="0"/>
          </reference>
          <reference field="14" count="1" selected="0">
            <x v="4"/>
          </reference>
        </references>
      </pivotArea>
    </chartFormat>
    <chartFormat chart="0" format="11" series="1">
      <pivotArea type="data" outline="0" fieldPosition="0">
        <references count="2">
          <reference field="4294967294" count="1" selected="0">
            <x v="0"/>
          </reference>
          <reference field="14" count="1" selected="0">
            <x v="5"/>
          </reference>
        </references>
      </pivotArea>
    </chartFormat>
    <chartFormat chart="0" format="12" series="1">
      <pivotArea type="data" outline="0" fieldPosition="0">
        <references count="2">
          <reference field="4294967294" count="1" selected="0">
            <x v="0"/>
          </reference>
          <reference field="1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4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C102" firstHeaderRow="0" firstDataRow="1" firstDataCol="1"/>
  <pivotFields count="32">
    <pivotField dataField="1" showAll="0">
      <items count="633">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x="631"/>
        <item t="default"/>
      </items>
    </pivotField>
    <pivotField showAll="0"/>
    <pivotField showAll="0"/>
    <pivotField showAll="0"/>
    <pivotField showAll="0"/>
    <pivotField showAll="0"/>
    <pivotField showAll="0"/>
    <pivotField showAll="0"/>
    <pivotField showAll="0"/>
    <pivotField showAll="0"/>
    <pivotField showAll="0"/>
    <pivotField axis="axisRow" showAll="0">
      <items count="14">
        <item x="5"/>
        <item x="3"/>
        <item x="9"/>
        <item x="7"/>
        <item x="6"/>
        <item x="4"/>
        <item x="2"/>
        <item x="0"/>
        <item x="1"/>
        <item x="11"/>
        <item x="8"/>
        <item x="10"/>
        <item x="12"/>
        <item t="default"/>
      </items>
    </pivotField>
    <pivotField showAll="0"/>
    <pivotField showAll="0"/>
    <pivotField showAll="0"/>
    <pivotField showAll="0"/>
    <pivotField axis="axisRow"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11"/>
    <field x="16"/>
  </rowFields>
  <rowItems count="99">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x v="5"/>
    </i>
    <i r="1">
      <x/>
    </i>
    <i r="1">
      <x v="1"/>
    </i>
    <i r="1">
      <x v="2"/>
    </i>
    <i r="1">
      <x v="3"/>
    </i>
    <i r="1">
      <x v="4"/>
    </i>
    <i r="1">
      <x v="5"/>
    </i>
    <i r="1">
      <x v="6"/>
    </i>
    <i>
      <x v="6"/>
    </i>
    <i r="1">
      <x/>
    </i>
    <i r="1">
      <x v="1"/>
    </i>
    <i r="1">
      <x v="2"/>
    </i>
    <i r="1">
      <x v="3"/>
    </i>
    <i r="1">
      <x v="4"/>
    </i>
    <i r="1">
      <x v="5"/>
    </i>
    <i r="1">
      <x v="6"/>
    </i>
    <i>
      <x v="7"/>
    </i>
    <i r="1">
      <x/>
    </i>
    <i r="1">
      <x v="1"/>
    </i>
    <i r="1">
      <x v="2"/>
    </i>
    <i r="1">
      <x v="3"/>
    </i>
    <i r="1">
      <x v="4"/>
    </i>
    <i r="1">
      <x v="5"/>
    </i>
    <i r="1">
      <x v="6"/>
    </i>
    <i>
      <x v="8"/>
    </i>
    <i r="1">
      <x/>
    </i>
    <i r="1">
      <x v="1"/>
    </i>
    <i r="1">
      <x v="2"/>
    </i>
    <i r="1">
      <x v="3"/>
    </i>
    <i r="1">
      <x v="4"/>
    </i>
    <i r="1">
      <x v="5"/>
    </i>
    <i r="1">
      <x v="6"/>
    </i>
    <i>
      <x v="9"/>
    </i>
    <i r="1">
      <x/>
    </i>
    <i r="1">
      <x v="1"/>
    </i>
    <i r="1">
      <x v="2"/>
    </i>
    <i r="1">
      <x v="3"/>
    </i>
    <i r="1">
      <x v="4"/>
    </i>
    <i r="1">
      <x v="5"/>
    </i>
    <i r="1">
      <x v="6"/>
    </i>
    <i>
      <x v="10"/>
    </i>
    <i r="1">
      <x/>
    </i>
    <i r="1">
      <x v="1"/>
    </i>
    <i r="1">
      <x v="2"/>
    </i>
    <i r="1">
      <x v="3"/>
    </i>
    <i r="1">
      <x v="4"/>
    </i>
    <i r="1">
      <x v="5"/>
    </i>
    <i r="1">
      <x v="6"/>
    </i>
    <i>
      <x v="11"/>
    </i>
    <i r="1">
      <x/>
    </i>
    <i r="1">
      <x v="1"/>
    </i>
    <i r="1">
      <x v="2"/>
    </i>
    <i r="1">
      <x v="3"/>
    </i>
    <i r="1">
      <x v="4"/>
    </i>
    <i r="1">
      <x v="5"/>
    </i>
    <i r="1">
      <x v="6"/>
    </i>
    <i>
      <x v="12"/>
    </i>
    <i r="1">
      <x v="7"/>
    </i>
    <i t="grand">
      <x/>
    </i>
  </rowItems>
  <colFields count="1">
    <field x="-2"/>
  </colFields>
  <colItems count="2">
    <i>
      <x/>
    </i>
    <i i="1">
      <x v="1"/>
    </i>
  </colItems>
  <dataFields count="2">
    <dataField name="Count of OnTime_7Days" fld="31" subtotal="count" baseField="11" baseItem="0"/>
    <dataField name="Count of Ord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48"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B74" firstHeaderRow="1" firstDataRow="1" firstDataCol="1"/>
  <pivotFields count="33">
    <pivotField showAll="0"/>
    <pivotField showAll="0"/>
    <pivotField showAll="0"/>
    <pivotField showAll="0"/>
    <pivotField showAll="0"/>
    <pivotField showAll="0"/>
    <pivotField showAll="0"/>
    <pivotField showAll="0"/>
    <pivotField axis="axisRow" showAll="0" sortType="de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Row" showAll="0" sortType="descending">
      <items count="18">
        <item x="8"/>
        <item x="5"/>
        <item x="0"/>
        <item x="14"/>
        <item x="6"/>
        <item x="9"/>
        <item x="3"/>
        <item x="10"/>
        <item x="2"/>
        <item x="1"/>
        <item x="11"/>
        <item x="4"/>
        <item x="12"/>
        <item x="13"/>
        <item x="7"/>
        <item x="15"/>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8"/>
    <field x="15"/>
  </rowFields>
  <rowItems count="71">
    <i>
      <x v="1"/>
    </i>
    <i r="1">
      <x v="3"/>
    </i>
    <i r="1">
      <x/>
    </i>
    <i r="1">
      <x v="8"/>
    </i>
    <i r="1">
      <x v="15"/>
    </i>
    <i r="1">
      <x v="11"/>
    </i>
    <i r="1">
      <x v="12"/>
    </i>
    <i r="1">
      <x v="13"/>
    </i>
    <i r="1">
      <x v="2"/>
    </i>
    <i r="1">
      <x v="6"/>
    </i>
    <i r="1">
      <x v="1"/>
    </i>
    <i r="1">
      <x v="10"/>
    </i>
    <i r="1">
      <x v="5"/>
    </i>
    <i r="1">
      <x v="9"/>
    </i>
    <i r="1">
      <x v="14"/>
    </i>
    <i r="1">
      <x v="4"/>
    </i>
    <i r="1">
      <x v="7"/>
    </i>
    <i>
      <x/>
    </i>
    <i r="1">
      <x v="15"/>
    </i>
    <i r="1">
      <x v="12"/>
    </i>
    <i r="1">
      <x v="8"/>
    </i>
    <i r="1">
      <x v="9"/>
    </i>
    <i r="1">
      <x v="2"/>
    </i>
    <i r="1">
      <x v="3"/>
    </i>
    <i r="1">
      <x v="11"/>
    </i>
    <i r="1">
      <x v="4"/>
    </i>
    <i r="1">
      <x/>
    </i>
    <i r="1">
      <x v="7"/>
    </i>
    <i r="1">
      <x v="13"/>
    </i>
    <i r="1">
      <x v="6"/>
    </i>
    <i r="1">
      <x v="14"/>
    </i>
    <i r="1">
      <x v="1"/>
    </i>
    <i r="1">
      <x v="10"/>
    </i>
    <i r="1">
      <x v="5"/>
    </i>
    <i>
      <x v="2"/>
    </i>
    <i r="1">
      <x v="14"/>
    </i>
    <i r="1">
      <x v="2"/>
    </i>
    <i r="1">
      <x v="5"/>
    </i>
    <i r="1">
      <x v="11"/>
    </i>
    <i r="1">
      <x v="10"/>
    </i>
    <i r="1">
      <x v="8"/>
    </i>
    <i r="1">
      <x v="7"/>
    </i>
    <i r="1">
      <x v="1"/>
    </i>
    <i r="1">
      <x v="3"/>
    </i>
    <i r="1">
      <x v="9"/>
    </i>
    <i r="1">
      <x v="13"/>
    </i>
    <i r="1">
      <x v="6"/>
    </i>
    <i r="1">
      <x v="4"/>
    </i>
    <i r="1">
      <x v="12"/>
    </i>
    <i r="1">
      <x v="15"/>
    </i>
    <i r="1">
      <x/>
    </i>
    <i>
      <x v="3"/>
    </i>
    <i r="1">
      <x v="13"/>
    </i>
    <i r="1">
      <x v="2"/>
    </i>
    <i r="1">
      <x v="10"/>
    </i>
    <i r="1">
      <x v="1"/>
    </i>
    <i r="1">
      <x v="8"/>
    </i>
    <i r="1">
      <x v="4"/>
    </i>
    <i r="1">
      <x v="6"/>
    </i>
    <i r="1">
      <x v="9"/>
    </i>
    <i r="1">
      <x v="12"/>
    </i>
    <i r="1">
      <x/>
    </i>
    <i r="1">
      <x v="3"/>
    </i>
    <i r="1">
      <x v="7"/>
    </i>
    <i r="1">
      <x v="15"/>
    </i>
    <i r="1">
      <x v="14"/>
    </i>
    <i r="1">
      <x v="5"/>
    </i>
    <i r="1">
      <x v="11"/>
    </i>
    <i>
      <x v="4"/>
    </i>
    <i r="1">
      <x v="16"/>
    </i>
    <i t="grand">
      <x/>
    </i>
  </rowItems>
  <colItems count="1">
    <i/>
  </colItems>
  <dataFields count="1">
    <dataField name="Average of HighDiscount" fld="32" subtotal="average" baseField="8" baseItem="0" numFmtId="10"/>
  </dataFields>
  <formats count="2">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49"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B38" firstHeaderRow="1" firstDataRow="1" firstDataCol="1"/>
  <pivotFields count="33">
    <pivotField dataField="1" showAll="0"/>
    <pivotField showAll="0"/>
    <pivotField axis="axisRow"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Count of Order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1"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3:B5" firstHeaderRow="1" firstDataRow="1" firstDataCol="1"/>
  <pivotFields count="33">
    <pivotField showAll="0"/>
    <pivotField showAll="0"/>
    <pivotField axis="axisRow" showAll="0">
      <items count="35">
        <item h="1" x="12"/>
        <item h="1" x="20"/>
        <item h="1" x="19"/>
        <item h="1" x="25"/>
        <item h="1" x="21"/>
        <item h="1" x="28"/>
        <item h="1" x="4"/>
        <item h="1" x="6"/>
        <item h="1" x="2"/>
        <item h="1" x="31"/>
        <item h="1" x="26"/>
        <item h="1" x="5"/>
        <item h="1" x="9"/>
        <item h="1" x="10"/>
        <item h="1" x="24"/>
        <item h="1" x="14"/>
        <item h="1" x="13"/>
        <item h="1" x="23"/>
        <item h="1" x="17"/>
        <item h="1" x="16"/>
        <item h="1" x="22"/>
        <item h="1" x="0"/>
        <item h="1" x="3"/>
        <item h="1" x="15"/>
        <item h="1" x="7"/>
        <item h="1" x="8"/>
        <item h="1" x="30"/>
        <item h="1" x="18"/>
        <item h="1" x="32"/>
        <item h="1" x="1"/>
        <item h="1" x="27"/>
        <item x="29"/>
        <item h="1" x="11"/>
        <item h="1" x="33"/>
        <item t="default"/>
      </items>
    </pivotField>
    <pivotField showAll="0"/>
    <pivotField showAll="0"/>
    <pivotField showAll="0"/>
    <pivotField showAll="0"/>
    <pivotField showAll="0"/>
    <pivotField showAll="0">
      <items count="6">
        <item x="0"/>
        <item x="2"/>
        <item x="1"/>
        <item x="3"/>
        <item x="4"/>
        <item t="default"/>
      </items>
    </pivotField>
    <pivotField showAll="0"/>
    <pivotField showAll="0"/>
    <pivotField showAll="0">
      <items count="14">
        <item x="5"/>
        <item x="3"/>
        <item x="9"/>
        <item x="7"/>
        <item x="6"/>
        <item x="4"/>
        <item x="2"/>
        <item x="0"/>
        <item x="1"/>
        <item x="11"/>
        <item x="8"/>
        <item x="10"/>
        <item x="12"/>
        <item t="default"/>
      </items>
    </pivotField>
    <pivotField showAll="0"/>
    <pivotField showAll="0"/>
    <pivotField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dataField="1" showAll="0">
      <items count="634">
        <item x="180"/>
        <item x="112"/>
        <item x="298"/>
        <item x="286"/>
        <item x="172"/>
        <item x="493"/>
        <item x="96"/>
        <item x="54"/>
        <item x="631"/>
        <item x="177"/>
        <item x="586"/>
        <item x="389"/>
        <item x="575"/>
        <item x="106"/>
        <item x="83"/>
        <item x="532"/>
        <item x="109"/>
        <item x="263"/>
        <item x="119"/>
        <item x="51"/>
        <item x="247"/>
        <item x="531"/>
        <item x="89"/>
        <item x="230"/>
        <item x="282"/>
        <item x="7"/>
        <item x="323"/>
        <item x="418"/>
        <item x="243"/>
        <item x="116"/>
        <item x="572"/>
        <item x="127"/>
        <item x="519"/>
        <item x="311"/>
        <item x="221"/>
        <item x="461"/>
        <item x="476"/>
        <item x="517"/>
        <item x="620"/>
        <item x="602"/>
        <item x="291"/>
        <item x="341"/>
        <item x="354"/>
        <item x="139"/>
        <item x="114"/>
        <item x="490"/>
        <item x="305"/>
        <item x="87"/>
        <item x="108"/>
        <item x="460"/>
        <item x="26"/>
        <item x="211"/>
        <item x="582"/>
        <item x="464"/>
        <item x="551"/>
        <item x="463"/>
        <item x="445"/>
        <item x="434"/>
        <item x="174"/>
        <item x="412"/>
        <item x="124"/>
        <item x="609"/>
        <item x="113"/>
        <item x="526"/>
        <item x="347"/>
        <item x="217"/>
        <item x="169"/>
        <item x="621"/>
        <item x="326"/>
        <item x="257"/>
        <item x="53"/>
        <item x="391"/>
        <item x="330"/>
        <item x="432"/>
        <item x="128"/>
        <item x="466"/>
        <item x="608"/>
        <item x="439"/>
        <item x="232"/>
        <item x="6"/>
        <item x="245"/>
        <item x="318"/>
        <item x="338"/>
        <item x="597"/>
        <item x="344"/>
        <item x="297"/>
        <item x="540"/>
        <item x="570"/>
        <item x="133"/>
        <item x="511"/>
        <item x="39"/>
        <item x="146"/>
        <item x="248"/>
        <item x="307"/>
        <item x="327"/>
        <item x="239"/>
        <item x="584"/>
        <item x="28"/>
        <item x="508"/>
        <item x="194"/>
        <item x="285"/>
        <item x="27"/>
        <item x="488"/>
        <item x="462"/>
        <item x="358"/>
        <item x="373"/>
        <item x="350"/>
        <item x="370"/>
        <item x="152"/>
        <item x="5"/>
        <item x="477"/>
        <item x="565"/>
        <item x="296"/>
        <item x="579"/>
        <item x="137"/>
        <item x="258"/>
        <item x="193"/>
        <item x="598"/>
        <item x="131"/>
        <item x="179"/>
        <item x="240"/>
        <item x="222"/>
        <item x="369"/>
        <item x="59"/>
        <item x="571"/>
        <item x="201"/>
        <item x="408"/>
        <item x="495"/>
        <item x="74"/>
        <item x="543"/>
        <item x="481"/>
        <item x="57"/>
        <item x="361"/>
        <item x="546"/>
        <item x="186"/>
        <item x="334"/>
        <item x="0"/>
        <item x="79"/>
        <item x="12"/>
        <item x="314"/>
        <item x="627"/>
        <item x="483"/>
        <item x="486"/>
        <item x="513"/>
        <item x="3"/>
        <item x="403"/>
        <item x="233"/>
        <item x="410"/>
        <item x="98"/>
        <item x="82"/>
        <item x="308"/>
        <item x="604"/>
        <item x="94"/>
        <item x="227"/>
        <item x="436"/>
        <item x="447"/>
        <item x="333"/>
        <item x="161"/>
        <item x="593"/>
        <item x="118"/>
        <item x="52"/>
        <item x="231"/>
        <item x="304"/>
        <item x="443"/>
        <item x="103"/>
        <item x="599"/>
        <item x="485"/>
        <item x="277"/>
        <item x="581"/>
        <item x="101"/>
        <item x="71"/>
        <item x="524"/>
        <item x="254"/>
        <item x="218"/>
        <item x="378"/>
        <item x="35"/>
        <item x="491"/>
        <item x="328"/>
        <item x="238"/>
        <item x="206"/>
        <item x="578"/>
        <item x="561"/>
        <item x="168"/>
        <item x="75"/>
        <item x="411"/>
        <item x="268"/>
        <item x="212"/>
        <item x="605"/>
        <item x="15"/>
        <item x="178"/>
        <item x="332"/>
        <item x="271"/>
        <item x="46"/>
        <item x="580"/>
        <item x="156"/>
        <item x="270"/>
        <item x="363"/>
        <item x="437"/>
        <item x="293"/>
        <item x="520"/>
        <item x="501"/>
        <item x="229"/>
        <item x="601"/>
        <item x="321"/>
        <item x="492"/>
        <item x="259"/>
        <item x="14"/>
        <item x="458"/>
        <item x="269"/>
        <item x="182"/>
        <item x="130"/>
        <item x="216"/>
        <item x="536"/>
        <item x="404"/>
        <item x="214"/>
        <item x="457"/>
        <item x="150"/>
        <item x="417"/>
        <item x="303"/>
        <item x="596"/>
        <item x="162"/>
        <item x="262"/>
        <item x="141"/>
        <item x="509"/>
        <item x="90"/>
        <item x="525"/>
        <item x="473"/>
        <item x="132"/>
        <item x="198"/>
        <item x="594"/>
        <item x="563"/>
        <item x="275"/>
        <item x="189"/>
        <item x="25"/>
        <item x="503"/>
        <item x="498"/>
        <item x="68"/>
        <item x="183"/>
        <item x="191"/>
        <item x="331"/>
        <item x="315"/>
        <item x="294"/>
        <item x="279"/>
        <item x="155"/>
        <item x="125"/>
        <item x="171"/>
        <item x="69"/>
        <item x="343"/>
        <item x="590"/>
        <item x="316"/>
        <item x="510"/>
        <item x="612"/>
        <item x="530"/>
        <item x="73"/>
        <item x="419"/>
        <item x="386"/>
        <item x="489"/>
        <item x="32"/>
        <item x="241"/>
        <item x="136"/>
        <item x="446"/>
        <item x="246"/>
        <item x="30"/>
        <item x="518"/>
        <item x="325"/>
        <item x="309"/>
        <item x="301"/>
        <item x="143"/>
        <item x="421"/>
        <item x="92"/>
        <item x="564"/>
        <item x="504"/>
        <item x="610"/>
        <item x="11"/>
        <item x="158"/>
        <item x="185"/>
        <item x="470"/>
        <item x="78"/>
        <item x="289"/>
        <item x="615"/>
        <item x="558"/>
        <item x="41"/>
        <item x="70"/>
        <item x="43"/>
        <item x="623"/>
        <item x="616"/>
        <item x="545"/>
        <item x="123"/>
        <item x="515"/>
        <item x="502"/>
        <item x="416"/>
        <item x="22"/>
        <item x="549"/>
        <item x="62"/>
        <item x="4"/>
        <item x="154"/>
        <item x="312"/>
        <item x="393"/>
        <item x="197"/>
        <item x="380"/>
        <item x="527"/>
        <item x="274"/>
        <item x="283"/>
        <item x="591"/>
        <item x="249"/>
        <item x="88"/>
        <item x="164"/>
        <item x="494"/>
        <item x="533"/>
        <item x="453"/>
        <item x="37"/>
        <item x="134"/>
        <item x="589"/>
        <item x="105"/>
        <item x="576"/>
        <item x="65"/>
        <item x="250"/>
        <item x="163"/>
        <item x="349"/>
        <item x="244"/>
        <item x="449"/>
        <item x="104"/>
        <item x="167"/>
        <item x="450"/>
        <item x="265"/>
        <item x="441"/>
        <item x="299"/>
        <item x="364"/>
        <item x="630"/>
        <item x="381"/>
        <item x="145"/>
        <item x="430"/>
        <item x="433"/>
        <item x="399"/>
        <item x="559"/>
        <item x="85"/>
        <item x="398"/>
        <item x="33"/>
        <item x="560"/>
        <item x="147"/>
        <item x="281"/>
        <item x="405"/>
        <item x="428"/>
        <item x="220"/>
        <item x="345"/>
        <item x="102"/>
        <item x="368"/>
        <item x="606"/>
        <item x="577"/>
        <item x="626"/>
        <item x="388"/>
        <item x="544"/>
        <item x="86"/>
        <item x="467"/>
        <item x="234"/>
        <item x="67"/>
        <item x="395"/>
        <item x="166"/>
        <item x="574"/>
        <item x="420"/>
        <item x="170"/>
        <item x="8"/>
        <item x="455"/>
        <item x="359"/>
        <item x="148"/>
        <item x="50"/>
        <item x="595"/>
        <item x="200"/>
        <item x="38"/>
        <item x="2"/>
        <item x="535"/>
        <item x="215"/>
        <item x="384"/>
        <item x="507"/>
        <item x="377"/>
        <item x="425"/>
        <item x="472"/>
        <item x="224"/>
        <item x="284"/>
        <item x="547"/>
        <item x="176"/>
        <item x="208"/>
        <item x="554"/>
        <item x="10"/>
        <item x="66"/>
        <item x="122"/>
        <item x="129"/>
        <item x="523"/>
        <item x="413"/>
        <item x="390"/>
        <item x="335"/>
        <item x="469"/>
        <item x="317"/>
        <item x="351"/>
        <item x="499"/>
        <item x="228"/>
        <item x="371"/>
        <item x="402"/>
        <item x="235"/>
        <item x="401"/>
        <item x="280"/>
        <item x="251"/>
        <item x="566"/>
        <item x="267"/>
        <item x="252"/>
        <item x="400"/>
        <item x="209"/>
        <item x="44"/>
        <item x="1"/>
        <item x="261"/>
        <item x="611"/>
        <item x="210"/>
        <item x="81"/>
        <item x="415"/>
        <item x="614"/>
        <item x="367"/>
        <item x="397"/>
        <item x="552"/>
        <item x="36"/>
        <item x="290"/>
        <item x="256"/>
        <item x="573"/>
        <item x="474"/>
        <item x="91"/>
        <item x="190"/>
        <item x="366"/>
        <item x="541"/>
        <item x="451"/>
        <item x="387"/>
        <item x="394"/>
        <item x="21"/>
        <item x="287"/>
        <item x="427"/>
        <item x="342"/>
        <item x="93"/>
        <item x="29"/>
        <item x="553"/>
        <item x="72"/>
        <item x="23"/>
        <item x="500"/>
        <item x="538"/>
        <item x="295"/>
        <item x="440"/>
        <item x="456"/>
        <item x="84"/>
        <item x="407"/>
        <item x="151"/>
        <item x="225"/>
        <item x="365"/>
        <item x="13"/>
        <item x="444"/>
        <item x="196"/>
        <item x="484"/>
        <item x="160"/>
        <item x="385"/>
        <item x="516"/>
        <item x="320"/>
        <item x="406"/>
        <item x="522"/>
        <item x="479"/>
        <item x="585"/>
        <item x="260"/>
        <item x="121"/>
        <item x="454"/>
        <item x="355"/>
        <item x="292"/>
        <item x="409"/>
        <item x="107"/>
        <item x="452"/>
        <item x="20"/>
        <item x="157"/>
        <item x="255"/>
        <item x="213"/>
        <item x="438"/>
        <item x="459"/>
        <item x="192"/>
        <item x="115"/>
        <item x="24"/>
        <item x="568"/>
        <item x="587"/>
        <item x="618"/>
        <item x="497"/>
        <item x="468"/>
        <item x="202"/>
        <item x="253"/>
        <item x="99"/>
        <item x="204"/>
        <item x="300"/>
        <item x="144"/>
        <item x="16"/>
        <item x="324"/>
        <item x="339"/>
        <item x="205"/>
        <item x="31"/>
        <item x="64"/>
        <item x="184"/>
        <item x="352"/>
        <item x="187"/>
        <item x="288"/>
        <item x="348"/>
        <item x="475"/>
        <item x="435"/>
        <item x="34"/>
        <item x="135"/>
        <item x="340"/>
        <item x="110"/>
        <item x="61"/>
        <item x="329"/>
        <item x="188"/>
        <item x="219"/>
        <item x="336"/>
        <item x="207"/>
        <item x="487"/>
        <item x="607"/>
        <item x="159"/>
        <item x="273"/>
        <item x="423"/>
        <item x="153"/>
        <item x="56"/>
        <item x="550"/>
        <item x="111"/>
        <item x="617"/>
        <item x="622"/>
        <item x="426"/>
        <item x="226"/>
        <item x="542"/>
        <item x="496"/>
        <item x="310"/>
        <item x="374"/>
        <item x="195"/>
        <item x="42"/>
        <item x="442"/>
        <item x="414"/>
        <item x="173"/>
        <item x="55"/>
        <item x="548"/>
        <item x="142"/>
        <item x="372"/>
        <item x="505"/>
        <item x="45"/>
        <item x="625"/>
        <item x="628"/>
        <item x="77"/>
        <item x="562"/>
        <item x="379"/>
        <item x="514"/>
        <item x="529"/>
        <item x="555"/>
        <item x="60"/>
        <item x="600"/>
        <item x="242"/>
        <item x="97"/>
        <item x="569"/>
        <item x="49"/>
        <item x="272"/>
        <item x="506"/>
        <item x="353"/>
        <item x="278"/>
        <item x="360"/>
        <item x="17"/>
        <item x="76"/>
        <item x="138"/>
        <item x="48"/>
        <item x="482"/>
        <item x="471"/>
        <item x="236"/>
        <item x="382"/>
        <item x="18"/>
        <item x="375"/>
        <item x="337"/>
        <item x="266"/>
        <item x="19"/>
        <item x="120"/>
        <item x="322"/>
        <item x="302"/>
        <item x="603"/>
        <item x="264"/>
        <item x="313"/>
        <item x="629"/>
        <item x="480"/>
        <item x="583"/>
        <item x="40"/>
        <item x="429"/>
        <item x="181"/>
        <item x="619"/>
        <item x="478"/>
        <item x="534"/>
        <item x="149"/>
        <item x="306"/>
        <item x="95"/>
        <item x="376"/>
        <item x="356"/>
        <item x="567"/>
        <item x="448"/>
        <item x="556"/>
        <item x="383"/>
        <item x="203"/>
        <item x="357"/>
        <item x="624"/>
        <item x="512"/>
        <item x="557"/>
        <item x="537"/>
        <item x="592"/>
        <item x="392"/>
        <item x="100"/>
        <item x="319"/>
        <item x="199"/>
        <item x="396"/>
        <item x="431"/>
        <item x="424"/>
        <item x="528"/>
        <item x="80"/>
        <item x="9"/>
        <item x="521"/>
        <item x="58"/>
        <item x="126"/>
        <item x="117"/>
        <item x="539"/>
        <item x="223"/>
        <item x="588"/>
        <item x="63"/>
        <item x="346"/>
        <item x="276"/>
        <item x="613"/>
        <item x="362"/>
        <item x="465"/>
        <item x="165"/>
        <item x="140"/>
        <item x="175"/>
        <item x="422"/>
        <item x="47"/>
        <item x="237"/>
        <item x="632"/>
        <item t="default"/>
      </items>
    </pivotField>
    <pivotField showAll="0"/>
    <pivotField showAll="0"/>
    <pivotField showAll="0"/>
    <pivotField showAll="0"/>
    <pivotField showAll="0"/>
  </pivotFields>
  <rowFields count="1">
    <field x="2"/>
  </rowFields>
  <rowItems count="2">
    <i>
      <x v="31"/>
    </i>
    <i t="grand">
      <x/>
    </i>
  </rowItems>
  <colItems count="1">
    <i/>
  </colItems>
  <dataFields count="1">
    <dataField name="Sum of GrossRevenue" fld="27" baseField="2" baseItem="0"/>
  </dataFields>
  <chartFormats count="2">
    <chartFormat chart="0" format="0" series="1">
      <pivotArea type="data" outline="0" fieldPosition="0"/>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2"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A3:B5" firstHeaderRow="1" firstDataRow="1" firstDataCol="1"/>
  <pivotFields count="33">
    <pivotField showAll="0"/>
    <pivotField showAll="0"/>
    <pivotField axis="axisRow" showAll="0">
      <items count="35">
        <item h="1" x="12"/>
        <item h="1" x="20"/>
        <item h="1" x="19"/>
        <item h="1" x="25"/>
        <item h="1" x="21"/>
        <item h="1" x="28"/>
        <item h="1" x="4"/>
        <item h="1" x="6"/>
        <item h="1" x="2"/>
        <item h="1" x="31"/>
        <item h="1" x="26"/>
        <item h="1" x="5"/>
        <item h="1" x="9"/>
        <item h="1" x="10"/>
        <item h="1" x="24"/>
        <item h="1" x="14"/>
        <item h="1" x="13"/>
        <item h="1" x="23"/>
        <item h="1" x="17"/>
        <item h="1" x="16"/>
        <item h="1" x="22"/>
        <item h="1" x="0"/>
        <item h="1" x="3"/>
        <item h="1" x="15"/>
        <item h="1" x="7"/>
        <item h="1" x="8"/>
        <item h="1" x="30"/>
        <item h="1" x="18"/>
        <item h="1" x="32"/>
        <item h="1" x="1"/>
        <item h="1" x="27"/>
        <item x="29"/>
        <item h="1" x="11"/>
        <item h="1" x="33"/>
        <item t="default"/>
      </items>
    </pivotField>
    <pivotField showAll="0"/>
    <pivotField showAll="0"/>
    <pivotField showAll="0"/>
    <pivotField showAll="0"/>
    <pivotField showAll="0"/>
    <pivotField showAll="0">
      <items count="6">
        <item x="0"/>
        <item x="2"/>
        <item x="1"/>
        <item x="3"/>
        <item x="4"/>
        <item t="default"/>
      </items>
    </pivotField>
    <pivotField showAll="0"/>
    <pivotField showAll="0"/>
    <pivotField showAll="0">
      <items count="14">
        <item x="5"/>
        <item x="3"/>
        <item x="9"/>
        <item x="7"/>
        <item x="6"/>
        <item x="4"/>
        <item x="2"/>
        <item x="0"/>
        <item x="1"/>
        <item x="11"/>
        <item x="8"/>
        <item x="10"/>
        <item x="12"/>
        <item t="default"/>
      </items>
    </pivotField>
    <pivotField showAll="0"/>
    <pivotField showAll="0"/>
    <pivotField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2">
    <i>
      <x v="31"/>
    </i>
    <i t="grand">
      <x/>
    </i>
  </rowItems>
  <colItems count="1">
    <i/>
  </colItems>
  <dataFields count="1">
    <dataField name="Sum of GrossRevenue" fld="27" baseField="0" baseItem="0"/>
  </dataFields>
  <chartFormats count="3">
    <chartFormat chart="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1000-000000000000}" name="PivotTable3"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A3:G9" firstHeaderRow="1" firstDataRow="2" firstDataCol="1"/>
  <pivotFields count="33">
    <pivotField showAll="0"/>
    <pivotField showAll="0"/>
    <pivotField showAll="0">
      <items count="35">
        <item h="1" x="12"/>
        <item h="1" x="20"/>
        <item h="1" x="19"/>
        <item h="1" x="25"/>
        <item h="1" x="21"/>
        <item h="1" x="28"/>
        <item h="1" x="4"/>
        <item h="1" x="6"/>
        <item h="1" x="2"/>
        <item h="1" x="31"/>
        <item h="1" x="26"/>
        <item h="1" x="5"/>
        <item h="1" x="9"/>
        <item h="1" x="10"/>
        <item h="1" x="24"/>
        <item h="1" x="14"/>
        <item h="1" x="13"/>
        <item h="1" x="23"/>
        <item h="1" x="17"/>
        <item h="1" x="16"/>
        <item h="1" x="22"/>
        <item h="1" x="0"/>
        <item h="1" x="3"/>
        <item h="1" x="15"/>
        <item h="1" x="7"/>
        <item h="1" x="8"/>
        <item h="1" x="30"/>
        <item h="1" x="18"/>
        <item h="1" x="32"/>
        <item h="1" x="1"/>
        <item h="1" x="27"/>
        <item x="29"/>
        <item h="1" x="11"/>
        <item h="1" x="33"/>
        <item t="default"/>
      </items>
    </pivotField>
    <pivotField showAll="0"/>
    <pivotField showAll="0"/>
    <pivotField showAll="0"/>
    <pivotField showAll="0"/>
    <pivotField showAll="0"/>
    <pivotField axis="axisRow" showAll="0">
      <items count="6">
        <item x="0"/>
        <item x="2"/>
        <item x="1"/>
        <item x="3"/>
        <item x="4"/>
        <item t="default"/>
      </items>
    </pivotField>
    <pivotField showAll="0"/>
    <pivotField showAll="0"/>
    <pivotField showAll="0">
      <items count="14">
        <item x="5"/>
        <item x="3"/>
        <item x="9"/>
        <item x="7"/>
        <item x="6"/>
        <item x="4"/>
        <item x="2"/>
        <item x="0"/>
        <item x="1"/>
        <item x="11"/>
        <item x="8"/>
        <item x="10"/>
        <item x="12"/>
        <item t="default"/>
      </items>
    </pivotField>
    <pivotField showAll="0"/>
    <pivotField showAll="0"/>
    <pivotField axis="axisCol"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8"/>
  </rowFields>
  <rowItems count="5">
    <i>
      <x/>
    </i>
    <i>
      <x v="1"/>
    </i>
    <i>
      <x v="2"/>
    </i>
    <i>
      <x v="3"/>
    </i>
    <i t="grand">
      <x/>
    </i>
  </rowItems>
  <colFields count="1">
    <field x="14"/>
  </colFields>
  <colItems count="6">
    <i>
      <x/>
    </i>
    <i>
      <x v="1"/>
    </i>
    <i>
      <x v="2"/>
    </i>
    <i>
      <x v="3"/>
    </i>
    <i>
      <x v="4"/>
    </i>
    <i t="grand">
      <x/>
    </i>
  </colItems>
  <dataFields count="1">
    <dataField name="Sum of GrossProfit" fld="29" baseField="0" baseItem="0"/>
  </dataFields>
  <chartFormats count="24">
    <chartFormat chart="0" format="0" series="1">
      <pivotArea type="data" outline="0" fieldPosition="0">
        <references count="1">
          <reference field="14" count="1" selected="0">
            <x v="0"/>
          </reference>
        </references>
      </pivotArea>
    </chartFormat>
    <chartFormat chart="0" format="1" series="1">
      <pivotArea type="data" outline="0" fieldPosition="0">
        <references count="1">
          <reference field="14" count="1" selected="0">
            <x v="1"/>
          </reference>
        </references>
      </pivotArea>
    </chartFormat>
    <chartFormat chart="0" format="2" series="1">
      <pivotArea type="data" outline="0" fieldPosition="0">
        <references count="1">
          <reference field="14" count="1" selected="0">
            <x v="2"/>
          </reference>
        </references>
      </pivotArea>
    </chartFormat>
    <chartFormat chart="0" format="3" series="1">
      <pivotArea type="data" outline="0" fieldPosition="0">
        <references count="1">
          <reference field="14" count="1" selected="0">
            <x v="3"/>
          </reference>
        </references>
      </pivotArea>
    </chartFormat>
    <chartFormat chart="0" format="4" series="1">
      <pivotArea type="data" outline="0" fieldPosition="0">
        <references count="1">
          <reference field="14" count="1" selected="0">
            <x v="4"/>
          </reference>
        </references>
      </pivotArea>
    </chartFormat>
    <chartFormat chart="0" format="5" series="1">
      <pivotArea type="data" outline="0" fieldPosition="0">
        <references count="1">
          <reference field="14" count="1" selected="0">
            <x v="5"/>
          </reference>
        </references>
      </pivotArea>
    </chartFormat>
    <chartFormat chart="0" format="6" series="1">
      <pivotArea type="data" outline="0" fieldPosition="0">
        <references count="1">
          <reference field="14" count="1" selected="0">
            <x v="6"/>
          </reference>
        </references>
      </pivotArea>
    </chartFormat>
    <chartFormat chart="12" format="0" series="1">
      <pivotArea type="data" outline="0" fieldPosition="0">
        <references count="2">
          <reference field="4294967294" count="1" selected="0">
            <x v="0"/>
          </reference>
          <reference field="14" count="1" selected="0">
            <x v="0"/>
          </reference>
        </references>
      </pivotArea>
    </chartFormat>
    <chartFormat chart="12" format="1" series="1">
      <pivotArea type="data" outline="0" fieldPosition="0">
        <references count="2">
          <reference field="4294967294" count="1" selected="0">
            <x v="0"/>
          </reference>
          <reference field="14" count="1" selected="0">
            <x v="1"/>
          </reference>
        </references>
      </pivotArea>
    </chartFormat>
    <chartFormat chart="12" format="2" series="1">
      <pivotArea type="data" outline="0" fieldPosition="0">
        <references count="2">
          <reference field="4294967294" count="1" selected="0">
            <x v="0"/>
          </reference>
          <reference field="14" count="1" selected="0">
            <x v="2"/>
          </reference>
        </references>
      </pivotArea>
    </chartFormat>
    <chartFormat chart="12" format="3" series="1">
      <pivotArea type="data" outline="0" fieldPosition="0">
        <references count="2">
          <reference field="4294967294" count="1" selected="0">
            <x v="0"/>
          </reference>
          <reference field="14" count="1" selected="0">
            <x v="3"/>
          </reference>
        </references>
      </pivotArea>
    </chartFormat>
    <chartFormat chart="12" format="4" series="1">
      <pivotArea type="data" outline="0" fieldPosition="0">
        <references count="2">
          <reference field="4294967294" count="1" selected="0">
            <x v="0"/>
          </reference>
          <reference field="14" count="1" selected="0">
            <x v="4"/>
          </reference>
        </references>
      </pivotArea>
    </chartFormat>
    <chartFormat chart="12" format="5" series="1">
      <pivotArea type="data" outline="0" fieldPosition="0">
        <references count="2">
          <reference field="4294967294" count="1" selected="0">
            <x v="0"/>
          </reference>
          <reference field="14" count="1" selected="0">
            <x v="5"/>
          </reference>
        </references>
      </pivotArea>
    </chartFormat>
    <chartFormat chart="12" format="6" series="1">
      <pivotArea type="data" outline="0" fieldPosition="0">
        <references count="2">
          <reference field="4294967294" count="1" selected="0">
            <x v="0"/>
          </reference>
          <reference field="14" count="1" selected="0">
            <x v="6"/>
          </reference>
        </references>
      </pivotArea>
    </chartFormat>
    <chartFormat chart="17" format="14" series="1">
      <pivotArea type="data" outline="0" fieldPosition="0">
        <references count="2">
          <reference field="4294967294" count="1" selected="0">
            <x v="0"/>
          </reference>
          <reference field="14" count="1" selected="0">
            <x v="0"/>
          </reference>
        </references>
      </pivotArea>
    </chartFormat>
    <chartFormat chart="17" format="15" series="1">
      <pivotArea type="data" outline="0" fieldPosition="0">
        <references count="2">
          <reference field="4294967294" count="1" selected="0">
            <x v="0"/>
          </reference>
          <reference field="14" count="1" selected="0">
            <x v="1"/>
          </reference>
        </references>
      </pivotArea>
    </chartFormat>
    <chartFormat chart="17" format="16" series="1">
      <pivotArea type="data" outline="0" fieldPosition="0">
        <references count="2">
          <reference field="4294967294" count="1" selected="0">
            <x v="0"/>
          </reference>
          <reference field="14" count="1" selected="0">
            <x v="2"/>
          </reference>
        </references>
      </pivotArea>
    </chartFormat>
    <chartFormat chart="17" format="17" series="1">
      <pivotArea type="data" outline="0" fieldPosition="0">
        <references count="2">
          <reference field="4294967294" count="1" selected="0">
            <x v="0"/>
          </reference>
          <reference field="14" count="1" selected="0">
            <x v="3"/>
          </reference>
        </references>
      </pivotArea>
    </chartFormat>
    <chartFormat chart="17" format="18" series="1">
      <pivotArea type="data" outline="0" fieldPosition="0">
        <references count="2">
          <reference field="4294967294" count="1" selected="0">
            <x v="0"/>
          </reference>
          <reference field="14" count="1" selected="0">
            <x v="4"/>
          </reference>
        </references>
      </pivotArea>
    </chartFormat>
    <chartFormat chart="17" format="19" series="1">
      <pivotArea type="data" outline="0" fieldPosition="0">
        <references count="2">
          <reference field="4294967294" count="1" selected="0">
            <x v="0"/>
          </reference>
          <reference field="14" count="1" selected="0">
            <x v="5"/>
          </reference>
        </references>
      </pivotArea>
    </chartFormat>
    <chartFormat chart="17" format="20" series="1">
      <pivotArea type="data" outline="0" fieldPosition="0">
        <references count="2">
          <reference field="4294967294" count="1" selected="0">
            <x v="0"/>
          </reference>
          <reference field="14" count="1" selected="0">
            <x v="6"/>
          </reference>
        </references>
      </pivotArea>
    </chartFormat>
    <chartFormat chart="17" format="21"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1100-000000000000}" name="PivotTable4"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14" firstHeaderRow="1" firstDataRow="1" firstDataCol="1"/>
  <pivotFields count="33">
    <pivotField showAll="0"/>
    <pivotField showAll="0"/>
    <pivotField showAll="0">
      <items count="35">
        <item h="1" x="12"/>
        <item h="1" x="20"/>
        <item h="1" x="19"/>
        <item h="1" x="25"/>
        <item h="1" x="21"/>
        <item h="1" x="28"/>
        <item h="1" x="4"/>
        <item h="1" x="6"/>
        <item h="1" x="2"/>
        <item h="1" x="31"/>
        <item h="1" x="26"/>
        <item h="1" x="5"/>
        <item h="1" x="9"/>
        <item h="1" x="10"/>
        <item h="1" x="24"/>
        <item h="1" x="14"/>
        <item h="1" x="13"/>
        <item h="1" x="23"/>
        <item h="1" x="17"/>
        <item h="1" x="16"/>
        <item h="1" x="22"/>
        <item h="1" x="0"/>
        <item h="1" x="3"/>
        <item h="1" x="15"/>
        <item h="1" x="7"/>
        <item h="1" x="8"/>
        <item h="1" x="30"/>
        <item h="1" x="18"/>
        <item h="1" x="32"/>
        <item h="1" x="1"/>
        <item h="1" x="27"/>
        <item x="29"/>
        <item h="1" x="11"/>
        <item h="1" x="33"/>
        <item t="default"/>
      </items>
    </pivotField>
    <pivotField showAll="0"/>
    <pivotField showAll="0"/>
    <pivotField showAll="0"/>
    <pivotField showAll="0"/>
    <pivotField showAll="0"/>
    <pivotField showAll="0">
      <items count="6">
        <item x="0"/>
        <item x="2"/>
        <item x="1"/>
        <item x="3"/>
        <item x="4"/>
        <item t="default"/>
      </items>
    </pivotField>
    <pivotField showAll="0"/>
    <pivotField showAll="0"/>
    <pivotField showAll="0">
      <items count="14">
        <item x="5"/>
        <item x="3"/>
        <item x="9"/>
        <item x="7"/>
        <item x="6"/>
        <item x="4"/>
        <item x="2"/>
        <item x="0"/>
        <item x="1"/>
        <item x="11"/>
        <item x="8"/>
        <item x="10"/>
        <item x="12"/>
        <item t="default"/>
      </items>
    </pivotField>
    <pivotField showAll="0"/>
    <pivotField showAll="0"/>
    <pivotField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axis="axisRow" showAll="0" measureFilter="1">
      <items count="632">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x="63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7"/>
  </rowFields>
  <rowItems count="11">
    <i>
      <x v="108"/>
    </i>
    <i>
      <x v="209"/>
    </i>
    <i>
      <x v="318"/>
    </i>
    <i>
      <x v="353"/>
    </i>
    <i>
      <x v="437"/>
    </i>
    <i>
      <x v="474"/>
    </i>
    <i>
      <x v="517"/>
    </i>
    <i>
      <x v="548"/>
    </i>
    <i>
      <x v="584"/>
    </i>
    <i>
      <x v="622"/>
    </i>
    <i t="grand">
      <x/>
    </i>
  </rowItems>
  <colItems count="1">
    <i/>
  </colItems>
  <dataFields count="1">
    <dataField name="Sum of GrossRevenue" fld="2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1200-000000000000}" name="PivotTable5"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22" firstHeaderRow="1" firstDataRow="1" firstDataCol="1"/>
  <pivotFields count="33">
    <pivotField showAll="0"/>
    <pivotField showAll="0"/>
    <pivotField showAll="0">
      <items count="35">
        <item h="1" x="12"/>
        <item h="1" x="20"/>
        <item h="1" x="19"/>
        <item h="1" x="25"/>
        <item h="1" x="21"/>
        <item h="1" x="28"/>
        <item h="1" x="4"/>
        <item h="1" x="6"/>
        <item h="1" x="2"/>
        <item h="1" x="31"/>
        <item h="1" x="26"/>
        <item h="1" x="5"/>
        <item h="1" x="9"/>
        <item h="1" x="10"/>
        <item h="1" x="24"/>
        <item h="1" x="14"/>
        <item h="1" x="13"/>
        <item h="1" x="23"/>
        <item h="1" x="17"/>
        <item h="1" x="16"/>
        <item h="1" x="22"/>
        <item h="1" x="0"/>
        <item h="1" x="3"/>
        <item h="1" x="15"/>
        <item h="1" x="7"/>
        <item h="1" x="8"/>
        <item h="1" x="30"/>
        <item h="1" x="18"/>
        <item h="1" x="32"/>
        <item h="1" x="1"/>
        <item h="1" x="27"/>
        <item x="29"/>
        <item h="1" x="11"/>
        <item h="1" x="33"/>
        <item t="default"/>
      </items>
    </pivotField>
    <pivotField showAll="0"/>
    <pivotField showAll="0"/>
    <pivotField showAll="0"/>
    <pivotField showAll="0"/>
    <pivotField showAll="0"/>
    <pivotField showAll="0">
      <items count="6">
        <item x="0"/>
        <item x="2"/>
        <item x="1"/>
        <item x="3"/>
        <item x="4"/>
        <item t="default"/>
      </items>
    </pivotField>
    <pivotField showAll="0"/>
    <pivotField showAll="0"/>
    <pivotField showAll="0">
      <items count="14">
        <item x="5"/>
        <item x="3"/>
        <item x="9"/>
        <item x="7"/>
        <item x="6"/>
        <item x="4"/>
        <item x="2"/>
        <item x="0"/>
        <item x="1"/>
        <item x="11"/>
        <item x="8"/>
        <item x="10"/>
        <item x="12"/>
        <item t="default"/>
      </items>
    </pivotField>
    <pivotField showAll="0"/>
    <pivotField showAll="0"/>
    <pivotField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axis="axisRow" showAll="0">
      <items count="632">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x="63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7"/>
  </rowFields>
  <rowItems count="19">
    <i>
      <x v="108"/>
    </i>
    <i>
      <x v="156"/>
    </i>
    <i>
      <x v="209"/>
    </i>
    <i>
      <x v="220"/>
    </i>
    <i>
      <x v="285"/>
    </i>
    <i>
      <x v="304"/>
    </i>
    <i>
      <x v="318"/>
    </i>
    <i>
      <x v="353"/>
    </i>
    <i>
      <x v="420"/>
    </i>
    <i>
      <x v="437"/>
    </i>
    <i>
      <x v="474"/>
    </i>
    <i>
      <x v="517"/>
    </i>
    <i>
      <x v="529"/>
    </i>
    <i>
      <x v="548"/>
    </i>
    <i>
      <x v="551"/>
    </i>
    <i>
      <x v="557"/>
    </i>
    <i>
      <x v="584"/>
    </i>
    <i>
      <x v="622"/>
    </i>
    <i t="grand">
      <x/>
    </i>
  </rowItems>
  <colItems count="1">
    <i/>
  </colItems>
  <dataFields count="1">
    <dataField name="Average of Clean_DiscountPct" fld="25" subtotal="average" baseField="17"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1400-000000000000}" name="PivotTable7"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1:B20" firstHeaderRow="1" firstDataRow="1" firstDataCol="1"/>
  <pivotFields count="33">
    <pivotField showAll="0"/>
    <pivotField showAll="0"/>
    <pivotField showAll="0">
      <items count="35">
        <item h="1" x="12"/>
        <item h="1" x="20"/>
        <item h="1" x="19"/>
        <item h="1" x="25"/>
        <item h="1" x="21"/>
        <item h="1" x="28"/>
        <item h="1" x="4"/>
        <item h="1" x="6"/>
        <item h="1" x="2"/>
        <item h="1" x="31"/>
        <item h="1" x="26"/>
        <item h="1" x="5"/>
        <item h="1" x="9"/>
        <item h="1" x="10"/>
        <item h="1" x="24"/>
        <item h="1" x="14"/>
        <item h="1" x="13"/>
        <item h="1" x="23"/>
        <item h="1" x="17"/>
        <item h="1" x="16"/>
        <item h="1" x="22"/>
        <item h="1" x="0"/>
        <item h="1" x="3"/>
        <item h="1" x="15"/>
        <item h="1" x="7"/>
        <item h="1" x="8"/>
        <item h="1" x="30"/>
        <item h="1" x="18"/>
        <item h="1" x="32"/>
        <item h="1" x="1"/>
        <item h="1" x="27"/>
        <item x="29"/>
        <item h="1" x="11"/>
        <item h="1" x="33"/>
        <item t="default"/>
      </items>
    </pivotField>
    <pivotField showAll="0"/>
    <pivotField showAll="0"/>
    <pivotField showAll="0"/>
    <pivotField showAll="0"/>
    <pivotField showAll="0"/>
    <pivotField showAll="0">
      <items count="6">
        <item x="0"/>
        <item x="2"/>
        <item x="1"/>
        <item x="3"/>
        <item x="4"/>
        <item t="default"/>
      </items>
    </pivotField>
    <pivotField showAll="0"/>
    <pivotField showAll="0"/>
    <pivotField showAll="0">
      <items count="14">
        <item x="5"/>
        <item x="3"/>
        <item x="9"/>
        <item x="7"/>
        <item x="6"/>
        <item x="4"/>
        <item x="2"/>
        <item x="0"/>
        <item x="1"/>
        <item x="11"/>
        <item x="8"/>
        <item x="10"/>
        <item x="12"/>
        <item t="default"/>
      </items>
    </pivotField>
    <pivotField showAll="0"/>
    <pivotField showAll="0"/>
    <pivotField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axis="axisRow" showAll="0">
      <items count="632">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x="630"/>
        <item t="default"/>
      </items>
    </pivotField>
    <pivotField showAll="0"/>
    <pivotField showAll="0"/>
    <pivotField showAll="0"/>
    <pivotField showAll="0"/>
    <pivotField showAll="0"/>
    <pivotField showAll="0"/>
    <pivotField showAll="0"/>
    <pivotField dataField="1" showAll="0">
      <items count="224">
        <item x="5"/>
        <item x="139"/>
        <item x="10"/>
        <item x="20"/>
        <item x="98"/>
        <item x="19"/>
        <item x="83"/>
        <item x="168"/>
        <item x="206"/>
        <item x="107"/>
        <item x="200"/>
        <item x="112"/>
        <item x="105"/>
        <item x="117"/>
        <item x="108"/>
        <item x="176"/>
        <item x="133"/>
        <item x="70"/>
        <item x="8"/>
        <item x="191"/>
        <item x="75"/>
        <item x="42"/>
        <item x="32"/>
        <item x="16"/>
        <item x="184"/>
        <item x="202"/>
        <item x="172"/>
        <item x="88"/>
        <item x="215"/>
        <item x="106"/>
        <item x="209"/>
        <item x="58"/>
        <item x="210"/>
        <item x="54"/>
        <item x="129"/>
        <item x="113"/>
        <item x="217"/>
        <item x="132"/>
        <item x="120"/>
        <item x="91"/>
        <item x="189"/>
        <item x="161"/>
        <item x="221"/>
        <item x="95"/>
        <item x="196"/>
        <item x="173"/>
        <item x="71"/>
        <item x="142"/>
        <item x="55"/>
        <item x="89"/>
        <item x="67"/>
        <item x="87"/>
        <item x="3"/>
        <item x="92"/>
        <item x="13"/>
        <item x="43"/>
        <item x="169"/>
        <item x="197"/>
        <item x="116"/>
        <item x="162"/>
        <item x="220"/>
        <item x="103"/>
        <item x="195"/>
        <item x="26"/>
        <item x="146"/>
        <item x="24"/>
        <item x="165"/>
        <item x="25"/>
        <item x="166"/>
        <item x="118"/>
        <item x="76"/>
        <item x="141"/>
        <item x="12"/>
        <item x="147"/>
        <item x="72"/>
        <item x="218"/>
        <item x="194"/>
        <item x="73"/>
        <item x="163"/>
        <item x="27"/>
        <item x="4"/>
        <item x="170"/>
        <item x="66"/>
        <item x="52"/>
        <item x="188"/>
        <item x="104"/>
        <item x="85"/>
        <item x="14"/>
        <item x="46"/>
        <item x="94"/>
        <item x="0"/>
        <item x="138"/>
        <item x="59"/>
        <item x="157"/>
        <item x="143"/>
        <item x="84"/>
        <item x="45"/>
        <item x="18"/>
        <item x="171"/>
        <item x="152"/>
        <item x="81"/>
        <item x="207"/>
        <item x="22"/>
        <item x="38"/>
        <item x="109"/>
        <item x="136"/>
        <item x="31"/>
        <item x="49"/>
        <item x="2"/>
        <item x="187"/>
        <item x="111"/>
        <item x="60"/>
        <item x="156"/>
        <item x="29"/>
        <item x="80"/>
        <item x="158"/>
        <item x="23"/>
        <item x="77"/>
        <item x="167"/>
        <item x="56"/>
        <item x="17"/>
        <item x="41"/>
        <item x="177"/>
        <item x="34"/>
        <item x="6"/>
        <item x="134"/>
        <item x="9"/>
        <item x="203"/>
        <item x="101"/>
        <item x="135"/>
        <item x="124"/>
        <item x="68"/>
        <item x="130"/>
        <item x="159"/>
        <item x="86"/>
        <item x="178"/>
        <item x="128"/>
        <item x="74"/>
        <item x="63"/>
        <item x="192"/>
        <item x="155"/>
        <item x="205"/>
        <item x="149"/>
        <item x="21"/>
        <item x="36"/>
        <item x="185"/>
        <item x="219"/>
        <item x="144"/>
        <item x="121"/>
        <item x="154"/>
        <item x="30"/>
        <item x="164"/>
        <item x="119"/>
        <item x="93"/>
        <item x="78"/>
        <item x="110"/>
        <item x="35"/>
        <item x="15"/>
        <item x="50"/>
        <item x="57"/>
        <item x="62"/>
        <item x="37"/>
        <item x="69"/>
        <item x="51"/>
        <item x="193"/>
        <item x="97"/>
        <item x="7"/>
        <item x="123"/>
        <item x="114"/>
        <item x="47"/>
        <item x="137"/>
        <item x="90"/>
        <item x="53"/>
        <item x="44"/>
        <item x="160"/>
        <item x="216"/>
        <item x="213"/>
        <item x="179"/>
        <item x="125"/>
        <item x="122"/>
        <item x="201"/>
        <item x="65"/>
        <item x="153"/>
        <item x="198"/>
        <item x="212"/>
        <item x="96"/>
        <item x="211"/>
        <item x="151"/>
        <item x="199"/>
        <item x="82"/>
        <item x="208"/>
        <item x="126"/>
        <item x="145"/>
        <item x="127"/>
        <item x="1"/>
        <item x="148"/>
        <item x="174"/>
        <item x="180"/>
        <item x="64"/>
        <item x="28"/>
        <item x="102"/>
        <item x="214"/>
        <item x="11"/>
        <item x="115"/>
        <item x="48"/>
        <item x="190"/>
        <item x="61"/>
        <item x="131"/>
        <item x="100"/>
        <item x="183"/>
        <item x="150"/>
        <item x="99"/>
        <item x="140"/>
        <item x="175"/>
        <item x="186"/>
        <item x="79"/>
        <item x="182"/>
        <item x="39"/>
        <item x="204"/>
        <item x="40"/>
        <item x="181"/>
        <item x="33"/>
        <item x="222"/>
        <item t="default"/>
      </items>
    </pivotField>
    <pivotField showAll="0"/>
    <pivotField showAll="0"/>
    <pivotField showAll="0"/>
    <pivotField showAll="0"/>
    <pivotField showAll="0"/>
    <pivotField showAll="0"/>
    <pivotField showAll="0"/>
  </pivotFields>
  <rowFields count="1">
    <field x="17"/>
  </rowFields>
  <rowItems count="19">
    <i>
      <x v="108"/>
    </i>
    <i>
      <x v="156"/>
    </i>
    <i>
      <x v="209"/>
    </i>
    <i>
      <x v="220"/>
    </i>
    <i>
      <x v="285"/>
    </i>
    <i>
      <x v="304"/>
    </i>
    <i>
      <x v="318"/>
    </i>
    <i>
      <x v="353"/>
    </i>
    <i>
      <x v="420"/>
    </i>
    <i>
      <x v="437"/>
    </i>
    <i>
      <x v="474"/>
    </i>
    <i>
      <x v="517"/>
    </i>
    <i>
      <x v="529"/>
    </i>
    <i>
      <x v="548"/>
    </i>
    <i>
      <x v="551"/>
    </i>
    <i>
      <x v="557"/>
    </i>
    <i>
      <x v="584"/>
    </i>
    <i>
      <x v="622"/>
    </i>
    <i t="grand">
      <x/>
    </i>
  </rowItems>
  <colItems count="1">
    <i/>
  </colItems>
  <dataFields count="1">
    <dataField name="Average of Clean_DiscountPct" fld="25" subtotal="average" baseField="17"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Month" xr10:uid="{00000000-0013-0000-FFFF-FFFF01000000}" sourceName="OrderMonth">
  <pivotTables>
    <pivotTable tabId="20" name="PivotTable1"/>
    <pivotTable tabId="21" name="PivotTable2"/>
    <pivotTable tabId="22" name="PivotTable3"/>
    <pivotTable tabId="23" name="PivotTable4"/>
    <pivotTable tabId="24" name="PivotTable5"/>
    <pivotTable tabId="25" name="PivotTable7"/>
  </pivotTables>
  <data>
    <tabular pivotCacheId="1">
      <items count="34">
        <i x="12"/>
        <i x="20"/>
        <i x="19"/>
        <i x="25"/>
        <i x="21"/>
        <i x="28"/>
        <i x="4"/>
        <i x="6"/>
        <i x="2"/>
        <i x="31"/>
        <i x="26"/>
        <i x="5"/>
        <i x="9"/>
        <i x="10"/>
        <i x="24"/>
        <i x="14"/>
        <i x="13"/>
        <i x="23"/>
        <i x="17"/>
        <i x="16"/>
        <i x="22"/>
        <i x="0"/>
        <i x="3"/>
        <i x="15"/>
        <i x="7"/>
        <i x="8"/>
        <i x="30"/>
        <i x="18"/>
        <i x="32"/>
        <i x="1"/>
        <i x="27"/>
        <i x="29" s="1"/>
        <i x="11"/>
        <i x="3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20" name="PivotTable1"/>
    <pivotTable tabId="21" name="PivotTable2"/>
    <pivotTable tabId="22" name="PivotTable3"/>
    <pivotTable tabId="23" name="PivotTable4"/>
    <pivotTable tabId="24" name="PivotTable5"/>
    <pivotTable tabId="25" name="PivotTable7"/>
  </pivotTables>
  <data>
    <tabular pivotCacheId="1">
      <items count="5">
        <i x="0" s="1"/>
        <i x="2" s="1"/>
        <i x="1" s="1"/>
        <i x="3"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3000000}" sourceName="Country">
  <pivotTables>
    <pivotTable tabId="20" name="PivotTable1"/>
    <pivotTable tabId="21" name="PivotTable2"/>
    <pivotTable tabId="22" name="PivotTable3"/>
    <pivotTable tabId="23" name="PivotTable4"/>
    <pivotTable tabId="24" name="PivotTable5"/>
    <pivotTable tabId="25" name="PivotTable7"/>
  </pivotTables>
  <data>
    <tabular pivotCacheId="1">
      <items count="13">
        <i x="5" s="1"/>
        <i x="3" s="1"/>
        <i x="9" s="1"/>
        <i x="4" s="1"/>
        <i x="2" s="1"/>
        <i x="0" s="1"/>
        <i x="1" s="1"/>
        <i x="11" s="1"/>
        <i x="8" s="1"/>
        <i x="10" s="1"/>
        <i x="7" s="1" nd="1"/>
        <i x="6" s="1" nd="1"/>
        <i x="1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0000000-0013-0000-FFFF-FFFF04000000}" sourceName="Channel">
  <pivotTables>
    <pivotTable tabId="20" name="PivotTable1"/>
    <pivotTable tabId="21" name="PivotTable2"/>
    <pivotTable tabId="22" name="PivotTable3"/>
    <pivotTable tabId="23" name="PivotTable4"/>
    <pivotTable tabId="24" name="PivotTable5"/>
    <pivotTable tabId="25" name="PivotTable7"/>
  </pivotTables>
  <data>
    <tabular pivotCacheId="1">
      <items count="7">
        <i x="4" s="1"/>
        <i x="3" s="1"/>
        <i x="2" s="1"/>
        <i x="1" s="1"/>
        <i x="0" s="1"/>
        <i x="5" s="1" nd="1"/>
        <i x="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0000000-0013-0000-FFFF-FFFF05000000}" sourceName="Salesperson">
  <pivotTables>
    <pivotTable tabId="20" name="PivotTable1"/>
    <pivotTable tabId="21" name="PivotTable2"/>
    <pivotTable tabId="22" name="PivotTable3"/>
    <pivotTable tabId="23" name="PivotTable4"/>
    <pivotTable tabId="24" name="PivotTable5"/>
    <pivotTable tabId="25" name="PivotTable7"/>
  </pivotTables>
  <data>
    <tabular pivotCacheId="1">
      <items count="17">
        <i x="8" s="1"/>
        <i x="5" s="1"/>
        <i x="14" s="1"/>
        <i x="6" s="1"/>
        <i x="9" s="1"/>
        <i x="10" s="1"/>
        <i x="1" s="1"/>
        <i x="11" s="1"/>
        <i x="4" s="1"/>
        <i x="12" s="1"/>
        <i x="13" s="1"/>
        <i x="7" s="1"/>
        <i x="0" s="1" nd="1"/>
        <i x="3" s="1" nd="1"/>
        <i x="2" s="1" nd="1"/>
        <i x="15" s="1" nd="1"/>
        <i x="16"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00000000-0013-0000-FFFF-FFFF06000000}" sourceName="ProductCategory">
  <pivotTables>
    <pivotTable tabId="20" name="PivotTable1"/>
    <pivotTable tabId="21" name="PivotTable2"/>
    <pivotTable tabId="22" name="PivotTable3"/>
    <pivotTable tabId="23" name="PivotTable4"/>
    <pivotTable tabId="24" name="PivotTable5"/>
    <pivotTable tabId="25" name="PivotTable7"/>
  </pivotTables>
  <data>
    <tabular pivotCacheId="1">
      <items count="8">
        <i x="0" s="1"/>
        <i x="4" s="1"/>
        <i x="5" s="1"/>
        <i x="2" s="1"/>
        <i x="3" s="1"/>
        <i x="1" s="1"/>
        <i x="6"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rowHeight="234950"/>
  <slicer name="Country" xr10:uid="{00000000-0014-0000-FFFF-FFFF02000000}" cache="Slicer_Country" caption="Country" rowHeight="234950"/>
  <slicer name="Channel" xr10:uid="{00000000-0014-0000-FFFF-FFFF03000000}" cache="Slicer_Channel" caption="Channel" rowHeight="234950"/>
  <slicer name="Salesperson" xr10:uid="{00000000-0014-0000-FFFF-FFFF04000000}" cache="Slicer_Salesperson" caption="Salesperson" rowHeight="234950"/>
  <slicer name="ProductCategory" xr10:uid="{00000000-0014-0000-FFFF-FFFF05000000}" cache="Slicer_ProductCategory" caption="Product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Month 1" xr10:uid="{00000000-0014-0000-FFFF-FFFF06000000}" cache="Slicer_OrderMonth" caption="OrderMonth" startItem="29" rowHeight="234950"/>
  <slicer name="Region 1" xr10:uid="{00000000-0014-0000-FFFF-FFFF07000000}" cache="Slicer_Region" caption="Region" rowHeight="234950"/>
  <slicer name="Country 1" xr10:uid="{00000000-0014-0000-FFFF-FFFF08000000}" cache="Slicer_Country" caption="Country" rowHeight="234950"/>
  <slicer name="Channel 1" xr10:uid="{00000000-0014-0000-FFFF-FFFF09000000}" cache="Slicer_Channel" caption="Channel" rowHeight="234950"/>
  <slicer name="Salesperson 1" xr10:uid="{00000000-0014-0000-FFFF-FFFF0A000000}" cache="Slicer_Salesperson" caption="Salesperson" rowHeight="234950"/>
  <slicer name="ProductCategory 1" xr10:uid="{00000000-0014-0000-FFFF-FFFF0B000000}" cache="Slicer_ProductCategory" caption="Product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2.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3.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4.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5.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6"/>
  <sheetViews>
    <sheetView workbookViewId="0">
      <selection activeCell="AJ1" sqref="AJ1:AJ1048576"/>
    </sheetView>
  </sheetViews>
  <sheetFormatPr defaultRowHeight="14.4" x14ac:dyDescent="0.3"/>
  <cols>
    <col min="1" max="1" width="19.5546875" customWidth="1"/>
    <col min="2" max="2" width="15.5546875" customWidth="1"/>
    <col min="3" max="34" width="12" customWidth="1"/>
    <col min="35" max="35" width="7" customWidth="1"/>
    <col min="36" max="36" width="12" customWidth="1"/>
    <col min="37" max="58" width="14.77734375" bestFit="1" customWidth="1"/>
    <col min="59" max="83" width="13.21875" bestFit="1" customWidth="1"/>
    <col min="84" max="109" width="14" bestFit="1" customWidth="1"/>
    <col min="110" max="134" width="16.109375" bestFit="1" customWidth="1"/>
    <col min="135" max="165" width="12.5546875" bestFit="1" customWidth="1"/>
    <col min="166" max="192" width="13.33203125" bestFit="1" customWidth="1"/>
    <col min="193" max="221" width="13.6640625" bestFit="1" customWidth="1"/>
    <col min="222" max="244" width="14.33203125" bestFit="1" customWidth="1"/>
    <col min="245" max="268" width="18.88671875" bestFit="1" customWidth="1"/>
    <col min="269" max="297" width="22.33203125" bestFit="1" customWidth="1"/>
    <col min="298" max="303" width="12" bestFit="1" customWidth="1"/>
    <col min="304" max="307" width="11.88671875" bestFit="1" customWidth="1"/>
    <col min="308" max="312" width="12" bestFit="1" customWidth="1"/>
    <col min="313" max="314" width="11.88671875" bestFit="1" customWidth="1"/>
    <col min="315" max="315" width="12" bestFit="1" customWidth="1"/>
    <col min="316" max="317" width="11.88671875" bestFit="1" customWidth="1"/>
    <col min="318" max="318" width="12" bestFit="1" customWidth="1"/>
    <col min="319" max="319" width="11.88671875" bestFit="1" customWidth="1"/>
    <col min="320" max="320" width="12" bestFit="1" customWidth="1"/>
    <col min="321" max="321" width="7" customWidth="1"/>
    <col min="322" max="322" width="12" bestFit="1" customWidth="1"/>
  </cols>
  <sheetData>
    <row r="1" spans="1:36" x14ac:dyDescent="0.3">
      <c r="A1" s="17" t="s">
        <v>1498</v>
      </c>
      <c r="B1" s="17" t="s">
        <v>1464</v>
      </c>
    </row>
    <row r="2" spans="1:36" x14ac:dyDescent="0.3">
      <c r="A2" s="17" t="s">
        <v>1461</v>
      </c>
      <c r="B2" t="s">
        <v>1465</v>
      </c>
      <c r="C2" t="s">
        <v>1466</v>
      </c>
      <c r="D2" t="s">
        <v>1467</v>
      </c>
      <c r="E2" t="s">
        <v>1468</v>
      </c>
      <c r="F2" t="s">
        <v>1469</v>
      </c>
      <c r="G2" t="s">
        <v>1470</v>
      </c>
      <c r="H2" t="s">
        <v>1471</v>
      </c>
      <c r="I2" t="s">
        <v>1472</v>
      </c>
      <c r="J2" t="s">
        <v>1473</v>
      </c>
      <c r="K2" t="s">
        <v>1474</v>
      </c>
      <c r="L2" t="s">
        <v>1475</v>
      </c>
      <c r="M2" t="s">
        <v>1476</v>
      </c>
      <c r="N2" t="s">
        <v>1477</v>
      </c>
      <c r="O2" t="s">
        <v>1478</v>
      </c>
      <c r="P2" t="s">
        <v>1479</v>
      </c>
      <c r="Q2" t="s">
        <v>1480</v>
      </c>
      <c r="R2" t="s">
        <v>1481</v>
      </c>
      <c r="S2" t="s">
        <v>1482</v>
      </c>
      <c r="T2" t="s">
        <v>1483</v>
      </c>
      <c r="U2" t="s">
        <v>1484</v>
      </c>
      <c r="V2" t="s">
        <v>1485</v>
      </c>
      <c r="W2" t="s">
        <v>1486</v>
      </c>
      <c r="X2" t="s">
        <v>1487</v>
      </c>
      <c r="Y2" t="s">
        <v>1488</v>
      </c>
      <c r="Z2" t="s">
        <v>1489</v>
      </c>
      <c r="AA2" t="s">
        <v>1490</v>
      </c>
      <c r="AB2" t="s">
        <v>1491</v>
      </c>
      <c r="AC2" t="s">
        <v>1492</v>
      </c>
      <c r="AD2" t="s">
        <v>1493</v>
      </c>
      <c r="AE2" t="s">
        <v>1494</v>
      </c>
      <c r="AF2" t="s">
        <v>1495</v>
      </c>
      <c r="AG2" t="s">
        <v>1496</v>
      </c>
      <c r="AH2" t="s">
        <v>1497</v>
      </c>
      <c r="AI2" t="s">
        <v>1462</v>
      </c>
      <c r="AJ2" t="s">
        <v>1463</v>
      </c>
    </row>
    <row r="3" spans="1:36" x14ac:dyDescent="0.3">
      <c r="A3" s="18" t="s">
        <v>655</v>
      </c>
      <c r="B3" s="19">
        <v>12248.675999999999</v>
      </c>
      <c r="C3" s="19">
        <v>57491.062559999998</v>
      </c>
      <c r="D3" s="19">
        <v>68920.107260000004</v>
      </c>
      <c r="E3" s="19">
        <v>37330.00275</v>
      </c>
      <c r="F3" s="19">
        <v>41358.420049999993</v>
      </c>
      <c r="G3" s="19">
        <v>45754.744080000004</v>
      </c>
      <c r="H3" s="19">
        <v>61471.696859999996</v>
      </c>
      <c r="I3" s="19"/>
      <c r="J3" s="19">
        <v>24894.430559999997</v>
      </c>
      <c r="K3" s="19">
        <v>39239.197899999999</v>
      </c>
      <c r="L3" s="19">
        <v>70563.592109999998</v>
      </c>
      <c r="M3" s="19">
        <v>1801.4076000000002</v>
      </c>
      <c r="N3" s="19">
        <v>8567.3924999999999</v>
      </c>
      <c r="O3" s="19">
        <v>22987.3279</v>
      </c>
      <c r="P3" s="19">
        <v>93430.735400000005</v>
      </c>
      <c r="Q3" s="19">
        <v>10937.519999999999</v>
      </c>
      <c r="R3" s="19">
        <v>38096.18406</v>
      </c>
      <c r="S3" s="19">
        <v>46991.747199999998</v>
      </c>
      <c r="T3" s="19">
        <v>41658.527040000008</v>
      </c>
      <c r="U3" s="19"/>
      <c r="V3" s="19">
        <v>24523.006720000001</v>
      </c>
      <c r="W3" s="19">
        <v>110.14919999999999</v>
      </c>
      <c r="X3" s="19">
        <v>16257.340179999999</v>
      </c>
      <c r="Y3" s="19">
        <v>27194.152039999997</v>
      </c>
      <c r="Z3" s="19">
        <v>9469.7678000000014</v>
      </c>
      <c r="AA3" s="19">
        <v>67596.422359999997</v>
      </c>
      <c r="AB3" s="19">
        <v>24161.26311</v>
      </c>
      <c r="AC3" s="19">
        <v>11939.431199999999</v>
      </c>
      <c r="AD3" s="19">
        <v>16213.632800000001</v>
      </c>
      <c r="AE3" s="19"/>
      <c r="AF3" s="19">
        <v>7071.6331400000008</v>
      </c>
      <c r="AG3" s="19">
        <v>85419.017859999993</v>
      </c>
      <c r="AH3" s="19">
        <v>24172.044580000002</v>
      </c>
      <c r="AI3" s="19"/>
      <c r="AJ3" s="19">
        <v>1037870.6328199999</v>
      </c>
    </row>
    <row r="4" spans="1:36" x14ac:dyDescent="0.3">
      <c r="A4" s="18" t="s">
        <v>653</v>
      </c>
      <c r="B4" s="19">
        <v>15618.84504</v>
      </c>
      <c r="C4" s="19"/>
      <c r="D4" s="19">
        <v>7901.5041599999995</v>
      </c>
      <c r="E4" s="19">
        <v>52625.804160000007</v>
      </c>
      <c r="F4" s="19">
        <v>7466.3063999999986</v>
      </c>
      <c r="G4" s="19">
        <v>24972.288</v>
      </c>
      <c r="H4" s="19">
        <v>14466.95104</v>
      </c>
      <c r="I4" s="19">
        <v>20713.040080000002</v>
      </c>
      <c r="J4" s="19">
        <v>26150.364320000001</v>
      </c>
      <c r="K4" s="19">
        <v>9774.3888000000006</v>
      </c>
      <c r="L4" s="19">
        <v>8128.5187499999993</v>
      </c>
      <c r="M4" s="19">
        <v>4141.7599999999993</v>
      </c>
      <c r="N4" s="19">
        <v>19139.594240000002</v>
      </c>
      <c r="O4" s="19"/>
      <c r="P4" s="19">
        <v>29536.716</v>
      </c>
      <c r="Q4" s="19">
        <v>79082.507010000001</v>
      </c>
      <c r="R4" s="19">
        <v>141645.56601000001</v>
      </c>
      <c r="S4" s="19">
        <v>46226.11952</v>
      </c>
      <c r="T4" s="19">
        <v>55516.603510000001</v>
      </c>
      <c r="U4" s="19">
        <v>5335.5655499999993</v>
      </c>
      <c r="V4" s="19">
        <v>17453.3436</v>
      </c>
      <c r="W4" s="19">
        <v>21931.50405</v>
      </c>
      <c r="X4" s="19"/>
      <c r="Y4" s="19"/>
      <c r="Z4" s="19">
        <v>17930.494560000003</v>
      </c>
      <c r="AA4" s="19">
        <v>76122.593299999993</v>
      </c>
      <c r="AB4" s="19"/>
      <c r="AC4" s="19">
        <v>60697.470840000002</v>
      </c>
      <c r="AD4" s="19">
        <v>27756.432000000001</v>
      </c>
      <c r="AE4" s="19"/>
      <c r="AF4" s="19">
        <v>15530.929919999999</v>
      </c>
      <c r="AG4" s="19">
        <v>64160.245439999999</v>
      </c>
      <c r="AH4" s="19">
        <v>12597.52224</v>
      </c>
      <c r="AI4" s="19"/>
      <c r="AJ4" s="19">
        <v>882622.97854000004</v>
      </c>
    </row>
    <row r="5" spans="1:36" x14ac:dyDescent="0.3">
      <c r="A5" s="18" t="s">
        <v>659</v>
      </c>
      <c r="B5" s="19">
        <v>23379.011199999997</v>
      </c>
      <c r="C5" s="19">
        <v>14197.064400000001</v>
      </c>
      <c r="D5" s="19"/>
      <c r="E5" s="19">
        <v>64096.735299999993</v>
      </c>
      <c r="F5" s="19"/>
      <c r="G5" s="19">
        <v>33684.350699999995</v>
      </c>
      <c r="H5" s="19">
        <v>23668.560000000001</v>
      </c>
      <c r="I5" s="19">
        <v>77129.274059999996</v>
      </c>
      <c r="J5" s="19">
        <v>10869.182940000001</v>
      </c>
      <c r="K5" s="19">
        <v>79081.561010000005</v>
      </c>
      <c r="L5" s="19"/>
      <c r="M5" s="19">
        <v>11406.96</v>
      </c>
      <c r="N5" s="19"/>
      <c r="O5" s="19">
        <v>56274.47408</v>
      </c>
      <c r="P5" s="19"/>
      <c r="Q5" s="19">
        <v>50774.406560000003</v>
      </c>
      <c r="R5" s="19">
        <v>20703.052239999997</v>
      </c>
      <c r="S5" s="19">
        <v>5769.2758000000003</v>
      </c>
      <c r="T5" s="19">
        <v>70180.55992</v>
      </c>
      <c r="U5" s="19">
        <v>55548.646980000005</v>
      </c>
      <c r="V5" s="19">
        <v>13437.300239999999</v>
      </c>
      <c r="W5" s="19">
        <v>45749.975680000003</v>
      </c>
      <c r="X5" s="19">
        <v>9378.6258099999995</v>
      </c>
      <c r="Y5" s="19">
        <v>49097.717239999998</v>
      </c>
      <c r="Z5" s="19"/>
      <c r="AA5" s="19">
        <v>9684.8756000000012</v>
      </c>
      <c r="AB5" s="19"/>
      <c r="AC5" s="19">
        <v>4071.8</v>
      </c>
      <c r="AD5" s="19">
        <v>66630.071960000001</v>
      </c>
      <c r="AE5" s="19">
        <v>68861.979880000014</v>
      </c>
      <c r="AF5" s="19">
        <v>14108.16791</v>
      </c>
      <c r="AG5" s="19">
        <v>21270.482609999999</v>
      </c>
      <c r="AH5" s="19"/>
      <c r="AI5" s="19"/>
      <c r="AJ5" s="19">
        <v>899054.11211999995</v>
      </c>
    </row>
    <row r="6" spans="1:36" x14ac:dyDescent="0.3">
      <c r="A6" s="18" t="s">
        <v>657</v>
      </c>
      <c r="B6" s="19">
        <v>40811.05186</v>
      </c>
      <c r="C6" s="19">
        <v>16219.34496</v>
      </c>
      <c r="D6" s="19">
        <v>33208.325400000002</v>
      </c>
      <c r="E6" s="19">
        <v>36549.429260000004</v>
      </c>
      <c r="F6" s="19">
        <v>9189.1634999999987</v>
      </c>
      <c r="G6" s="19">
        <v>68199.913</v>
      </c>
      <c r="H6" s="19">
        <v>28412.100360000004</v>
      </c>
      <c r="I6" s="19">
        <v>32011.666519999995</v>
      </c>
      <c r="J6" s="19">
        <v>39546.774539999999</v>
      </c>
      <c r="K6" s="19">
        <v>20654.544699999999</v>
      </c>
      <c r="L6" s="19">
        <v>12040.64352</v>
      </c>
      <c r="M6" s="19">
        <v>9847.2358600000007</v>
      </c>
      <c r="N6" s="19">
        <v>29263.361400000002</v>
      </c>
      <c r="O6" s="19">
        <v>20050.102040000002</v>
      </c>
      <c r="P6" s="19">
        <v>60768.60312</v>
      </c>
      <c r="Q6" s="19">
        <v>27907.424579999999</v>
      </c>
      <c r="R6" s="19"/>
      <c r="S6" s="19">
        <v>10388.429999999998</v>
      </c>
      <c r="T6" s="19"/>
      <c r="U6" s="19">
        <v>81482.871945454535</v>
      </c>
      <c r="V6" s="19"/>
      <c r="W6" s="19">
        <v>45104.930900000007</v>
      </c>
      <c r="X6" s="19"/>
      <c r="Y6" s="19"/>
      <c r="Z6" s="19">
        <v>43635.435039999997</v>
      </c>
      <c r="AA6" s="19">
        <v>5331.6696000000002</v>
      </c>
      <c r="AB6" s="19">
        <v>22983.34563</v>
      </c>
      <c r="AC6" s="19">
        <v>67281.056590000007</v>
      </c>
      <c r="AD6" s="19">
        <v>5159.7893599999998</v>
      </c>
      <c r="AE6" s="19">
        <v>41419.524249999995</v>
      </c>
      <c r="AF6" s="19">
        <v>14877.464000000002</v>
      </c>
      <c r="AG6" s="19"/>
      <c r="AH6" s="19"/>
      <c r="AI6" s="19"/>
      <c r="AJ6" s="19">
        <v>822344.20193545474</v>
      </c>
    </row>
    <row r="7" spans="1:36" x14ac:dyDescent="0.3">
      <c r="A7" s="18" t="s">
        <v>656</v>
      </c>
      <c r="B7" s="19">
        <v>104633.05091000001</v>
      </c>
      <c r="C7" s="19">
        <v>37482.345600000001</v>
      </c>
      <c r="D7" s="19">
        <v>5810.4844599999997</v>
      </c>
      <c r="E7" s="19">
        <v>215.19839999999996</v>
      </c>
      <c r="F7" s="19">
        <v>47066.843850000005</v>
      </c>
      <c r="G7" s="19">
        <v>56176.777799999996</v>
      </c>
      <c r="H7" s="19">
        <v>56963.241009999998</v>
      </c>
      <c r="I7" s="19">
        <v>78869.293639999989</v>
      </c>
      <c r="J7" s="19">
        <v>142962.67473</v>
      </c>
      <c r="K7" s="19">
        <v>321.93290999999999</v>
      </c>
      <c r="L7" s="19">
        <v>30546.068040000002</v>
      </c>
      <c r="M7" s="19">
        <v>13921.506140000001</v>
      </c>
      <c r="N7" s="19">
        <v>41020.909639999998</v>
      </c>
      <c r="O7" s="19"/>
      <c r="P7" s="19">
        <v>14114.068500000001</v>
      </c>
      <c r="Q7" s="19"/>
      <c r="R7" s="19"/>
      <c r="S7" s="19">
        <v>5189.8836000000001</v>
      </c>
      <c r="T7" s="19">
        <v>65111.38614000001</v>
      </c>
      <c r="U7" s="19">
        <v>56166.983609999996</v>
      </c>
      <c r="V7" s="19">
        <v>6271.3801999999996</v>
      </c>
      <c r="W7" s="19">
        <v>68292.728010000006</v>
      </c>
      <c r="X7" s="19">
        <v>16870.419779999997</v>
      </c>
      <c r="Y7" s="19">
        <v>17964.4038</v>
      </c>
      <c r="Z7" s="19">
        <v>32187.988280000001</v>
      </c>
      <c r="AA7" s="19">
        <v>10666.229420000001</v>
      </c>
      <c r="AB7" s="19">
        <v>7643.2649999999994</v>
      </c>
      <c r="AC7" s="19">
        <v>12955.824749999998</v>
      </c>
      <c r="AD7" s="19"/>
      <c r="AE7" s="19"/>
      <c r="AF7" s="19"/>
      <c r="AG7" s="19"/>
      <c r="AH7" s="19"/>
      <c r="AI7" s="19"/>
      <c r="AJ7" s="19">
        <v>929424.88821999985</v>
      </c>
    </row>
    <row r="8" spans="1:36" x14ac:dyDescent="0.3">
      <c r="A8" s="18" t="s">
        <v>654</v>
      </c>
      <c r="B8" s="19">
        <v>32506.559399999998</v>
      </c>
      <c r="C8" s="19"/>
      <c r="D8" s="19">
        <v>4856.35725</v>
      </c>
      <c r="E8" s="19">
        <v>7105.3528000000006</v>
      </c>
      <c r="F8" s="19">
        <v>44186.458500000001</v>
      </c>
      <c r="G8" s="19">
        <v>11006.647559999999</v>
      </c>
      <c r="H8" s="19">
        <v>35984.636809999996</v>
      </c>
      <c r="I8" s="19">
        <v>40695.91504</v>
      </c>
      <c r="J8" s="19">
        <v>22044.871499999997</v>
      </c>
      <c r="K8" s="19">
        <v>24305.882859999998</v>
      </c>
      <c r="L8" s="19">
        <v>7120.6486400000003</v>
      </c>
      <c r="M8" s="19">
        <v>26759.28775</v>
      </c>
      <c r="N8" s="19">
        <v>33792.866320000001</v>
      </c>
      <c r="O8" s="19">
        <v>33308.550000000003</v>
      </c>
      <c r="P8" s="19">
        <v>12462.65055</v>
      </c>
      <c r="Q8" s="19">
        <v>30229.994880000002</v>
      </c>
      <c r="R8" s="19"/>
      <c r="S8" s="19">
        <v>4577.1480000000001</v>
      </c>
      <c r="T8" s="19">
        <v>31513.423040000001</v>
      </c>
      <c r="U8" s="19">
        <v>39717.144099999998</v>
      </c>
      <c r="V8" s="19">
        <v>6631.6443100000006</v>
      </c>
      <c r="W8" s="19">
        <v>12668.50728</v>
      </c>
      <c r="X8" s="19">
        <v>24075.089819999997</v>
      </c>
      <c r="Y8" s="19">
        <v>249678.13582000002</v>
      </c>
      <c r="Z8" s="19">
        <v>35554.10024</v>
      </c>
      <c r="AA8" s="19">
        <v>62421.224639999993</v>
      </c>
      <c r="AB8" s="19">
        <v>39388.573900000003</v>
      </c>
      <c r="AC8" s="19">
        <v>91856.869250000003</v>
      </c>
      <c r="AD8" s="19">
        <v>34805.040549999998</v>
      </c>
      <c r="AE8" s="19">
        <v>599.53200000000004</v>
      </c>
      <c r="AF8" s="19">
        <v>42824.196989999997</v>
      </c>
      <c r="AG8" s="19">
        <v>20028.787380000002</v>
      </c>
      <c r="AH8" s="19">
        <v>29627.320319999999</v>
      </c>
      <c r="AI8" s="19"/>
      <c r="AJ8" s="19">
        <v>1092333.4175</v>
      </c>
    </row>
    <row r="9" spans="1:36" x14ac:dyDescent="0.3">
      <c r="A9" s="18" t="s">
        <v>652</v>
      </c>
      <c r="B9" s="19">
        <v>21196.913249999998</v>
      </c>
      <c r="C9" s="19"/>
      <c r="D9" s="19">
        <v>20606.46444</v>
      </c>
      <c r="E9" s="19"/>
      <c r="F9" s="19">
        <v>82602.550499999998</v>
      </c>
      <c r="G9" s="19">
        <v>34082.864639999993</v>
      </c>
      <c r="H9" s="19">
        <v>38506.528819999992</v>
      </c>
      <c r="I9" s="19">
        <v>18641.222160000001</v>
      </c>
      <c r="J9" s="19"/>
      <c r="K9" s="19">
        <v>15253.069799999999</v>
      </c>
      <c r="L9" s="19">
        <v>7955.6342199999999</v>
      </c>
      <c r="M9" s="19"/>
      <c r="N9" s="19">
        <v>67110.666420000009</v>
      </c>
      <c r="O9" s="19">
        <v>15705.464199999999</v>
      </c>
      <c r="P9" s="19">
        <v>32142.113530000002</v>
      </c>
      <c r="Q9" s="19">
        <v>23449.833500000001</v>
      </c>
      <c r="R9" s="19">
        <v>9315.4974099999999</v>
      </c>
      <c r="S9" s="19">
        <v>4603.0824400000001</v>
      </c>
      <c r="T9" s="19">
        <v>68665.574250000005</v>
      </c>
      <c r="U9" s="19">
        <v>11984.891250000001</v>
      </c>
      <c r="V9" s="19">
        <v>31024.83872</v>
      </c>
      <c r="W9" s="19"/>
      <c r="X9" s="19">
        <v>49818.786760000003</v>
      </c>
      <c r="Y9" s="19">
        <v>9062.34692</v>
      </c>
      <c r="Z9" s="19">
        <v>14287.896349999999</v>
      </c>
      <c r="AA9" s="19">
        <v>63856.506820000002</v>
      </c>
      <c r="AB9" s="19">
        <v>14268.607679999999</v>
      </c>
      <c r="AC9" s="19"/>
      <c r="AD9" s="19">
        <v>14527.748400000002</v>
      </c>
      <c r="AE9" s="19">
        <v>29808.424959999997</v>
      </c>
      <c r="AF9" s="19">
        <v>31130.741829999995</v>
      </c>
      <c r="AG9" s="19">
        <v>50582.705609999997</v>
      </c>
      <c r="AH9" s="19">
        <v>74882.385600000009</v>
      </c>
      <c r="AI9" s="19"/>
      <c r="AJ9" s="19">
        <v>855073.36048000015</v>
      </c>
    </row>
    <row r="10" spans="1:36" x14ac:dyDescent="0.3">
      <c r="A10" s="18" t="s">
        <v>650</v>
      </c>
      <c r="B10" s="19">
        <v>11003.7672</v>
      </c>
      <c r="C10" s="19">
        <v>24447.95865</v>
      </c>
      <c r="D10" s="19">
        <v>17731.623</v>
      </c>
      <c r="E10" s="19">
        <v>667.74</v>
      </c>
      <c r="F10" s="19">
        <v>3823.6151599999998</v>
      </c>
      <c r="G10" s="19">
        <v>15174.425699999998</v>
      </c>
      <c r="H10" s="19">
        <v>16061.972879999999</v>
      </c>
      <c r="I10" s="19"/>
      <c r="J10" s="19">
        <v>17866.938251162788</v>
      </c>
      <c r="K10" s="19">
        <v>66852.128960000002</v>
      </c>
      <c r="L10" s="19">
        <v>15860.782080000001</v>
      </c>
      <c r="M10" s="19">
        <v>47962.717579999997</v>
      </c>
      <c r="N10" s="19"/>
      <c r="O10" s="19">
        <v>52609.065839999996</v>
      </c>
      <c r="P10" s="19">
        <v>47047.517999999996</v>
      </c>
      <c r="Q10" s="19">
        <v>27763.018220000002</v>
      </c>
      <c r="R10" s="19">
        <v>17867.219160000001</v>
      </c>
      <c r="S10" s="19">
        <v>3799.8031499999997</v>
      </c>
      <c r="T10" s="19">
        <v>181608.69623999999</v>
      </c>
      <c r="U10" s="19"/>
      <c r="V10" s="19">
        <v>70602.927789999987</v>
      </c>
      <c r="W10" s="19">
        <v>4866.3287999999993</v>
      </c>
      <c r="X10" s="19">
        <v>13669.81</v>
      </c>
      <c r="Y10" s="19">
        <v>10946.711730000001</v>
      </c>
      <c r="Z10" s="19">
        <v>13108.78584</v>
      </c>
      <c r="AA10" s="19">
        <v>4569.8508000000002</v>
      </c>
      <c r="AB10" s="19"/>
      <c r="AC10" s="19">
        <v>123535.74428</v>
      </c>
      <c r="AD10" s="19">
        <v>38264.510399999999</v>
      </c>
      <c r="AE10" s="19">
        <v>51457.539999999994</v>
      </c>
      <c r="AF10" s="19">
        <v>1030.7574</v>
      </c>
      <c r="AG10" s="19">
        <v>52863.98113</v>
      </c>
      <c r="AH10" s="19">
        <v>9050.5052999999989</v>
      </c>
      <c r="AI10" s="19"/>
      <c r="AJ10" s="19">
        <v>962116.44354116288</v>
      </c>
    </row>
    <row r="11" spans="1:36" x14ac:dyDescent="0.3">
      <c r="A11" s="18" t="s">
        <v>651</v>
      </c>
      <c r="B11" s="19">
        <v>32280.32474</v>
      </c>
      <c r="C11" s="19">
        <v>48850.80702</v>
      </c>
      <c r="D11" s="19">
        <v>40139.874619999995</v>
      </c>
      <c r="E11" s="19">
        <v>24833.097520000003</v>
      </c>
      <c r="F11" s="19"/>
      <c r="G11" s="19">
        <v>49501.660319999995</v>
      </c>
      <c r="H11" s="19">
        <v>27158.894079999998</v>
      </c>
      <c r="I11" s="19">
        <v>12967.958640000001</v>
      </c>
      <c r="J11" s="19">
        <v>4737.2198399999997</v>
      </c>
      <c r="K11" s="19"/>
      <c r="L11" s="19">
        <v>23687.576009999997</v>
      </c>
      <c r="M11" s="19">
        <v>685.06776000000002</v>
      </c>
      <c r="N11" s="19"/>
      <c r="O11" s="19"/>
      <c r="P11" s="19">
        <v>112088.8161</v>
      </c>
      <c r="Q11" s="19"/>
      <c r="R11" s="19">
        <v>119970.84924</v>
      </c>
      <c r="S11" s="19">
        <v>7135.57</v>
      </c>
      <c r="T11" s="19">
        <v>15009.056700000001</v>
      </c>
      <c r="U11" s="19">
        <v>55110.619960000004</v>
      </c>
      <c r="V11" s="19"/>
      <c r="W11" s="19">
        <v>28041.02492</v>
      </c>
      <c r="X11" s="19">
        <v>52727.976460000005</v>
      </c>
      <c r="Y11" s="19">
        <v>43539.233140000004</v>
      </c>
      <c r="Z11" s="19">
        <v>68626.652039999986</v>
      </c>
      <c r="AA11" s="19">
        <v>1010.3759200000001</v>
      </c>
      <c r="AB11" s="19"/>
      <c r="AC11" s="19"/>
      <c r="AD11" s="19">
        <v>10786.32144</v>
      </c>
      <c r="AE11" s="19">
        <v>100069.71683999999</v>
      </c>
      <c r="AF11" s="19"/>
      <c r="AG11" s="19">
        <v>2879.9836</v>
      </c>
      <c r="AH11" s="19"/>
      <c r="AI11" s="19"/>
      <c r="AJ11" s="19">
        <v>881838.67691000015</v>
      </c>
    </row>
    <row r="12" spans="1:36" x14ac:dyDescent="0.3">
      <c r="A12" s="18" t="s">
        <v>661</v>
      </c>
      <c r="B12" s="19"/>
      <c r="C12" s="19">
        <v>20171.63305</v>
      </c>
      <c r="D12" s="19">
        <v>1886.9915999999998</v>
      </c>
      <c r="E12" s="19">
        <v>58520.369640000004</v>
      </c>
      <c r="F12" s="19">
        <v>27331.829999999998</v>
      </c>
      <c r="G12" s="19"/>
      <c r="H12" s="19">
        <v>79406.784939999983</v>
      </c>
      <c r="I12" s="19"/>
      <c r="J12" s="19">
        <v>86597.081299999991</v>
      </c>
      <c r="K12" s="19"/>
      <c r="L12" s="19"/>
      <c r="M12" s="19">
        <v>3116.21</v>
      </c>
      <c r="N12" s="19">
        <v>54214.972159999998</v>
      </c>
      <c r="O12" s="19">
        <v>6576.298960000001</v>
      </c>
      <c r="P12" s="19">
        <v>78566.392940000005</v>
      </c>
      <c r="Q12" s="19"/>
      <c r="R12" s="19">
        <v>76636.156479999991</v>
      </c>
      <c r="S12" s="19"/>
      <c r="T12" s="19">
        <v>39907.476419999999</v>
      </c>
      <c r="U12" s="19">
        <v>88311.186580000009</v>
      </c>
      <c r="V12" s="19">
        <v>29618.551199999998</v>
      </c>
      <c r="W12" s="19">
        <v>4826.5396199999996</v>
      </c>
      <c r="X12" s="19">
        <v>5565.3272500000003</v>
      </c>
      <c r="Y12" s="19">
        <v>15476.94406</v>
      </c>
      <c r="Z12" s="19">
        <v>14032.850879999998</v>
      </c>
      <c r="AA12" s="19">
        <v>31556.187599999997</v>
      </c>
      <c r="AB12" s="19">
        <v>12954.358080000002</v>
      </c>
      <c r="AC12" s="19"/>
      <c r="AD12" s="19">
        <v>434.45248000000004</v>
      </c>
      <c r="AE12" s="19">
        <v>18061.204320000004</v>
      </c>
      <c r="AF12" s="19"/>
      <c r="AG12" s="19">
        <v>12972.00222</v>
      </c>
      <c r="AH12" s="19">
        <v>13185.543</v>
      </c>
      <c r="AI12" s="19"/>
      <c r="AJ12" s="19">
        <v>779927.34478000004</v>
      </c>
    </row>
    <row r="13" spans="1:36" x14ac:dyDescent="0.3">
      <c r="A13" s="18" t="s">
        <v>658</v>
      </c>
      <c r="B13" s="19">
        <v>66551.125379999983</v>
      </c>
      <c r="C13" s="19">
        <v>20646.6109</v>
      </c>
      <c r="D13" s="19">
        <v>96832.738060000003</v>
      </c>
      <c r="E13" s="19">
        <v>31801.900559999998</v>
      </c>
      <c r="F13" s="19">
        <v>23687.524440000001</v>
      </c>
      <c r="G13" s="19">
        <v>853.32276999999988</v>
      </c>
      <c r="H13" s="19"/>
      <c r="I13" s="19">
        <v>90699.331110212748</v>
      </c>
      <c r="J13" s="19">
        <v>4132.0325200000007</v>
      </c>
      <c r="K13" s="19"/>
      <c r="L13" s="19">
        <v>35720.318400000004</v>
      </c>
      <c r="M13" s="19">
        <v>27965.366600000001</v>
      </c>
      <c r="N13" s="19">
        <v>27424.450400000002</v>
      </c>
      <c r="O13" s="19">
        <v>11332.142999999998</v>
      </c>
      <c r="P13" s="19">
        <v>48616.566040000005</v>
      </c>
      <c r="Q13" s="19"/>
      <c r="R13" s="19">
        <v>62736.308879999997</v>
      </c>
      <c r="S13" s="19">
        <v>29905.537640000002</v>
      </c>
      <c r="T13" s="19">
        <v>65319.420119999995</v>
      </c>
      <c r="U13" s="19">
        <v>52414.751029999999</v>
      </c>
      <c r="V13" s="19">
        <v>16013.681599999998</v>
      </c>
      <c r="W13" s="19">
        <v>33938.142760000002</v>
      </c>
      <c r="X13" s="19">
        <v>21062.61248</v>
      </c>
      <c r="Y13" s="19">
        <v>19800.88896</v>
      </c>
      <c r="Z13" s="19">
        <v>114279.15346</v>
      </c>
      <c r="AA13" s="19">
        <v>39263.702919999996</v>
      </c>
      <c r="AB13" s="19">
        <v>5610.0923999999995</v>
      </c>
      <c r="AC13" s="19">
        <v>44605.988639999996</v>
      </c>
      <c r="AD13" s="19">
        <v>26003.218060000003</v>
      </c>
      <c r="AE13" s="19">
        <v>91431.437760000001</v>
      </c>
      <c r="AF13" s="19"/>
      <c r="AG13" s="19">
        <v>25249.613219999999</v>
      </c>
      <c r="AH13" s="19">
        <v>8764.4065599999994</v>
      </c>
      <c r="AI13" s="19"/>
      <c r="AJ13" s="19">
        <v>1142662.3866702127</v>
      </c>
    </row>
    <row r="14" spans="1:36" x14ac:dyDescent="0.3">
      <c r="A14" s="18" t="s">
        <v>660</v>
      </c>
      <c r="B14" s="19">
        <v>11375.257759999999</v>
      </c>
      <c r="C14" s="19"/>
      <c r="D14" s="19">
        <v>38240.697249999997</v>
      </c>
      <c r="E14" s="19">
        <v>25299.040000000001</v>
      </c>
      <c r="F14" s="19">
        <v>97443.477979999996</v>
      </c>
      <c r="G14" s="19">
        <v>27401.727929999997</v>
      </c>
      <c r="H14" s="19"/>
      <c r="I14" s="19">
        <v>12031.491680000001</v>
      </c>
      <c r="J14" s="19">
        <v>68738.647320000004</v>
      </c>
      <c r="K14" s="19">
        <v>52311.007679999995</v>
      </c>
      <c r="L14" s="19">
        <v>9984.7160999999978</v>
      </c>
      <c r="M14" s="19">
        <v>31035.217859999997</v>
      </c>
      <c r="N14" s="19">
        <v>18566.16</v>
      </c>
      <c r="O14" s="19">
        <v>4654.7743</v>
      </c>
      <c r="P14" s="19">
        <v>32086.37586</v>
      </c>
      <c r="Q14" s="19">
        <v>25483.91488</v>
      </c>
      <c r="R14" s="19"/>
      <c r="S14" s="19">
        <v>71887.464219999994</v>
      </c>
      <c r="T14" s="19"/>
      <c r="U14" s="19"/>
      <c r="V14" s="19"/>
      <c r="W14" s="19">
        <v>108770.27859</v>
      </c>
      <c r="X14" s="19"/>
      <c r="Y14" s="19">
        <v>27431.638109999996</v>
      </c>
      <c r="Z14" s="19">
        <v>53872.641179999999</v>
      </c>
      <c r="AA14" s="19">
        <v>3644.3212800000006</v>
      </c>
      <c r="AB14" s="19"/>
      <c r="AC14" s="19"/>
      <c r="AD14" s="19">
        <v>5533.6230000000005</v>
      </c>
      <c r="AE14" s="19">
        <v>16023.123</v>
      </c>
      <c r="AF14" s="19">
        <v>14692.623000000001</v>
      </c>
      <c r="AG14" s="19">
        <v>12186.368600000002</v>
      </c>
      <c r="AH14" s="19"/>
      <c r="AI14" s="19"/>
      <c r="AJ14" s="19">
        <v>768694.58758000005</v>
      </c>
    </row>
    <row r="15" spans="1:36" x14ac:dyDescent="0.3">
      <c r="A15" s="18" t="s">
        <v>1462</v>
      </c>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row>
    <row r="16" spans="1:36" x14ac:dyDescent="0.3">
      <c r="A16" s="18" t="s">
        <v>1463</v>
      </c>
      <c r="B16" s="19">
        <v>371604.58274000004</v>
      </c>
      <c r="C16" s="19">
        <v>239506.82714000001</v>
      </c>
      <c r="D16" s="19">
        <v>336135.16749999998</v>
      </c>
      <c r="E16" s="19">
        <v>339044.67038999998</v>
      </c>
      <c r="F16" s="19">
        <v>384156.19038000004</v>
      </c>
      <c r="G16" s="19">
        <v>366808.72250000003</v>
      </c>
      <c r="H16" s="19">
        <v>382101.36679999996</v>
      </c>
      <c r="I16" s="19">
        <v>383759.19293021271</v>
      </c>
      <c r="J16" s="19">
        <v>448540.21782116278</v>
      </c>
      <c r="K16" s="19">
        <v>307793.71461999998</v>
      </c>
      <c r="L16" s="19">
        <v>221608.49786999999</v>
      </c>
      <c r="M16" s="19">
        <v>178642.73715000003</v>
      </c>
      <c r="N16" s="19">
        <v>299100.37307999999</v>
      </c>
      <c r="O16" s="19">
        <v>223498.20032</v>
      </c>
      <c r="P16" s="19">
        <v>560860.55603999994</v>
      </c>
      <c r="Q16" s="19">
        <v>275628.61963000003</v>
      </c>
      <c r="R16" s="19">
        <v>486970.83348000003</v>
      </c>
      <c r="S16" s="19">
        <v>236474.06156999999</v>
      </c>
      <c r="T16" s="19">
        <v>634490.72337999998</v>
      </c>
      <c r="U16" s="19">
        <v>446072.66100545455</v>
      </c>
      <c r="V16" s="19">
        <v>215576.67437999998</v>
      </c>
      <c r="W16" s="19">
        <v>374300.10980999999</v>
      </c>
      <c r="X16" s="19">
        <v>209425.98854000002</v>
      </c>
      <c r="Y16" s="19">
        <v>470192.17182000005</v>
      </c>
      <c r="Z16" s="19">
        <v>416985.76566999994</v>
      </c>
      <c r="AA16" s="19">
        <v>375723.96025999996</v>
      </c>
      <c r="AB16" s="19">
        <v>127009.5058</v>
      </c>
      <c r="AC16" s="19">
        <v>416944.18554999999</v>
      </c>
      <c r="AD16" s="19">
        <v>246114.84045000002</v>
      </c>
      <c r="AE16" s="19">
        <v>417732.48301000008</v>
      </c>
      <c r="AF16" s="19">
        <v>141266.51419000002</v>
      </c>
      <c r="AG16" s="19">
        <v>347613.18766999996</v>
      </c>
      <c r="AH16" s="19">
        <v>172279.72760000001</v>
      </c>
      <c r="AI16" s="19"/>
      <c r="AJ16" s="19">
        <v>11053963.031096831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C640"/>
  <sheetViews>
    <sheetView zoomScale="91" workbookViewId="0">
      <selection activeCell="C6" sqref="C5:C6"/>
    </sheetView>
  </sheetViews>
  <sheetFormatPr defaultRowHeight="14.4" x14ac:dyDescent="0.3"/>
  <cols>
    <col min="1" max="1" width="14" customWidth="1"/>
    <col min="2" max="2" width="20.33203125" customWidth="1"/>
    <col min="3" max="3" width="13.21875" bestFit="1" customWidth="1"/>
    <col min="4" max="4" width="11" bestFit="1" customWidth="1"/>
    <col min="5" max="5" width="12.109375" bestFit="1" customWidth="1"/>
    <col min="6" max="6" width="11" bestFit="1" customWidth="1"/>
    <col min="7" max="8" width="13.21875" bestFit="1" customWidth="1"/>
    <col min="9" max="9" width="9.88671875" bestFit="1" customWidth="1"/>
    <col min="10" max="10" width="12.109375" bestFit="1" customWidth="1"/>
    <col min="11" max="12" width="13.21875" bestFit="1" customWidth="1"/>
    <col min="13" max="13" width="9.5546875" bestFit="1" customWidth="1"/>
    <col min="14" max="14" width="12.109375" bestFit="1" customWidth="1"/>
    <col min="15" max="15" width="13.21875" bestFit="1" customWidth="1"/>
    <col min="16" max="16" width="12.109375" bestFit="1" customWidth="1"/>
    <col min="17" max="17" width="11" bestFit="1" customWidth="1"/>
    <col min="18" max="18" width="12.109375" bestFit="1" customWidth="1"/>
    <col min="19" max="19" width="9.88671875" bestFit="1" customWidth="1"/>
    <col min="20" max="20" width="13.21875" bestFit="1" customWidth="1"/>
    <col min="21" max="21" width="12.109375" bestFit="1" customWidth="1"/>
    <col min="22" max="23" width="11" bestFit="1" customWidth="1"/>
    <col min="24" max="24" width="12.109375" bestFit="1" customWidth="1"/>
    <col min="25" max="25" width="13.21875" bestFit="1" customWidth="1"/>
    <col min="26" max="26" width="9.5546875" bestFit="1" customWidth="1"/>
    <col min="27" max="27" width="11" bestFit="1" customWidth="1"/>
    <col min="28" max="28" width="13.21875" bestFit="1" customWidth="1"/>
    <col min="29" max="29" width="12.109375" bestFit="1" customWidth="1"/>
    <col min="30" max="30" width="9.88671875" bestFit="1" customWidth="1"/>
    <col min="31" max="31" width="13.21875" bestFit="1" customWidth="1"/>
    <col min="32" max="32" width="9.5546875" bestFit="1" customWidth="1"/>
    <col min="33" max="34" width="11" bestFit="1" customWidth="1"/>
    <col min="35" max="35" width="9.88671875" bestFit="1" customWidth="1"/>
    <col min="36" max="38" width="11" bestFit="1" customWidth="1"/>
    <col min="39" max="39" width="13.21875" bestFit="1" customWidth="1"/>
    <col min="40" max="41" width="12.109375" bestFit="1" customWidth="1"/>
    <col min="42" max="42" width="13.21875" bestFit="1" customWidth="1"/>
    <col min="43" max="43" width="12.109375" bestFit="1" customWidth="1"/>
    <col min="44" max="44" width="11" bestFit="1" customWidth="1"/>
    <col min="45" max="45" width="9.88671875" bestFit="1" customWidth="1"/>
    <col min="46" max="46" width="13.21875" bestFit="1" customWidth="1"/>
    <col min="47" max="47" width="11" bestFit="1" customWidth="1"/>
    <col min="48" max="48" width="9.5546875" bestFit="1" customWidth="1"/>
    <col min="49" max="49" width="9.88671875" bestFit="1" customWidth="1"/>
    <col min="50" max="50" width="13.21875" bestFit="1" customWidth="1"/>
    <col min="51" max="51" width="12.109375" bestFit="1" customWidth="1"/>
    <col min="52" max="52" width="9.88671875" bestFit="1" customWidth="1"/>
    <col min="53" max="53" width="11" bestFit="1" customWidth="1"/>
    <col min="54" max="54" width="12.109375" bestFit="1" customWidth="1"/>
    <col min="55" max="55" width="13.21875" bestFit="1" customWidth="1"/>
    <col min="56" max="56" width="9.88671875" bestFit="1" customWidth="1"/>
    <col min="57" max="57" width="11" bestFit="1" customWidth="1"/>
    <col min="58" max="58" width="13.21875" bestFit="1" customWidth="1"/>
    <col min="59" max="59" width="11" bestFit="1" customWidth="1"/>
    <col min="60" max="60" width="9.88671875" bestFit="1" customWidth="1"/>
    <col min="61" max="62" width="13.21875" bestFit="1" customWidth="1"/>
    <col min="63" max="63" width="9.88671875" bestFit="1" customWidth="1"/>
    <col min="64" max="64" width="9.5546875" bestFit="1" customWidth="1"/>
    <col min="65" max="67" width="13.21875" bestFit="1" customWidth="1"/>
    <col min="68" max="68" width="11" bestFit="1" customWidth="1"/>
    <col min="69" max="69" width="13.21875" bestFit="1" customWidth="1"/>
    <col min="70" max="70" width="12.109375" bestFit="1" customWidth="1"/>
    <col min="71" max="71" width="9.5546875" bestFit="1" customWidth="1"/>
    <col min="72" max="72" width="13.21875" bestFit="1" customWidth="1"/>
    <col min="73" max="73" width="12.109375" bestFit="1" customWidth="1"/>
    <col min="74" max="74" width="13.21875" bestFit="1" customWidth="1"/>
    <col min="75" max="75" width="11" bestFit="1" customWidth="1"/>
    <col min="76" max="76" width="12.109375" bestFit="1" customWidth="1"/>
    <col min="77" max="78" width="13.21875" bestFit="1" customWidth="1"/>
    <col min="79" max="80" width="12.109375" bestFit="1" customWidth="1"/>
    <col min="81" max="81" width="13.21875" bestFit="1" customWidth="1"/>
    <col min="82" max="82" width="12.109375" bestFit="1" customWidth="1"/>
    <col min="83" max="83" width="13.21875" bestFit="1" customWidth="1"/>
    <col min="84" max="84" width="9.88671875" bestFit="1" customWidth="1"/>
    <col min="85" max="85" width="12.109375" bestFit="1" customWidth="1"/>
    <col min="86" max="86" width="11" bestFit="1" customWidth="1"/>
    <col min="87" max="89" width="9.88671875" bestFit="1" customWidth="1"/>
    <col min="90" max="90" width="12.109375" bestFit="1" customWidth="1"/>
    <col min="91" max="91" width="11" bestFit="1" customWidth="1"/>
    <col min="92" max="92" width="10.109375" bestFit="1" customWidth="1"/>
    <col min="93" max="93" width="12.109375" bestFit="1" customWidth="1"/>
    <col min="94" max="95" width="10.109375" bestFit="1" customWidth="1"/>
    <col min="96" max="96" width="13.21875" bestFit="1" customWidth="1"/>
    <col min="97" max="98" width="10.109375" bestFit="1" customWidth="1"/>
    <col min="99" max="99" width="12.109375" bestFit="1" customWidth="1"/>
    <col min="100" max="101" width="13.21875" bestFit="1" customWidth="1"/>
    <col min="102" max="102" width="11" bestFit="1" customWidth="1"/>
    <col min="103" max="104" width="12.109375" bestFit="1" customWidth="1"/>
    <col min="105" max="105" width="11" bestFit="1" customWidth="1"/>
    <col min="106" max="106" width="12.109375" bestFit="1" customWidth="1"/>
    <col min="107" max="107" width="13.21875" bestFit="1" customWidth="1"/>
    <col min="108" max="109" width="11" bestFit="1" customWidth="1"/>
    <col min="110" max="110" width="13.21875" bestFit="1" customWidth="1"/>
    <col min="111" max="112" width="12.109375" bestFit="1" customWidth="1"/>
    <col min="113" max="114" width="10.109375" bestFit="1" customWidth="1"/>
    <col min="115" max="115" width="12.109375" bestFit="1" customWidth="1"/>
    <col min="116" max="116" width="13.21875" bestFit="1" customWidth="1"/>
    <col min="117" max="117" width="10.109375" bestFit="1" customWidth="1"/>
    <col min="118" max="119" width="12.109375" bestFit="1" customWidth="1"/>
    <col min="120" max="120" width="13.21875" bestFit="1" customWidth="1"/>
    <col min="121" max="121" width="11" bestFit="1" customWidth="1"/>
    <col min="122" max="122" width="10.109375" bestFit="1" customWidth="1"/>
    <col min="123" max="123" width="12.109375" bestFit="1" customWidth="1"/>
    <col min="124" max="124" width="11" bestFit="1" customWidth="1"/>
    <col min="125" max="127" width="13.21875" bestFit="1" customWidth="1"/>
    <col min="128" max="128" width="10.109375" bestFit="1" customWidth="1"/>
    <col min="129" max="129" width="12.109375" bestFit="1" customWidth="1"/>
    <col min="130" max="130" width="13.21875" bestFit="1" customWidth="1"/>
    <col min="131" max="132" width="12.109375" bestFit="1" customWidth="1"/>
    <col min="133" max="133" width="10.109375" bestFit="1" customWidth="1"/>
    <col min="134" max="134" width="11" bestFit="1" customWidth="1"/>
    <col min="135" max="135" width="12.109375" bestFit="1" customWidth="1"/>
    <col min="136" max="136" width="10.109375" bestFit="1" customWidth="1"/>
    <col min="137" max="137" width="11" bestFit="1" customWidth="1"/>
    <col min="138" max="139" width="12.109375" bestFit="1" customWidth="1"/>
    <col min="140" max="140" width="11" bestFit="1" customWidth="1"/>
    <col min="141" max="142" width="13.21875" bestFit="1" customWidth="1"/>
    <col min="143" max="143" width="11" bestFit="1" customWidth="1"/>
    <col min="144" max="144" width="12.109375" bestFit="1" customWidth="1"/>
    <col min="145" max="145" width="10.109375" bestFit="1" customWidth="1"/>
    <col min="146" max="146" width="12.109375" bestFit="1" customWidth="1"/>
    <col min="147" max="147" width="13.21875" bestFit="1" customWidth="1"/>
    <col min="148" max="148" width="12.109375" bestFit="1" customWidth="1"/>
    <col min="149" max="149" width="13.21875" bestFit="1" customWidth="1"/>
    <col min="150" max="150" width="11" bestFit="1" customWidth="1"/>
    <col min="151" max="151" width="12.109375" bestFit="1" customWidth="1"/>
    <col min="152" max="152" width="11" bestFit="1" customWidth="1"/>
    <col min="153" max="153" width="12.109375" bestFit="1" customWidth="1"/>
    <col min="154" max="154" width="13.21875" bestFit="1" customWidth="1"/>
    <col min="155" max="157" width="11" bestFit="1" customWidth="1"/>
    <col min="158" max="158" width="12.109375" bestFit="1" customWidth="1"/>
    <col min="159" max="159" width="13.21875" bestFit="1" customWidth="1"/>
    <col min="160" max="162" width="12.109375" bestFit="1" customWidth="1"/>
    <col min="163" max="163" width="11" bestFit="1" customWidth="1"/>
    <col min="164" max="165" width="12.109375" bestFit="1" customWidth="1"/>
    <col min="166" max="166" width="11" bestFit="1" customWidth="1"/>
    <col min="167" max="168" width="13.21875" bestFit="1" customWidth="1"/>
    <col min="169" max="169" width="12.109375" bestFit="1" customWidth="1"/>
    <col min="170" max="170" width="11" bestFit="1" customWidth="1"/>
    <col min="171" max="171" width="13.21875" bestFit="1" customWidth="1"/>
    <col min="172" max="172" width="11" bestFit="1" customWidth="1"/>
    <col min="173" max="173" width="13.21875" bestFit="1" customWidth="1"/>
    <col min="174" max="175" width="11" bestFit="1" customWidth="1"/>
    <col min="176" max="177" width="13.21875" bestFit="1" customWidth="1"/>
    <col min="178" max="179" width="10.109375" bestFit="1" customWidth="1"/>
    <col min="180" max="180" width="11" bestFit="1" customWidth="1"/>
    <col min="181" max="181" width="13.21875" bestFit="1" customWidth="1"/>
    <col min="182" max="183" width="12.109375" bestFit="1" customWidth="1"/>
    <col min="184" max="185" width="13.21875" bestFit="1" customWidth="1"/>
    <col min="186" max="186" width="11" bestFit="1" customWidth="1"/>
    <col min="187" max="187" width="13.21875" bestFit="1" customWidth="1"/>
    <col min="188" max="189" width="12.109375" bestFit="1" customWidth="1"/>
    <col min="190" max="190" width="9.88671875" bestFit="1" customWidth="1"/>
    <col min="191" max="191" width="12.109375" bestFit="1" customWidth="1"/>
    <col min="192" max="194" width="11" bestFit="1" customWidth="1"/>
    <col min="195" max="195" width="12.109375" bestFit="1" customWidth="1"/>
    <col min="196" max="196" width="11" bestFit="1" customWidth="1"/>
    <col min="197" max="197" width="12.109375" bestFit="1" customWidth="1"/>
    <col min="198" max="200" width="11" bestFit="1" customWidth="1"/>
    <col min="201" max="201" width="13.21875" bestFit="1" customWidth="1"/>
    <col min="202" max="202" width="11" bestFit="1" customWidth="1"/>
    <col min="203" max="203" width="13.21875" bestFit="1" customWidth="1"/>
    <col min="204" max="204" width="11" bestFit="1" customWidth="1"/>
    <col min="205" max="205" width="13.21875" bestFit="1" customWidth="1"/>
    <col min="206" max="206" width="11" bestFit="1" customWidth="1"/>
    <col min="207" max="207" width="13.21875" bestFit="1" customWidth="1"/>
    <col min="208" max="208" width="12.109375" bestFit="1" customWidth="1"/>
    <col min="209" max="209" width="13.21875" bestFit="1" customWidth="1"/>
    <col min="210" max="210" width="9.88671875" bestFit="1" customWidth="1"/>
    <col min="211" max="211" width="13.21875" bestFit="1" customWidth="1"/>
    <col min="212" max="213" width="12.109375" bestFit="1" customWidth="1"/>
    <col min="214" max="214" width="11" bestFit="1" customWidth="1"/>
    <col min="215" max="215" width="12.109375" bestFit="1" customWidth="1"/>
    <col min="216" max="216" width="13.21875" bestFit="1" customWidth="1"/>
    <col min="217" max="217" width="9.88671875" bestFit="1" customWidth="1"/>
    <col min="218" max="220" width="12.109375" bestFit="1" customWidth="1"/>
    <col min="221" max="221" width="11" bestFit="1" customWidth="1"/>
    <col min="222" max="223" width="13.21875" bestFit="1" customWidth="1"/>
    <col min="224" max="224" width="12.109375" bestFit="1" customWidth="1"/>
    <col min="225" max="225" width="13.21875" bestFit="1" customWidth="1"/>
    <col min="226" max="227" width="12.109375" bestFit="1" customWidth="1"/>
    <col min="228" max="228" width="11" bestFit="1" customWidth="1"/>
    <col min="229" max="229" width="12.109375" bestFit="1" customWidth="1"/>
    <col min="230" max="230" width="11" bestFit="1" customWidth="1"/>
    <col min="231" max="231" width="13.21875" bestFit="1" customWidth="1"/>
    <col min="232" max="232" width="12.109375" bestFit="1" customWidth="1"/>
    <col min="233" max="233" width="11" bestFit="1" customWidth="1"/>
    <col min="234" max="234" width="12.109375" bestFit="1" customWidth="1"/>
    <col min="235" max="235" width="9.88671875" bestFit="1" customWidth="1"/>
    <col min="236" max="236" width="11" bestFit="1" customWidth="1"/>
    <col min="237" max="237" width="12.109375" bestFit="1" customWidth="1"/>
    <col min="238" max="238" width="13.21875" bestFit="1" customWidth="1"/>
    <col min="239" max="239" width="11" bestFit="1" customWidth="1"/>
    <col min="240" max="240" width="9.21875" bestFit="1" customWidth="1"/>
    <col min="241" max="241" width="13.21875" bestFit="1" customWidth="1"/>
    <col min="242" max="243" width="12.109375" bestFit="1" customWidth="1"/>
    <col min="244" max="244" width="13.21875" bestFit="1" customWidth="1"/>
    <col min="245" max="245" width="12.109375" bestFit="1" customWidth="1"/>
    <col min="246" max="246" width="13.21875" bestFit="1" customWidth="1"/>
    <col min="247" max="247" width="9.21875" bestFit="1" customWidth="1"/>
    <col min="248" max="248" width="13.21875" bestFit="1" customWidth="1"/>
    <col min="249" max="249" width="9.88671875" bestFit="1" customWidth="1"/>
    <col min="250" max="250" width="12.109375" bestFit="1" customWidth="1"/>
    <col min="251" max="251" width="13.21875" bestFit="1" customWidth="1"/>
    <col min="252" max="252" width="11" bestFit="1" customWidth="1"/>
    <col min="253" max="253" width="12.109375" bestFit="1" customWidth="1"/>
    <col min="254" max="254" width="13.21875" bestFit="1" customWidth="1"/>
    <col min="255" max="256" width="11" bestFit="1" customWidth="1"/>
    <col min="257" max="257" width="13.21875" bestFit="1" customWidth="1"/>
    <col min="258" max="258" width="11" bestFit="1" customWidth="1"/>
    <col min="259" max="259" width="12.109375" bestFit="1" customWidth="1"/>
    <col min="260" max="260" width="9.21875" bestFit="1" customWidth="1"/>
    <col min="261" max="262" width="13.21875" bestFit="1" customWidth="1"/>
    <col min="263" max="264" width="12.109375" bestFit="1" customWidth="1"/>
    <col min="265" max="265" width="11" bestFit="1" customWidth="1"/>
    <col min="266" max="267" width="12.109375" bestFit="1" customWidth="1"/>
    <col min="268" max="268" width="13.21875" bestFit="1" customWidth="1"/>
    <col min="269" max="269" width="11" bestFit="1" customWidth="1"/>
    <col min="270" max="272" width="13.21875" bestFit="1" customWidth="1"/>
    <col min="273" max="276" width="12.109375" bestFit="1" customWidth="1"/>
    <col min="277" max="277" width="13.21875" bestFit="1" customWidth="1"/>
    <col min="278" max="278" width="11" bestFit="1" customWidth="1"/>
    <col min="279" max="279" width="12.109375" bestFit="1" customWidth="1"/>
    <col min="280" max="280" width="11" bestFit="1" customWidth="1"/>
    <col min="281" max="281" width="10.77734375" bestFit="1" customWidth="1"/>
    <col min="282" max="283" width="13.21875" bestFit="1" customWidth="1"/>
    <col min="284" max="284" width="11" bestFit="1" customWidth="1"/>
    <col min="285" max="285" width="10.77734375" bestFit="1" customWidth="1"/>
    <col min="286" max="286" width="11" bestFit="1" customWidth="1"/>
    <col min="287" max="288" width="13.21875" bestFit="1" customWidth="1"/>
    <col min="289" max="289" width="12.109375" bestFit="1" customWidth="1"/>
    <col min="290" max="290" width="11" bestFit="1" customWidth="1"/>
    <col min="291" max="291" width="13.21875" bestFit="1" customWidth="1"/>
    <col min="292" max="292" width="11" bestFit="1" customWidth="1"/>
    <col min="293" max="293" width="13.21875" bestFit="1" customWidth="1"/>
    <col min="294" max="295" width="12.109375" bestFit="1" customWidth="1"/>
    <col min="296" max="296" width="10.77734375" bestFit="1" customWidth="1"/>
    <col min="297" max="297" width="11" bestFit="1" customWidth="1"/>
    <col min="298" max="301" width="13.21875" bestFit="1" customWidth="1"/>
    <col min="302" max="304" width="12.109375" bestFit="1" customWidth="1"/>
    <col min="305" max="305" width="13.21875" bestFit="1" customWidth="1"/>
    <col min="306" max="306" width="12.109375" bestFit="1" customWidth="1"/>
    <col min="307" max="307" width="11" bestFit="1" customWidth="1"/>
    <col min="308" max="308" width="12.109375" bestFit="1" customWidth="1"/>
    <col min="309" max="310" width="13.21875" bestFit="1" customWidth="1"/>
    <col min="311" max="311" width="10.77734375" bestFit="1" customWidth="1"/>
    <col min="312" max="313" width="12.109375" bestFit="1" customWidth="1"/>
    <col min="314" max="314" width="13.21875" bestFit="1" customWidth="1"/>
    <col min="315" max="315" width="12.109375" bestFit="1" customWidth="1"/>
    <col min="316" max="316" width="13.21875" bestFit="1" customWidth="1"/>
    <col min="317" max="317" width="12.109375" bestFit="1" customWidth="1"/>
    <col min="318" max="318" width="10.77734375" bestFit="1" customWidth="1"/>
    <col min="319" max="319" width="12.109375" bestFit="1" customWidth="1"/>
    <col min="320" max="324" width="13.21875" bestFit="1" customWidth="1"/>
    <col min="325" max="325" width="10.77734375" bestFit="1" customWidth="1"/>
    <col min="326" max="326" width="13.21875" bestFit="1" customWidth="1"/>
    <col min="327" max="327" width="12.109375" bestFit="1" customWidth="1"/>
    <col min="328" max="328" width="11" bestFit="1" customWidth="1"/>
    <col min="329" max="329" width="10.77734375" bestFit="1" customWidth="1"/>
    <col min="330" max="330" width="11" bestFit="1" customWidth="1"/>
    <col min="331" max="331" width="13.21875" bestFit="1" customWidth="1"/>
    <col min="332" max="332" width="10.77734375" bestFit="1" customWidth="1"/>
    <col min="333" max="333" width="11" bestFit="1" customWidth="1"/>
    <col min="334" max="334" width="13.21875" bestFit="1" customWidth="1"/>
    <col min="335" max="335" width="12.109375" bestFit="1" customWidth="1"/>
    <col min="336" max="336" width="10.77734375" bestFit="1" customWidth="1"/>
    <col min="337" max="338" width="12.109375" bestFit="1" customWidth="1"/>
    <col min="339" max="340" width="13.21875" bestFit="1" customWidth="1"/>
    <col min="341" max="341" width="10.77734375" bestFit="1" customWidth="1"/>
    <col min="342" max="342" width="13.21875" bestFit="1" customWidth="1"/>
    <col min="343" max="345" width="12.109375" bestFit="1" customWidth="1"/>
    <col min="346" max="348" width="11" bestFit="1" customWidth="1"/>
    <col min="349" max="349" width="13.21875" bestFit="1" customWidth="1"/>
    <col min="350" max="350" width="11" bestFit="1" customWidth="1"/>
    <col min="351" max="351" width="12.109375" bestFit="1" customWidth="1"/>
    <col min="352" max="352" width="13.21875" bestFit="1" customWidth="1"/>
    <col min="353" max="353" width="12.109375" bestFit="1" customWidth="1"/>
    <col min="354" max="355" width="13.21875" bestFit="1" customWidth="1"/>
    <col min="356" max="356" width="9.88671875" bestFit="1" customWidth="1"/>
    <col min="357" max="358" width="13.21875" bestFit="1" customWidth="1"/>
    <col min="359" max="359" width="12.109375" bestFit="1" customWidth="1"/>
    <col min="360" max="360" width="9.88671875" bestFit="1" customWidth="1"/>
    <col min="361" max="361" width="12.109375" bestFit="1" customWidth="1"/>
    <col min="362" max="362" width="13.21875" bestFit="1" customWidth="1"/>
    <col min="363" max="364" width="12.109375" bestFit="1" customWidth="1"/>
    <col min="365" max="365" width="11" bestFit="1" customWidth="1"/>
    <col min="366" max="366" width="12.109375" bestFit="1" customWidth="1"/>
    <col min="367" max="367" width="13.21875" bestFit="1" customWidth="1"/>
    <col min="368" max="368" width="11" bestFit="1" customWidth="1"/>
    <col min="369" max="369" width="12.109375" bestFit="1" customWidth="1"/>
    <col min="370" max="370" width="9.44140625" bestFit="1" customWidth="1"/>
    <col min="371" max="371" width="13.21875" bestFit="1" customWidth="1"/>
    <col min="372" max="375" width="12.109375" bestFit="1" customWidth="1"/>
    <col min="376" max="376" width="9.44140625" bestFit="1" customWidth="1"/>
    <col min="377" max="377" width="13.21875" bestFit="1" customWidth="1"/>
    <col min="378" max="378" width="12.109375" bestFit="1" customWidth="1"/>
    <col min="379" max="379" width="9.44140625" bestFit="1" customWidth="1"/>
    <col min="380" max="380" width="13.21875" bestFit="1" customWidth="1"/>
    <col min="381" max="381" width="11" bestFit="1" customWidth="1"/>
    <col min="382" max="382" width="12.109375" bestFit="1" customWidth="1"/>
    <col min="383" max="383" width="13.21875" bestFit="1" customWidth="1"/>
    <col min="384" max="387" width="12.109375" bestFit="1" customWidth="1"/>
    <col min="388" max="388" width="11" bestFit="1" customWidth="1"/>
    <col min="389" max="389" width="12.109375" bestFit="1" customWidth="1"/>
    <col min="390" max="391" width="13.21875" bestFit="1" customWidth="1"/>
    <col min="392" max="392" width="12.109375" bestFit="1" customWidth="1"/>
    <col min="393" max="393" width="9.88671875" bestFit="1" customWidth="1"/>
    <col min="394" max="394" width="12.109375" bestFit="1" customWidth="1"/>
    <col min="395" max="395" width="11" bestFit="1" customWidth="1"/>
    <col min="396" max="396" width="13.21875" bestFit="1" customWidth="1"/>
    <col min="397" max="398" width="12.109375" bestFit="1" customWidth="1"/>
    <col min="399" max="401" width="13.21875" bestFit="1" customWidth="1"/>
    <col min="402" max="402" width="11" bestFit="1" customWidth="1"/>
    <col min="403" max="404" width="13.21875" bestFit="1" customWidth="1"/>
    <col min="405" max="405" width="11" bestFit="1" customWidth="1"/>
    <col min="406" max="407" width="12.109375" bestFit="1" customWidth="1"/>
    <col min="408" max="409" width="13.21875" bestFit="1" customWidth="1"/>
    <col min="410" max="410" width="11" bestFit="1" customWidth="1"/>
    <col min="411" max="411" width="12.109375" bestFit="1" customWidth="1"/>
    <col min="412" max="412" width="13.21875" bestFit="1" customWidth="1"/>
    <col min="413" max="413" width="9.44140625" bestFit="1" customWidth="1"/>
    <col min="414" max="414" width="12.109375" bestFit="1" customWidth="1"/>
    <col min="415" max="417" width="13.21875" bestFit="1" customWidth="1"/>
    <col min="418" max="423" width="12.109375" bestFit="1" customWidth="1"/>
    <col min="424" max="424" width="11" bestFit="1" customWidth="1"/>
    <col min="425" max="426" width="12.109375" bestFit="1" customWidth="1"/>
    <col min="427" max="427" width="11" bestFit="1" customWidth="1"/>
    <col min="428" max="428" width="9.88671875" bestFit="1" customWidth="1"/>
    <col min="429" max="429" width="13.21875" bestFit="1" customWidth="1"/>
    <col min="430" max="430" width="11" bestFit="1" customWidth="1"/>
    <col min="431" max="431" width="12.109375" bestFit="1" customWidth="1"/>
    <col min="432" max="432" width="11" bestFit="1" customWidth="1"/>
    <col min="433" max="433" width="9.88671875" bestFit="1" customWidth="1"/>
    <col min="434" max="435" width="12.109375" bestFit="1" customWidth="1"/>
    <col min="436" max="437" width="13.21875" bestFit="1" customWidth="1"/>
    <col min="438" max="438" width="12.109375" bestFit="1" customWidth="1"/>
    <col min="439" max="439" width="13.21875" bestFit="1" customWidth="1"/>
    <col min="440" max="440" width="9.88671875" bestFit="1" customWidth="1"/>
    <col min="441" max="441" width="11" bestFit="1" customWidth="1"/>
    <col min="442" max="442" width="13.21875" bestFit="1" customWidth="1"/>
    <col min="443" max="445" width="9.88671875" bestFit="1" customWidth="1"/>
    <col min="446" max="446" width="12.109375" bestFit="1" customWidth="1"/>
    <col min="447" max="447" width="9.88671875" bestFit="1" customWidth="1"/>
    <col min="448" max="448" width="12.109375" bestFit="1" customWidth="1"/>
    <col min="449" max="449" width="11" bestFit="1" customWidth="1"/>
    <col min="450" max="451" width="9.88671875" bestFit="1" customWidth="1"/>
    <col min="452" max="452" width="12.109375" bestFit="1" customWidth="1"/>
    <col min="453" max="453" width="13.21875" bestFit="1" customWidth="1"/>
    <col min="454" max="454" width="9.88671875" bestFit="1" customWidth="1"/>
    <col min="455" max="455" width="11" bestFit="1" customWidth="1"/>
    <col min="456" max="457" width="12.109375" bestFit="1" customWidth="1"/>
    <col min="458" max="458" width="13.21875" bestFit="1" customWidth="1"/>
    <col min="459" max="459" width="12.109375" bestFit="1" customWidth="1"/>
    <col min="460" max="461" width="9.88671875" bestFit="1" customWidth="1"/>
    <col min="462" max="462" width="11" bestFit="1" customWidth="1"/>
    <col min="463" max="464" width="13.21875" bestFit="1" customWidth="1"/>
    <col min="465" max="466" width="11" bestFit="1" customWidth="1"/>
    <col min="467" max="467" width="9.88671875" bestFit="1" customWidth="1"/>
    <col min="468" max="468" width="11" bestFit="1" customWidth="1"/>
    <col min="469" max="469" width="12.109375" bestFit="1" customWidth="1"/>
    <col min="470" max="471" width="13.21875" bestFit="1" customWidth="1"/>
    <col min="472" max="473" width="11" bestFit="1" customWidth="1"/>
    <col min="474" max="474" width="12.109375" bestFit="1" customWidth="1"/>
    <col min="475" max="477" width="13.21875" bestFit="1" customWidth="1"/>
    <col min="478" max="478" width="9.88671875" bestFit="1" customWidth="1"/>
    <col min="479" max="479" width="12.109375" bestFit="1" customWidth="1"/>
    <col min="480" max="482" width="13.21875" bestFit="1" customWidth="1"/>
    <col min="483" max="483" width="11" bestFit="1" customWidth="1"/>
    <col min="484" max="484" width="9.88671875" bestFit="1" customWidth="1"/>
    <col min="485" max="486" width="12.109375" bestFit="1" customWidth="1"/>
    <col min="487" max="487" width="13.21875" bestFit="1" customWidth="1"/>
    <col min="488" max="488" width="11" bestFit="1" customWidth="1"/>
    <col min="489" max="489" width="13.21875" bestFit="1" customWidth="1"/>
    <col min="490" max="492" width="12.109375" bestFit="1" customWidth="1"/>
    <col min="493" max="494" width="11" bestFit="1" customWidth="1"/>
    <col min="495" max="495" width="9.88671875" bestFit="1" customWidth="1"/>
    <col min="496" max="498" width="11" bestFit="1" customWidth="1"/>
    <col min="499" max="499" width="13.21875" bestFit="1" customWidth="1"/>
    <col min="500" max="500" width="11" bestFit="1" customWidth="1"/>
    <col min="501" max="501" width="9.88671875" bestFit="1" customWidth="1"/>
    <col min="502" max="502" width="11" bestFit="1" customWidth="1"/>
    <col min="503" max="503" width="12.109375" bestFit="1" customWidth="1"/>
    <col min="504" max="504" width="13.21875" bestFit="1" customWidth="1"/>
    <col min="505" max="506" width="12.109375" bestFit="1" customWidth="1"/>
    <col min="507" max="507" width="13.21875" bestFit="1" customWidth="1"/>
    <col min="508" max="508" width="9.88671875" bestFit="1" customWidth="1"/>
    <col min="509" max="510" width="13.21875" bestFit="1" customWidth="1"/>
    <col min="511" max="511" width="12.109375" bestFit="1" customWidth="1"/>
    <col min="512" max="512" width="11" bestFit="1" customWidth="1"/>
    <col min="513" max="513" width="12.109375" bestFit="1" customWidth="1"/>
    <col min="514" max="514" width="11" bestFit="1" customWidth="1"/>
    <col min="515" max="515" width="9.88671875" bestFit="1" customWidth="1"/>
    <col min="516" max="516" width="12.109375" bestFit="1" customWidth="1"/>
    <col min="517" max="517" width="11" bestFit="1" customWidth="1"/>
    <col min="518" max="518" width="12.109375" bestFit="1" customWidth="1"/>
    <col min="519" max="519" width="13.21875" bestFit="1" customWidth="1"/>
    <col min="520" max="520" width="9.88671875" bestFit="1" customWidth="1"/>
    <col min="521" max="522" width="11" bestFit="1" customWidth="1"/>
    <col min="523" max="524" width="13.21875" bestFit="1" customWidth="1"/>
    <col min="525" max="525" width="11" bestFit="1" customWidth="1"/>
    <col min="526" max="526" width="12.109375" bestFit="1" customWidth="1"/>
    <col min="527" max="527" width="13.21875" bestFit="1" customWidth="1"/>
    <col min="528" max="528" width="12.109375" bestFit="1" customWidth="1"/>
    <col min="529" max="530" width="13.21875" bestFit="1" customWidth="1"/>
    <col min="531" max="532" width="11" bestFit="1" customWidth="1"/>
    <col min="533" max="534" width="13.21875" bestFit="1" customWidth="1"/>
    <col min="535" max="535" width="11" bestFit="1" customWidth="1"/>
    <col min="536" max="536" width="13.21875" bestFit="1" customWidth="1"/>
    <col min="537" max="537" width="9.88671875" bestFit="1" customWidth="1"/>
    <col min="538" max="538" width="13.21875" bestFit="1" customWidth="1"/>
    <col min="539" max="539" width="12.109375" bestFit="1" customWidth="1"/>
    <col min="540" max="540" width="13.21875" bestFit="1" customWidth="1"/>
    <col min="541" max="541" width="12.109375" bestFit="1" customWidth="1"/>
    <col min="542" max="542" width="11" bestFit="1" customWidth="1"/>
    <col min="543" max="543" width="13.21875" bestFit="1" customWidth="1"/>
    <col min="544" max="544" width="9.88671875" bestFit="1" customWidth="1"/>
    <col min="545" max="547" width="13.21875" bestFit="1" customWidth="1"/>
    <col min="548" max="548" width="9.77734375" bestFit="1" customWidth="1"/>
    <col min="549" max="549" width="12.109375" bestFit="1" customWidth="1"/>
    <col min="550" max="551" width="13.21875" bestFit="1" customWidth="1"/>
    <col min="552" max="552" width="11" bestFit="1" customWidth="1"/>
    <col min="553" max="553" width="12.109375" bestFit="1" customWidth="1"/>
    <col min="554" max="554" width="9.77734375" bestFit="1" customWidth="1"/>
    <col min="555" max="556" width="13.21875" bestFit="1" customWidth="1"/>
    <col min="557" max="557" width="11" bestFit="1" customWidth="1"/>
    <col min="558" max="558" width="12.109375" bestFit="1" customWidth="1"/>
    <col min="559" max="559" width="11" bestFit="1" customWidth="1"/>
    <col min="560" max="560" width="12.109375" bestFit="1" customWidth="1"/>
    <col min="561" max="561" width="9.77734375" bestFit="1" customWidth="1"/>
    <col min="562" max="562" width="11" bestFit="1" customWidth="1"/>
    <col min="563" max="564" width="12.109375" bestFit="1" customWidth="1"/>
    <col min="565" max="566" width="9.77734375" bestFit="1" customWidth="1"/>
    <col min="567" max="567" width="13.21875" bestFit="1" customWidth="1"/>
    <col min="568" max="568" width="12.109375" bestFit="1" customWidth="1"/>
    <col min="569" max="569" width="9.88671875" bestFit="1" customWidth="1"/>
    <col min="570" max="571" width="13.21875" bestFit="1" customWidth="1"/>
    <col min="572" max="573" width="12.109375" bestFit="1" customWidth="1"/>
    <col min="574" max="574" width="11" bestFit="1" customWidth="1"/>
    <col min="575" max="576" width="13.21875" bestFit="1" customWidth="1"/>
    <col min="577" max="577" width="12.109375" bestFit="1" customWidth="1"/>
    <col min="578" max="578" width="11" bestFit="1" customWidth="1"/>
    <col min="579" max="581" width="12.109375" bestFit="1" customWidth="1"/>
    <col min="582" max="582" width="13.21875" bestFit="1" customWidth="1"/>
    <col min="583" max="583" width="12.109375" bestFit="1" customWidth="1"/>
    <col min="584" max="584" width="11" bestFit="1" customWidth="1"/>
    <col min="585" max="585" width="9.88671875" bestFit="1" customWidth="1"/>
    <col min="586" max="586" width="13.21875" bestFit="1" customWidth="1"/>
    <col min="587" max="587" width="11" bestFit="1" customWidth="1"/>
    <col min="588" max="588" width="12.109375" bestFit="1" customWidth="1"/>
    <col min="589" max="589" width="11" bestFit="1" customWidth="1"/>
    <col min="590" max="590" width="13.21875" bestFit="1" customWidth="1"/>
    <col min="591" max="591" width="11" bestFit="1" customWidth="1"/>
    <col min="592" max="592" width="13.21875" bestFit="1" customWidth="1"/>
    <col min="593" max="594" width="12.109375" bestFit="1" customWidth="1"/>
    <col min="595" max="595" width="9.88671875" bestFit="1" customWidth="1"/>
    <col min="596" max="596" width="13.21875" bestFit="1" customWidth="1"/>
    <col min="597" max="597" width="11" bestFit="1" customWidth="1"/>
    <col min="598" max="598" width="12.109375" bestFit="1" customWidth="1"/>
    <col min="599" max="599" width="11" bestFit="1" customWidth="1"/>
    <col min="600" max="600" width="13.21875" bestFit="1" customWidth="1"/>
    <col min="601" max="601" width="11" bestFit="1" customWidth="1"/>
    <col min="602" max="603" width="13.21875" bestFit="1" customWidth="1"/>
    <col min="604" max="604" width="11" bestFit="1" customWidth="1"/>
    <col min="605" max="610" width="12.109375" bestFit="1" customWidth="1"/>
    <col min="611" max="611" width="11" bestFit="1" customWidth="1"/>
    <col min="612" max="612" width="9.88671875" bestFit="1" customWidth="1"/>
    <col min="613" max="613" width="11" bestFit="1" customWidth="1"/>
    <col min="614" max="617" width="12.109375" bestFit="1" customWidth="1"/>
    <col min="618" max="620" width="13.21875" bestFit="1" customWidth="1"/>
    <col min="621" max="621" width="12.109375" bestFit="1" customWidth="1"/>
    <col min="622" max="622" width="13.21875" bestFit="1" customWidth="1"/>
    <col min="623" max="624" width="9.88671875" bestFit="1" customWidth="1"/>
    <col min="625" max="627" width="13.21875" bestFit="1" customWidth="1"/>
    <col min="628" max="628" width="11" bestFit="1" customWidth="1"/>
    <col min="629" max="629" width="12.109375" bestFit="1" customWidth="1"/>
    <col min="630" max="630" width="11" bestFit="1" customWidth="1"/>
    <col min="631" max="631" width="12.109375" bestFit="1" customWidth="1"/>
    <col min="632" max="632" width="7" customWidth="1"/>
    <col min="633" max="633" width="13.21875" bestFit="1" customWidth="1"/>
  </cols>
  <sheetData>
    <row r="3" spans="1:3" x14ac:dyDescent="0.3">
      <c r="A3" s="17" t="s">
        <v>1461</v>
      </c>
      <c r="B3" t="s">
        <v>1498</v>
      </c>
    </row>
    <row r="4" spans="1:3" x14ac:dyDescent="0.3">
      <c r="A4" s="18" t="s">
        <v>733</v>
      </c>
      <c r="B4" s="22"/>
    </row>
    <row r="5" spans="1:3" x14ac:dyDescent="0.3">
      <c r="A5" s="21" t="s">
        <v>1080</v>
      </c>
      <c r="B5" s="22">
        <v>5.6242052208963757E-2</v>
      </c>
      <c r="C5" t="str">
        <f t="shared" ref="C5:C66" si="0">IF(B5&lt;=0.8,"A",IF(B5&lt;=0.95,"B","C"))</f>
        <v>A</v>
      </c>
    </row>
    <row r="6" spans="1:3" x14ac:dyDescent="0.3">
      <c r="A6" s="21" t="s">
        <v>792</v>
      </c>
      <c r="B6" s="22">
        <v>0.10199684744593</v>
      </c>
      <c r="C6" t="str">
        <f t="shared" si="0"/>
        <v>A</v>
      </c>
    </row>
    <row r="7" spans="1:3" x14ac:dyDescent="0.3">
      <c r="A7" s="21" t="s">
        <v>1053</v>
      </c>
      <c r="B7" s="22">
        <v>0.13971393039644781</v>
      </c>
      <c r="C7" t="str">
        <f t="shared" si="0"/>
        <v>A</v>
      </c>
    </row>
    <row r="8" spans="1:3" x14ac:dyDescent="0.3">
      <c r="A8" s="21" t="s">
        <v>1288</v>
      </c>
      <c r="B8" s="22">
        <v>0.17274851727050322</v>
      </c>
      <c r="C8" t="str">
        <f t="shared" si="0"/>
        <v>A</v>
      </c>
    </row>
    <row r="9" spans="1:3" x14ac:dyDescent="0.3">
      <c r="A9" s="21" t="s">
        <v>1040</v>
      </c>
      <c r="B9" s="22">
        <v>0.20338970091601041</v>
      </c>
      <c r="C9" t="str">
        <f t="shared" si="0"/>
        <v>A</v>
      </c>
    </row>
    <row r="10" spans="1:3" x14ac:dyDescent="0.3">
      <c r="A10" s="21" t="s">
        <v>752</v>
      </c>
      <c r="B10" s="22">
        <v>0.23048301970260224</v>
      </c>
      <c r="C10" t="str">
        <f t="shared" si="0"/>
        <v>A</v>
      </c>
    </row>
    <row r="11" spans="1:3" x14ac:dyDescent="0.3">
      <c r="A11" s="21" t="s">
        <v>810</v>
      </c>
      <c r="B11" s="22">
        <v>0.2556562138677651</v>
      </c>
      <c r="C11" t="str">
        <f t="shared" si="0"/>
        <v>A</v>
      </c>
    </row>
    <row r="12" spans="1:3" x14ac:dyDescent="0.3">
      <c r="A12" s="21" t="s">
        <v>1094</v>
      </c>
      <c r="B12" s="22">
        <v>0.28066687948643354</v>
      </c>
      <c r="C12" t="str">
        <f t="shared" si="0"/>
        <v>A</v>
      </c>
    </row>
    <row r="13" spans="1:3" x14ac:dyDescent="0.3">
      <c r="A13" s="21" t="s">
        <v>831</v>
      </c>
      <c r="B13" s="22">
        <v>0.30494603415267818</v>
      </c>
      <c r="C13" t="str">
        <f t="shared" si="0"/>
        <v>A</v>
      </c>
    </row>
    <row r="14" spans="1:3" x14ac:dyDescent="0.3">
      <c r="A14" s="21" t="s">
        <v>811</v>
      </c>
      <c r="B14" s="22">
        <v>0.32845930024094389</v>
      </c>
      <c r="C14" t="str">
        <f t="shared" si="0"/>
        <v>A</v>
      </c>
    </row>
    <row r="15" spans="1:3" x14ac:dyDescent="0.3">
      <c r="A15" s="21" t="s">
        <v>876</v>
      </c>
      <c r="B15" s="22">
        <v>0.35127855186237211</v>
      </c>
      <c r="C15" t="str">
        <f t="shared" si="0"/>
        <v>A</v>
      </c>
    </row>
    <row r="16" spans="1:3" x14ac:dyDescent="0.3">
      <c r="A16" s="21" t="s">
        <v>1175</v>
      </c>
      <c r="B16" s="22">
        <v>0.37369008937437614</v>
      </c>
      <c r="C16" t="str">
        <f>IF(B16&lt;=0.8,"A",IF(B16&lt;=0.95,"B","C"))</f>
        <v>A</v>
      </c>
    </row>
    <row r="17" spans="1:3" x14ac:dyDescent="0.3">
      <c r="A17" s="21" t="s">
        <v>941</v>
      </c>
      <c r="B17" s="22">
        <v>0.39387771171007013</v>
      </c>
      <c r="C17" t="str">
        <f t="shared" si="0"/>
        <v>A</v>
      </c>
    </row>
    <row r="18" spans="1:3" x14ac:dyDescent="0.3">
      <c r="A18" s="21" t="s">
        <v>1074</v>
      </c>
      <c r="B18" s="22">
        <v>0.41341078504288309</v>
      </c>
      <c r="C18" t="str">
        <f t="shared" si="0"/>
        <v>A</v>
      </c>
    </row>
    <row r="19" spans="1:3" x14ac:dyDescent="0.3">
      <c r="A19" s="21" t="s">
        <v>1022</v>
      </c>
      <c r="B19" s="22">
        <v>0.43244559877688304</v>
      </c>
      <c r="C19" t="str">
        <f t="shared" si="0"/>
        <v>A</v>
      </c>
    </row>
    <row r="20" spans="1:3" x14ac:dyDescent="0.3">
      <c r="A20" s="21" t="s">
        <v>921</v>
      </c>
      <c r="B20" s="22">
        <v>0.45147632144377925</v>
      </c>
      <c r="C20" t="str">
        <f t="shared" si="0"/>
        <v>A</v>
      </c>
    </row>
    <row r="21" spans="1:3" x14ac:dyDescent="0.3">
      <c r="A21" s="21" t="s">
        <v>1086</v>
      </c>
      <c r="B21" s="22">
        <v>0.47036005363117955</v>
      </c>
      <c r="C21" t="str">
        <f t="shared" si="0"/>
        <v>A</v>
      </c>
    </row>
    <row r="22" spans="1:3" x14ac:dyDescent="0.3">
      <c r="A22" s="21" t="s">
        <v>1171</v>
      </c>
      <c r="B22" s="22">
        <v>0.48762673320934025</v>
      </c>
      <c r="C22" t="str">
        <f t="shared" si="0"/>
        <v>A</v>
      </c>
    </row>
    <row r="23" spans="1:3" x14ac:dyDescent="0.3">
      <c r="A23" s="21" t="s">
        <v>1142</v>
      </c>
      <c r="B23" s="22">
        <v>0.50445938606217244</v>
      </c>
      <c r="C23" t="str">
        <f t="shared" si="0"/>
        <v>A</v>
      </c>
    </row>
    <row r="24" spans="1:3" x14ac:dyDescent="0.3">
      <c r="A24" s="21" t="s">
        <v>1026</v>
      </c>
      <c r="B24" s="22">
        <v>0.5210836868240567</v>
      </c>
      <c r="C24" t="str">
        <f t="shared" si="0"/>
        <v>A</v>
      </c>
    </row>
    <row r="25" spans="1:3" x14ac:dyDescent="0.3">
      <c r="A25" s="21" t="s">
        <v>1089</v>
      </c>
      <c r="B25" s="22">
        <v>0.53757956534908458</v>
      </c>
      <c r="C25" t="str">
        <f t="shared" si="0"/>
        <v>A</v>
      </c>
    </row>
    <row r="26" spans="1:3" x14ac:dyDescent="0.3">
      <c r="A26" s="21" t="s">
        <v>1212</v>
      </c>
      <c r="B26" s="22">
        <v>0.55366711272188573</v>
      </c>
      <c r="C26" t="str">
        <f t="shared" si="0"/>
        <v>A</v>
      </c>
    </row>
    <row r="27" spans="1:3" x14ac:dyDescent="0.3">
      <c r="A27" s="21" t="s">
        <v>1255</v>
      </c>
      <c r="B27" s="22">
        <v>0.56968766689644379</v>
      </c>
      <c r="C27" t="str">
        <f t="shared" si="0"/>
        <v>A</v>
      </c>
    </row>
    <row r="28" spans="1:3" x14ac:dyDescent="0.3">
      <c r="A28" s="21" t="s">
        <v>1270</v>
      </c>
      <c r="B28" s="22">
        <v>0.58421766305414413</v>
      </c>
      <c r="C28" t="str">
        <f t="shared" si="0"/>
        <v>A</v>
      </c>
    </row>
    <row r="29" spans="1:3" x14ac:dyDescent="0.3">
      <c r="A29" s="21" t="s">
        <v>1285</v>
      </c>
      <c r="B29" s="22">
        <v>0.59855751589661543</v>
      </c>
      <c r="C29" t="str">
        <f t="shared" si="0"/>
        <v>A</v>
      </c>
    </row>
    <row r="30" spans="1:3" x14ac:dyDescent="0.3">
      <c r="A30" s="21" t="s">
        <v>827</v>
      </c>
      <c r="B30" s="22">
        <v>0.61283758281527001</v>
      </c>
      <c r="C30" t="str">
        <f t="shared" si="0"/>
        <v>A</v>
      </c>
    </row>
    <row r="31" spans="1:3" x14ac:dyDescent="0.3">
      <c r="A31" s="21" t="s">
        <v>1184</v>
      </c>
      <c r="B31" s="22">
        <v>0.62679700152814466</v>
      </c>
      <c r="C31" t="str">
        <f t="shared" si="0"/>
        <v>A</v>
      </c>
    </row>
    <row r="32" spans="1:3" x14ac:dyDescent="0.3">
      <c r="A32" s="21" t="s">
        <v>1024</v>
      </c>
      <c r="B32" s="22">
        <v>0.64035642897738221</v>
      </c>
      <c r="C32" t="str">
        <f t="shared" si="0"/>
        <v>A</v>
      </c>
    </row>
    <row r="33" spans="1:3" x14ac:dyDescent="0.3">
      <c r="A33" s="21" t="s">
        <v>995</v>
      </c>
      <c r="B33" s="22">
        <v>0.65313238885299341</v>
      </c>
      <c r="C33" t="str">
        <f t="shared" si="0"/>
        <v>A</v>
      </c>
    </row>
    <row r="34" spans="1:3" x14ac:dyDescent="0.3">
      <c r="A34" s="21" t="s">
        <v>943</v>
      </c>
      <c r="B34" s="22">
        <v>0.66582549844847216</v>
      </c>
      <c r="C34" t="str">
        <f t="shared" si="0"/>
        <v>A</v>
      </c>
    </row>
    <row r="35" spans="1:3" x14ac:dyDescent="0.3">
      <c r="A35" s="21" t="s">
        <v>800</v>
      </c>
      <c r="B35" s="22">
        <v>0.67721413988963231</v>
      </c>
      <c r="C35" t="str">
        <f t="shared" si="0"/>
        <v>A</v>
      </c>
    </row>
    <row r="36" spans="1:3" x14ac:dyDescent="0.3">
      <c r="A36" s="21" t="s">
        <v>744</v>
      </c>
      <c r="B36" s="22">
        <v>0.68859742032740101</v>
      </c>
      <c r="C36" t="str">
        <f t="shared" si="0"/>
        <v>A</v>
      </c>
    </row>
    <row r="37" spans="1:3" x14ac:dyDescent="0.3">
      <c r="A37" s="21" t="s">
        <v>1286</v>
      </c>
      <c r="B37" s="22">
        <v>0.69987732238849221</v>
      </c>
      <c r="C37" t="str">
        <f t="shared" si="0"/>
        <v>A</v>
      </c>
    </row>
    <row r="38" spans="1:3" x14ac:dyDescent="0.3">
      <c r="A38" s="21" t="s">
        <v>1279</v>
      </c>
      <c r="B38" s="22">
        <v>0.71092263954445878</v>
      </c>
      <c r="C38" t="str">
        <f t="shared" si="0"/>
        <v>A</v>
      </c>
    </row>
    <row r="39" spans="1:3" x14ac:dyDescent="0.3">
      <c r="A39" s="21" t="s">
        <v>784</v>
      </c>
      <c r="B39" s="22">
        <v>0.72151562654105938</v>
      </c>
      <c r="C39" t="str">
        <f t="shared" si="0"/>
        <v>A</v>
      </c>
    </row>
    <row r="40" spans="1:3" x14ac:dyDescent="0.3">
      <c r="A40" s="21" t="s">
        <v>1188</v>
      </c>
      <c r="B40" s="22">
        <v>0.73200748494243673</v>
      </c>
      <c r="C40" t="str">
        <f t="shared" si="0"/>
        <v>A</v>
      </c>
    </row>
    <row r="41" spans="1:3" x14ac:dyDescent="0.3">
      <c r="A41" s="21" t="s">
        <v>904</v>
      </c>
      <c r="B41" s="22">
        <v>0.74235449196452452</v>
      </c>
      <c r="C41" t="str">
        <f t="shared" si="0"/>
        <v>A</v>
      </c>
    </row>
    <row r="42" spans="1:3" x14ac:dyDescent="0.3">
      <c r="A42" s="21" t="s">
        <v>1128</v>
      </c>
      <c r="B42" s="22">
        <v>0.75261808395688645</v>
      </c>
      <c r="C42" t="str">
        <f t="shared" si="0"/>
        <v>A</v>
      </c>
    </row>
    <row r="43" spans="1:3" x14ac:dyDescent="0.3">
      <c r="A43" s="21" t="s">
        <v>1338</v>
      </c>
      <c r="B43" s="22">
        <v>0.76247259390977462</v>
      </c>
      <c r="C43" t="str">
        <f t="shared" si="0"/>
        <v>A</v>
      </c>
    </row>
    <row r="44" spans="1:3" x14ac:dyDescent="0.3">
      <c r="A44" s="21" t="s">
        <v>881</v>
      </c>
      <c r="B44" s="22">
        <v>0.77194634834282738</v>
      </c>
      <c r="C44" t="str">
        <f t="shared" si="0"/>
        <v>A</v>
      </c>
    </row>
    <row r="45" spans="1:3" x14ac:dyDescent="0.3">
      <c r="A45" s="21" t="s">
        <v>1291</v>
      </c>
      <c r="B45" s="22">
        <v>0.78126908032850118</v>
      </c>
      <c r="C45" t="str">
        <f t="shared" si="0"/>
        <v>A</v>
      </c>
    </row>
    <row r="46" spans="1:3" x14ac:dyDescent="0.3">
      <c r="A46" s="21" t="s">
        <v>1033</v>
      </c>
      <c r="B46" s="22">
        <v>0.79030057914891594</v>
      </c>
      <c r="C46" t="str">
        <f t="shared" si="0"/>
        <v>A</v>
      </c>
    </row>
    <row r="47" spans="1:3" x14ac:dyDescent="0.3">
      <c r="A47" s="21" t="s">
        <v>1321</v>
      </c>
      <c r="B47" s="22">
        <v>0.79886366758762362</v>
      </c>
      <c r="C47" t="str">
        <f t="shared" si="0"/>
        <v>A</v>
      </c>
    </row>
    <row r="48" spans="1:3" x14ac:dyDescent="0.3">
      <c r="A48" s="21" t="s">
        <v>1227</v>
      </c>
      <c r="B48" s="22">
        <v>0.8072980687888538</v>
      </c>
      <c r="C48" t="str">
        <f t="shared" si="0"/>
        <v>B</v>
      </c>
    </row>
    <row r="49" spans="1:3" x14ac:dyDescent="0.3">
      <c r="A49" s="21" t="s">
        <v>1046</v>
      </c>
      <c r="B49" s="22">
        <v>0.81532261986698307</v>
      </c>
      <c r="C49" t="str">
        <f t="shared" si="0"/>
        <v>B</v>
      </c>
    </row>
    <row r="50" spans="1:3" x14ac:dyDescent="0.3">
      <c r="A50" s="21" t="s">
        <v>888</v>
      </c>
      <c r="B50" s="22">
        <v>0.82315665212580924</v>
      </c>
      <c r="C50" t="str">
        <f t="shared" si="0"/>
        <v>B</v>
      </c>
    </row>
    <row r="51" spans="1:3" x14ac:dyDescent="0.3">
      <c r="A51" s="21" t="s">
        <v>756</v>
      </c>
      <c r="B51" s="22">
        <v>0.83093484351515456</v>
      </c>
      <c r="C51" t="str">
        <f t="shared" si="0"/>
        <v>B</v>
      </c>
    </row>
    <row r="52" spans="1:3" x14ac:dyDescent="0.3">
      <c r="A52" s="21" t="s">
        <v>1149</v>
      </c>
      <c r="B52" s="22">
        <v>0.83868219179638326</v>
      </c>
      <c r="C52" t="str">
        <f t="shared" si="0"/>
        <v>B</v>
      </c>
    </row>
    <row r="53" spans="1:3" x14ac:dyDescent="0.3">
      <c r="A53" s="21" t="s">
        <v>1355</v>
      </c>
      <c r="B53" s="22">
        <v>0.84628748978803081</v>
      </c>
      <c r="C53" t="str">
        <f t="shared" si="0"/>
        <v>B</v>
      </c>
    </row>
    <row r="54" spans="1:3" x14ac:dyDescent="0.3">
      <c r="A54" s="21" t="s">
        <v>804</v>
      </c>
      <c r="B54" s="22">
        <v>0.85385996127042185</v>
      </c>
      <c r="C54" t="str">
        <f t="shared" si="0"/>
        <v>B</v>
      </c>
    </row>
    <row r="55" spans="1:3" x14ac:dyDescent="0.3">
      <c r="A55" s="21" t="s">
        <v>919</v>
      </c>
      <c r="B55" s="22">
        <v>0.86124802526231425</v>
      </c>
      <c r="C55" t="str">
        <f t="shared" si="0"/>
        <v>B</v>
      </c>
    </row>
    <row r="56" spans="1:3" x14ac:dyDescent="0.3">
      <c r="A56" s="21" t="s">
        <v>892</v>
      </c>
      <c r="B56" s="22">
        <v>0.8686319849093358</v>
      </c>
      <c r="C56" t="str">
        <f t="shared" si="0"/>
        <v>B</v>
      </c>
    </row>
    <row r="57" spans="1:3" x14ac:dyDescent="0.3">
      <c r="A57" s="21" t="s">
        <v>1059</v>
      </c>
      <c r="B57" s="22">
        <v>0.87562222674256407</v>
      </c>
      <c r="C57" t="str">
        <f t="shared" si="0"/>
        <v>B</v>
      </c>
    </row>
    <row r="58" spans="1:3" x14ac:dyDescent="0.3">
      <c r="A58" s="21" t="s">
        <v>1322</v>
      </c>
      <c r="B58" s="22">
        <v>0.88203875928475295</v>
      </c>
      <c r="C58" t="str">
        <f t="shared" si="0"/>
        <v>B</v>
      </c>
    </row>
    <row r="59" spans="1:3" x14ac:dyDescent="0.3">
      <c r="A59" s="21" t="s">
        <v>1231</v>
      </c>
      <c r="B59" s="22">
        <v>0.88818669234042802</v>
      </c>
      <c r="C59" t="str">
        <f t="shared" si="0"/>
        <v>B</v>
      </c>
    </row>
    <row r="60" spans="1:3" x14ac:dyDescent="0.3">
      <c r="A60" s="21" t="s">
        <v>759</v>
      </c>
      <c r="B60" s="22">
        <v>0.89430021909569157</v>
      </c>
      <c r="C60" t="str">
        <f t="shared" si="0"/>
        <v>B</v>
      </c>
    </row>
    <row r="61" spans="1:3" x14ac:dyDescent="0.3">
      <c r="A61" s="21" t="s">
        <v>1326</v>
      </c>
      <c r="B61" s="22">
        <v>0.90024998158313696</v>
      </c>
      <c r="C61" t="str">
        <f t="shared" si="0"/>
        <v>B</v>
      </c>
    </row>
    <row r="62" spans="1:3" x14ac:dyDescent="0.3">
      <c r="A62" s="21" t="s">
        <v>1150</v>
      </c>
      <c r="B62" s="22">
        <v>0.9059177188199401</v>
      </c>
      <c r="C62" t="str">
        <f t="shared" si="0"/>
        <v>B</v>
      </c>
    </row>
    <row r="63" spans="1:3" x14ac:dyDescent="0.3">
      <c r="A63" s="21" t="s">
        <v>948</v>
      </c>
      <c r="B63" s="22">
        <v>0.91150381795781144</v>
      </c>
      <c r="C63" t="str">
        <f t="shared" si="0"/>
        <v>B</v>
      </c>
    </row>
    <row r="64" spans="1:3" x14ac:dyDescent="0.3">
      <c r="A64" s="21" t="s">
        <v>916</v>
      </c>
      <c r="B64" s="22">
        <v>0.91697242033476756</v>
      </c>
      <c r="C64" t="str">
        <f t="shared" si="0"/>
        <v>B</v>
      </c>
    </row>
    <row r="65" spans="1:3" x14ac:dyDescent="0.3">
      <c r="A65" s="21" t="s">
        <v>748</v>
      </c>
      <c r="B65" s="22">
        <v>0.92236235460821547</v>
      </c>
      <c r="C65" t="str">
        <f t="shared" si="0"/>
        <v>B</v>
      </c>
    </row>
    <row r="66" spans="1:3" x14ac:dyDescent="0.3">
      <c r="A66" s="21" t="s">
        <v>993</v>
      </c>
      <c r="B66" s="22">
        <v>0.92774526467969698</v>
      </c>
      <c r="C66" t="str">
        <f t="shared" si="0"/>
        <v>B</v>
      </c>
    </row>
    <row r="67" spans="1:3" x14ac:dyDescent="0.3">
      <c r="A67" s="21" t="s">
        <v>1225</v>
      </c>
      <c r="B67" s="22">
        <v>0.93308442873279718</v>
      </c>
      <c r="C67" t="str">
        <f t="shared" ref="C67:C130" si="1">IF(B67&lt;=0.8,"A",IF(B67&lt;=0.95,"B","C"))</f>
        <v>B</v>
      </c>
    </row>
    <row r="68" spans="1:3" x14ac:dyDescent="0.3">
      <c r="A68" s="21" t="s">
        <v>1027</v>
      </c>
      <c r="B68" s="22">
        <v>0.93833447707094153</v>
      </c>
      <c r="C68" t="str">
        <f t="shared" si="1"/>
        <v>B</v>
      </c>
    </row>
    <row r="69" spans="1:3" x14ac:dyDescent="0.3">
      <c r="A69" s="21" t="s">
        <v>1004</v>
      </c>
      <c r="B69" s="22">
        <v>0.94348003037716821</v>
      </c>
      <c r="C69" t="str">
        <f t="shared" si="1"/>
        <v>B</v>
      </c>
    </row>
    <row r="70" spans="1:3" x14ac:dyDescent="0.3">
      <c r="A70" s="21" t="s">
        <v>1066</v>
      </c>
      <c r="B70" s="22">
        <v>0.94853322909645232</v>
      </c>
      <c r="C70" t="str">
        <f t="shared" si="1"/>
        <v>B</v>
      </c>
    </row>
    <row r="71" spans="1:3" x14ac:dyDescent="0.3">
      <c r="A71" s="21" t="s">
        <v>1310</v>
      </c>
      <c r="B71" s="22">
        <v>0.9533212142665265</v>
      </c>
      <c r="C71" t="str">
        <f t="shared" si="1"/>
        <v>C</v>
      </c>
    </row>
    <row r="72" spans="1:3" x14ac:dyDescent="0.3">
      <c r="A72" s="21" t="s">
        <v>1011</v>
      </c>
      <c r="B72" s="22">
        <v>0.95763563267277563</v>
      </c>
      <c r="C72" t="str">
        <f t="shared" si="1"/>
        <v>C</v>
      </c>
    </row>
    <row r="73" spans="1:3" x14ac:dyDescent="0.3">
      <c r="A73" s="21" t="s">
        <v>837</v>
      </c>
      <c r="B73" s="22">
        <v>0.96187451467949392</v>
      </c>
      <c r="C73" t="str">
        <f t="shared" si="1"/>
        <v>C</v>
      </c>
    </row>
    <row r="74" spans="1:3" x14ac:dyDescent="0.3">
      <c r="A74" s="21" t="s">
        <v>1067</v>
      </c>
      <c r="B74" s="22">
        <v>0.96586431117921812</v>
      </c>
      <c r="C74" t="str">
        <f t="shared" si="1"/>
        <v>C</v>
      </c>
    </row>
    <row r="75" spans="1:3" x14ac:dyDescent="0.3">
      <c r="A75" s="21" t="s">
        <v>961</v>
      </c>
      <c r="B75" s="22">
        <v>0.96979972402129411</v>
      </c>
      <c r="C75" t="str">
        <f t="shared" si="1"/>
        <v>C</v>
      </c>
    </row>
    <row r="76" spans="1:3" x14ac:dyDescent="0.3">
      <c r="A76" s="21" t="s">
        <v>791</v>
      </c>
      <c r="B76" s="22">
        <v>0.97320636155616691</v>
      </c>
      <c r="C76" t="str">
        <f t="shared" si="1"/>
        <v>C</v>
      </c>
    </row>
    <row r="77" spans="1:3" x14ac:dyDescent="0.3">
      <c r="A77" s="21" t="s">
        <v>1275</v>
      </c>
      <c r="B77" s="22">
        <v>0.97657538683925416</v>
      </c>
      <c r="C77" t="str">
        <f t="shared" si="1"/>
        <v>C</v>
      </c>
    </row>
    <row r="78" spans="1:3" x14ac:dyDescent="0.3">
      <c r="A78" s="21" t="s">
        <v>1303</v>
      </c>
      <c r="B78" s="22">
        <v>0.97983057191768885</v>
      </c>
      <c r="C78" t="str">
        <f t="shared" si="1"/>
        <v>C</v>
      </c>
    </row>
    <row r="79" spans="1:3" x14ac:dyDescent="0.3">
      <c r="A79" s="21" t="s">
        <v>793</v>
      </c>
      <c r="B79" s="22">
        <v>0.98308056735913663</v>
      </c>
      <c r="C79" t="str">
        <f t="shared" si="1"/>
        <v>C</v>
      </c>
    </row>
    <row r="80" spans="1:3" x14ac:dyDescent="0.3">
      <c r="A80" s="21" t="s">
        <v>865</v>
      </c>
      <c r="B80" s="22">
        <v>0.98622245078256843</v>
      </c>
      <c r="C80" t="str">
        <f t="shared" si="1"/>
        <v>C</v>
      </c>
    </row>
    <row r="81" spans="1:3" x14ac:dyDescent="0.3">
      <c r="A81" s="21" t="s">
        <v>1092</v>
      </c>
      <c r="B81" s="22">
        <v>0.98911824148069971</v>
      </c>
      <c r="C81" t="str">
        <f t="shared" si="1"/>
        <v>C</v>
      </c>
    </row>
    <row r="82" spans="1:3" x14ac:dyDescent="0.3">
      <c r="A82" s="21" t="s">
        <v>1072</v>
      </c>
      <c r="B82" s="22">
        <v>0.99126707890583576</v>
      </c>
      <c r="C82" t="str">
        <f t="shared" si="1"/>
        <v>C</v>
      </c>
    </row>
    <row r="83" spans="1:3" x14ac:dyDescent="0.3">
      <c r="A83" s="21" t="s">
        <v>1199</v>
      </c>
      <c r="B83" s="22">
        <v>0.99320139192025436</v>
      </c>
      <c r="C83" t="str">
        <f t="shared" si="1"/>
        <v>C</v>
      </c>
    </row>
    <row r="84" spans="1:3" x14ac:dyDescent="0.3">
      <c r="A84" s="21" t="s">
        <v>847</v>
      </c>
      <c r="B84" s="22">
        <v>0.99470730798262164</v>
      </c>
      <c r="C84" t="str">
        <f t="shared" si="1"/>
        <v>C</v>
      </c>
    </row>
    <row r="85" spans="1:3" x14ac:dyDescent="0.3">
      <c r="A85" s="21" t="s">
        <v>1223</v>
      </c>
      <c r="B85" s="22">
        <v>0.99580775538592081</v>
      </c>
      <c r="C85" t="str">
        <f t="shared" si="1"/>
        <v>C</v>
      </c>
    </row>
    <row r="86" spans="1:3" x14ac:dyDescent="0.3">
      <c r="A86" s="21" t="s">
        <v>873</v>
      </c>
      <c r="B86" s="22">
        <v>0.99683680061842594</v>
      </c>
      <c r="C86" t="str">
        <f t="shared" si="1"/>
        <v>C</v>
      </c>
    </row>
    <row r="87" spans="1:3" x14ac:dyDescent="0.3">
      <c r="A87" s="21" t="s">
        <v>1352</v>
      </c>
      <c r="B87" s="22">
        <v>0.99756985668477249</v>
      </c>
      <c r="C87" t="str">
        <f t="shared" si="1"/>
        <v>C</v>
      </c>
    </row>
    <row r="88" spans="1:3" x14ac:dyDescent="0.3">
      <c r="A88" s="21" t="s">
        <v>1250</v>
      </c>
      <c r="B88" s="22">
        <v>0.99828841781025801</v>
      </c>
      <c r="C88" t="str">
        <f t="shared" si="1"/>
        <v>C</v>
      </c>
    </row>
    <row r="89" spans="1:3" x14ac:dyDescent="0.3">
      <c r="A89" s="21" t="s">
        <v>1194</v>
      </c>
      <c r="B89" s="22">
        <v>0.99894994201466869</v>
      </c>
      <c r="C89" t="str">
        <f t="shared" si="1"/>
        <v>C</v>
      </c>
    </row>
    <row r="90" spans="1:3" x14ac:dyDescent="0.3">
      <c r="A90" s="21" t="s">
        <v>955</v>
      </c>
      <c r="B90" s="22">
        <v>0.99959572154661014</v>
      </c>
      <c r="C90" t="str">
        <f t="shared" si="1"/>
        <v>C</v>
      </c>
    </row>
    <row r="91" spans="1:3" x14ac:dyDescent="0.3">
      <c r="A91" s="21" t="s">
        <v>843</v>
      </c>
      <c r="B91" s="22">
        <v>0.99998672945844569</v>
      </c>
      <c r="C91" t="str">
        <f t="shared" si="1"/>
        <v>C</v>
      </c>
    </row>
    <row r="92" spans="1:3" x14ac:dyDescent="0.3">
      <c r="A92" s="21" t="s">
        <v>914</v>
      </c>
      <c r="B92" s="22">
        <v>1</v>
      </c>
      <c r="C92" t="str">
        <f t="shared" si="1"/>
        <v>C</v>
      </c>
    </row>
    <row r="93" spans="1:3" x14ac:dyDescent="0.3">
      <c r="A93" s="18" t="s">
        <v>727</v>
      </c>
      <c r="B93" s="22"/>
      <c r="C93" t="str">
        <f t="shared" si="1"/>
        <v>A</v>
      </c>
    </row>
    <row r="94" spans="1:3" x14ac:dyDescent="0.3">
      <c r="A94" s="21" t="s">
        <v>971</v>
      </c>
      <c r="B94" s="22">
        <v>8.9845040841891002E-2</v>
      </c>
      <c r="C94" t="str">
        <f t="shared" si="1"/>
        <v>A</v>
      </c>
    </row>
    <row r="95" spans="1:3" x14ac:dyDescent="0.3">
      <c r="A95" s="21" t="s">
        <v>1198</v>
      </c>
      <c r="B95" s="22">
        <v>0.14411938647444741</v>
      </c>
      <c r="C95" t="str">
        <f t="shared" si="1"/>
        <v>A</v>
      </c>
    </row>
    <row r="96" spans="1:3" x14ac:dyDescent="0.3">
      <c r="A96" s="21" t="s">
        <v>860</v>
      </c>
      <c r="B96" s="22">
        <v>0.18612129829041857</v>
      </c>
      <c r="C96" t="str">
        <f t="shared" si="1"/>
        <v>A</v>
      </c>
    </row>
    <row r="97" spans="1:3" x14ac:dyDescent="0.3">
      <c r="A97" s="21" t="s">
        <v>743</v>
      </c>
      <c r="B97" s="22">
        <v>0.22542492450567689</v>
      </c>
      <c r="C97" t="str">
        <f t="shared" si="1"/>
        <v>A</v>
      </c>
    </row>
    <row r="98" spans="1:3" x14ac:dyDescent="0.3">
      <c r="A98" s="21" t="s">
        <v>1125</v>
      </c>
      <c r="B98" s="22">
        <v>0.25920226094726884</v>
      </c>
      <c r="C98" t="str">
        <f t="shared" si="1"/>
        <v>A</v>
      </c>
    </row>
    <row r="99" spans="1:3" x14ac:dyDescent="0.3">
      <c r="A99" s="21" t="s">
        <v>1245</v>
      </c>
      <c r="B99" s="22">
        <v>0.29164736355571186</v>
      </c>
      <c r="C99" t="str">
        <f t="shared" si="1"/>
        <v>A</v>
      </c>
    </row>
    <row r="100" spans="1:3" x14ac:dyDescent="0.3">
      <c r="A100" s="21" t="s">
        <v>1351</v>
      </c>
      <c r="B100" s="22">
        <v>0.31836618046535875</v>
      </c>
      <c r="C100" t="str">
        <f t="shared" si="1"/>
        <v>A</v>
      </c>
    </row>
    <row r="101" spans="1:3" x14ac:dyDescent="0.3">
      <c r="A101" s="21" t="s">
        <v>1361</v>
      </c>
      <c r="B101" s="22">
        <v>0.3444763593123128</v>
      </c>
      <c r="C101" t="str">
        <f t="shared" si="1"/>
        <v>A</v>
      </c>
    </row>
    <row r="102" spans="1:3" x14ac:dyDescent="0.3">
      <c r="A102" s="21" t="s">
        <v>794</v>
      </c>
      <c r="B102" s="22">
        <v>0.36620741994219436</v>
      </c>
      <c r="C102" t="str">
        <f t="shared" si="1"/>
        <v>A</v>
      </c>
    </row>
    <row r="103" spans="1:3" x14ac:dyDescent="0.3">
      <c r="A103" s="21" t="s">
        <v>1247</v>
      </c>
      <c r="B103" s="22">
        <v>0.38769402716646301</v>
      </c>
      <c r="C103" t="str">
        <f t="shared" si="1"/>
        <v>A</v>
      </c>
    </row>
    <row r="104" spans="1:3" x14ac:dyDescent="0.3">
      <c r="A104" s="21" t="s">
        <v>1238</v>
      </c>
      <c r="B104" s="22">
        <v>0.4085527595071633</v>
      </c>
      <c r="C104" t="str">
        <f t="shared" si="1"/>
        <v>A</v>
      </c>
    </row>
    <row r="105" spans="1:3" x14ac:dyDescent="0.3">
      <c r="A105" s="21" t="s">
        <v>795</v>
      </c>
      <c r="B105" s="22">
        <v>0.42642242848645612</v>
      </c>
      <c r="C105" t="str">
        <f t="shared" si="1"/>
        <v>A</v>
      </c>
    </row>
    <row r="106" spans="1:3" x14ac:dyDescent="0.3">
      <c r="A106" s="21" t="s">
        <v>844</v>
      </c>
      <c r="B106" s="22">
        <v>0.44427582834479235</v>
      </c>
      <c r="C106" t="str">
        <f t="shared" si="1"/>
        <v>A</v>
      </c>
    </row>
    <row r="107" spans="1:3" x14ac:dyDescent="0.3">
      <c r="A107" s="21" t="s">
        <v>768</v>
      </c>
      <c r="B107" s="22">
        <v>0.46190698598841484</v>
      </c>
      <c r="C107" t="str">
        <f t="shared" si="1"/>
        <v>A</v>
      </c>
    </row>
    <row r="108" spans="1:3" x14ac:dyDescent="0.3">
      <c r="A108" s="21" t="s">
        <v>1082</v>
      </c>
      <c r="B108" s="22">
        <v>0.47942658650367209</v>
      </c>
      <c r="C108" t="str">
        <f t="shared" si="1"/>
        <v>A</v>
      </c>
    </row>
    <row r="109" spans="1:3" x14ac:dyDescent="0.3">
      <c r="A109" s="21" t="s">
        <v>1058</v>
      </c>
      <c r="B109" s="22">
        <v>0.49620857624233777</v>
      </c>
      <c r="C109" t="str">
        <f t="shared" si="1"/>
        <v>A</v>
      </c>
    </row>
    <row r="110" spans="1:3" x14ac:dyDescent="0.3">
      <c r="A110" s="21" t="s">
        <v>1034</v>
      </c>
      <c r="B110" s="22">
        <v>0.51270790875679506</v>
      </c>
      <c r="C110" t="str">
        <f t="shared" si="1"/>
        <v>A</v>
      </c>
    </row>
    <row r="111" spans="1:3" x14ac:dyDescent="0.3">
      <c r="A111" s="21" t="s">
        <v>1201</v>
      </c>
      <c r="B111" s="22">
        <v>0.52900843855303936</v>
      </c>
      <c r="C111" t="str">
        <f t="shared" si="1"/>
        <v>A</v>
      </c>
    </row>
    <row r="112" spans="1:3" x14ac:dyDescent="0.3">
      <c r="A112" s="21" t="s">
        <v>1319</v>
      </c>
      <c r="B112" s="22">
        <v>0.54521999018359124</v>
      </c>
      <c r="C112" t="str">
        <f t="shared" si="1"/>
        <v>A</v>
      </c>
    </row>
    <row r="113" spans="1:3" x14ac:dyDescent="0.3">
      <c r="A113" s="21" t="s">
        <v>758</v>
      </c>
      <c r="B113" s="22">
        <v>0.56127883548050594</v>
      </c>
      <c r="C113" t="str">
        <f t="shared" si="1"/>
        <v>A</v>
      </c>
    </row>
    <row r="114" spans="1:3" x14ac:dyDescent="0.3">
      <c r="A114" s="21" t="s">
        <v>1192</v>
      </c>
      <c r="B114" s="22">
        <v>0.57696814112928241</v>
      </c>
      <c r="C114" t="str">
        <f t="shared" si="1"/>
        <v>A</v>
      </c>
    </row>
    <row r="115" spans="1:3" x14ac:dyDescent="0.3">
      <c r="A115" s="21" t="s">
        <v>891</v>
      </c>
      <c r="B115" s="22">
        <v>0.59254543062521003</v>
      </c>
      <c r="C115" t="str">
        <f t="shared" si="1"/>
        <v>A</v>
      </c>
    </row>
    <row r="116" spans="1:3" x14ac:dyDescent="0.3">
      <c r="A116" s="21" t="s">
        <v>1185</v>
      </c>
      <c r="B116" s="22">
        <v>0.60783016611282925</v>
      </c>
      <c r="C116" t="str">
        <f t="shared" si="1"/>
        <v>A</v>
      </c>
    </row>
    <row r="117" spans="1:3" x14ac:dyDescent="0.3">
      <c r="A117" s="21" t="s">
        <v>994</v>
      </c>
      <c r="B117" s="22">
        <v>0.6225912727782259</v>
      </c>
      <c r="C117" t="str">
        <f t="shared" si="1"/>
        <v>A</v>
      </c>
    </row>
    <row r="118" spans="1:3" x14ac:dyDescent="0.3">
      <c r="A118" s="21" t="s">
        <v>812</v>
      </c>
      <c r="B118" s="22">
        <v>0.63664618742797263</v>
      </c>
      <c r="C118" t="str">
        <f t="shared" si="1"/>
        <v>A</v>
      </c>
    </row>
    <row r="119" spans="1:3" x14ac:dyDescent="0.3">
      <c r="A119" s="21" t="s">
        <v>1099</v>
      </c>
      <c r="B119" s="22">
        <v>0.65056999473031563</v>
      </c>
      <c r="C119" t="str">
        <f t="shared" si="1"/>
        <v>A</v>
      </c>
    </row>
    <row r="120" spans="1:3" x14ac:dyDescent="0.3">
      <c r="A120" s="21" t="s">
        <v>1127</v>
      </c>
      <c r="B120" s="22">
        <v>0.66334310925421047</v>
      </c>
      <c r="C120" t="str">
        <f t="shared" si="1"/>
        <v>A</v>
      </c>
    </row>
    <row r="121" spans="1:3" x14ac:dyDescent="0.3">
      <c r="A121" s="21" t="s">
        <v>990</v>
      </c>
      <c r="B121" s="22">
        <v>0.67564671722467429</v>
      </c>
      <c r="C121" t="str">
        <f t="shared" si="1"/>
        <v>A</v>
      </c>
    </row>
    <row r="122" spans="1:3" x14ac:dyDescent="0.3">
      <c r="A122" s="21" t="s">
        <v>770</v>
      </c>
      <c r="B122" s="22">
        <v>0.68787570081110661</v>
      </c>
      <c r="C122" t="str">
        <f t="shared" si="1"/>
        <v>A</v>
      </c>
    </row>
    <row r="123" spans="1:3" x14ac:dyDescent="0.3">
      <c r="A123" s="21" t="s">
        <v>1101</v>
      </c>
      <c r="B123" s="22">
        <v>0.69984471378014113</v>
      </c>
      <c r="C123" t="str">
        <f t="shared" si="1"/>
        <v>A</v>
      </c>
    </row>
    <row r="124" spans="1:3" x14ac:dyDescent="0.3">
      <c r="A124" s="21" t="s">
        <v>944</v>
      </c>
      <c r="B124" s="22">
        <v>0.71149559630793369</v>
      </c>
      <c r="C124" t="str">
        <f t="shared" si="1"/>
        <v>A</v>
      </c>
    </row>
    <row r="125" spans="1:3" x14ac:dyDescent="0.3">
      <c r="A125" s="21" t="s">
        <v>778</v>
      </c>
      <c r="B125" s="22">
        <v>0.72306216086711161</v>
      </c>
      <c r="C125" t="str">
        <f t="shared" si="1"/>
        <v>A</v>
      </c>
    </row>
    <row r="126" spans="1:3" x14ac:dyDescent="0.3">
      <c r="A126" s="21" t="s">
        <v>1001</v>
      </c>
      <c r="B126" s="22">
        <v>0.73441167887486036</v>
      </c>
      <c r="C126" t="str">
        <f t="shared" si="1"/>
        <v>A</v>
      </c>
    </row>
    <row r="127" spans="1:3" x14ac:dyDescent="0.3">
      <c r="A127" s="21" t="s">
        <v>1298</v>
      </c>
      <c r="B127" s="22">
        <v>0.74572647378788171</v>
      </c>
      <c r="C127" t="str">
        <f t="shared" si="1"/>
        <v>A</v>
      </c>
    </row>
    <row r="128" spans="1:3" x14ac:dyDescent="0.3">
      <c r="A128" s="21" t="s">
        <v>1135</v>
      </c>
      <c r="B128" s="22">
        <v>0.75665802197453236</v>
      </c>
      <c r="C128" t="str">
        <f t="shared" si="1"/>
        <v>A</v>
      </c>
    </row>
    <row r="129" spans="1:3" x14ac:dyDescent="0.3">
      <c r="A129" s="21" t="s">
        <v>1205</v>
      </c>
      <c r="B129" s="22">
        <v>0.76657581187301471</v>
      </c>
      <c r="C129" t="str">
        <f t="shared" si="1"/>
        <v>A</v>
      </c>
    </row>
    <row r="130" spans="1:3" x14ac:dyDescent="0.3">
      <c r="A130" s="21" t="s">
        <v>1111</v>
      </c>
      <c r="B130" s="22">
        <v>0.77647691967171228</v>
      </c>
      <c r="C130" t="str">
        <f t="shared" si="1"/>
        <v>A</v>
      </c>
    </row>
    <row r="131" spans="1:3" x14ac:dyDescent="0.3">
      <c r="A131" s="21" t="s">
        <v>968</v>
      </c>
      <c r="B131" s="22">
        <v>0.78568208267094153</v>
      </c>
      <c r="C131" t="str">
        <f t="shared" ref="C131:C194" si="2">IF(B131&lt;=0.8,"A",IF(B131&lt;=0.95,"B","C"))</f>
        <v>A</v>
      </c>
    </row>
    <row r="132" spans="1:3" x14ac:dyDescent="0.3">
      <c r="A132" s="21" t="s">
        <v>820</v>
      </c>
      <c r="B132" s="22">
        <v>0.79484029419622404</v>
      </c>
      <c r="C132" t="str">
        <f t="shared" si="2"/>
        <v>A</v>
      </c>
    </row>
    <row r="133" spans="1:3" x14ac:dyDescent="0.3">
      <c r="A133" s="21" t="s">
        <v>1358</v>
      </c>
      <c r="B133" s="22">
        <v>0.80386090309186209</v>
      </c>
      <c r="C133" t="str">
        <f t="shared" si="2"/>
        <v>B</v>
      </c>
    </row>
    <row r="134" spans="1:3" x14ac:dyDescent="0.3">
      <c r="A134" s="21" t="s">
        <v>954</v>
      </c>
      <c r="B134" s="22">
        <v>0.8125820516146518</v>
      </c>
      <c r="C134" t="str">
        <f t="shared" si="2"/>
        <v>B</v>
      </c>
    </row>
    <row r="135" spans="1:3" x14ac:dyDescent="0.3">
      <c r="A135" s="21" t="s">
        <v>1131</v>
      </c>
      <c r="B135" s="22">
        <v>0.82108775310810334</v>
      </c>
      <c r="C135" t="str">
        <f t="shared" si="2"/>
        <v>B</v>
      </c>
    </row>
    <row r="136" spans="1:3" x14ac:dyDescent="0.3">
      <c r="A136" s="21" t="s">
        <v>819</v>
      </c>
      <c r="B136" s="22">
        <v>0.82956824992697575</v>
      </c>
      <c r="C136" t="str">
        <f t="shared" si="2"/>
        <v>B</v>
      </c>
    </row>
    <row r="137" spans="1:3" x14ac:dyDescent="0.3">
      <c r="A137" s="21" t="s">
        <v>984</v>
      </c>
      <c r="B137" s="22">
        <v>0.83742940616458927</v>
      </c>
      <c r="C137" t="str">
        <f t="shared" si="2"/>
        <v>B</v>
      </c>
    </row>
    <row r="138" spans="1:3" x14ac:dyDescent="0.3">
      <c r="A138" s="21" t="s">
        <v>839</v>
      </c>
      <c r="B138" s="22">
        <v>0.84522208519706099</v>
      </c>
      <c r="C138" t="str">
        <f t="shared" si="2"/>
        <v>B</v>
      </c>
    </row>
    <row r="139" spans="1:3" x14ac:dyDescent="0.3">
      <c r="A139" s="21" t="s">
        <v>771</v>
      </c>
      <c r="B139" s="22">
        <v>0.85295989308343512</v>
      </c>
      <c r="C139" t="str">
        <f t="shared" si="2"/>
        <v>B</v>
      </c>
    </row>
    <row r="140" spans="1:3" x14ac:dyDescent="0.3">
      <c r="A140" s="21" t="s">
        <v>1323</v>
      </c>
      <c r="B140" s="22">
        <v>0.86053495839914629</v>
      </c>
      <c r="C140" t="str">
        <f t="shared" si="2"/>
        <v>B</v>
      </c>
    </row>
    <row r="141" spans="1:3" x14ac:dyDescent="0.3">
      <c r="A141" s="21" t="s">
        <v>1023</v>
      </c>
      <c r="B141" s="22">
        <v>0.8672801611315909</v>
      </c>
      <c r="C141" t="str">
        <f t="shared" si="2"/>
        <v>B</v>
      </c>
    </row>
    <row r="142" spans="1:3" x14ac:dyDescent="0.3">
      <c r="A142" s="21" t="s">
        <v>764</v>
      </c>
      <c r="B142" s="22">
        <v>0.87360570235212598</v>
      </c>
      <c r="C142" t="str">
        <f t="shared" si="2"/>
        <v>B</v>
      </c>
    </row>
    <row r="143" spans="1:3" x14ac:dyDescent="0.3">
      <c r="A143" s="21" t="s">
        <v>870</v>
      </c>
      <c r="B143" s="22">
        <v>0.87986177285734724</v>
      </c>
      <c r="C143" t="str">
        <f t="shared" si="2"/>
        <v>B</v>
      </c>
    </row>
    <row r="144" spans="1:3" x14ac:dyDescent="0.3">
      <c r="A144" s="21" t="s">
        <v>803</v>
      </c>
      <c r="B144" s="22">
        <v>0.88562277751592178</v>
      </c>
      <c r="C144" t="str">
        <f t="shared" si="2"/>
        <v>B</v>
      </c>
    </row>
    <row r="145" spans="1:3" x14ac:dyDescent="0.3">
      <c r="A145" s="21" t="s">
        <v>905</v>
      </c>
      <c r="B145" s="22">
        <v>0.89138266431912117</v>
      </c>
      <c r="C145" t="str">
        <f t="shared" si="2"/>
        <v>B</v>
      </c>
    </row>
    <row r="146" spans="1:3" x14ac:dyDescent="0.3">
      <c r="A146" s="21" t="s">
        <v>859</v>
      </c>
      <c r="B146" s="22">
        <v>0.89713021666650228</v>
      </c>
      <c r="C146" t="str">
        <f t="shared" si="2"/>
        <v>B</v>
      </c>
    </row>
    <row r="147" spans="1:3" x14ac:dyDescent="0.3">
      <c r="A147" s="21" t="s">
        <v>1028</v>
      </c>
      <c r="B147" s="22">
        <v>0.90287365682332565</v>
      </c>
      <c r="C147" t="str">
        <f t="shared" si="2"/>
        <v>B</v>
      </c>
    </row>
    <row r="148" spans="1:3" x14ac:dyDescent="0.3">
      <c r="A148" s="21" t="s">
        <v>1049</v>
      </c>
      <c r="B148" s="22">
        <v>0.90853781491484309</v>
      </c>
      <c r="C148" t="str">
        <f t="shared" si="2"/>
        <v>B</v>
      </c>
    </row>
    <row r="149" spans="1:3" x14ac:dyDescent="0.3">
      <c r="A149" s="21" t="s">
        <v>1328</v>
      </c>
      <c r="B149" s="22">
        <v>0.91378134216824658</v>
      </c>
      <c r="C149" t="str">
        <f t="shared" si="2"/>
        <v>B</v>
      </c>
    </row>
    <row r="150" spans="1:3" x14ac:dyDescent="0.3">
      <c r="A150" s="21" t="s">
        <v>1137</v>
      </c>
      <c r="B150" s="22">
        <v>0.9188335924588098</v>
      </c>
      <c r="C150" t="str">
        <f t="shared" si="2"/>
        <v>B</v>
      </c>
    </row>
    <row r="151" spans="1:3" x14ac:dyDescent="0.3">
      <c r="A151" s="21" t="s">
        <v>1253</v>
      </c>
      <c r="B151" s="22">
        <v>0.92360683504009822</v>
      </c>
      <c r="C151" t="str">
        <f t="shared" si="2"/>
        <v>B</v>
      </c>
    </row>
    <row r="152" spans="1:3" x14ac:dyDescent="0.3">
      <c r="A152" s="21" t="s">
        <v>1170</v>
      </c>
      <c r="B152" s="22">
        <v>0.92834195735327207</v>
      </c>
      <c r="C152" t="str">
        <f t="shared" si="2"/>
        <v>B</v>
      </c>
    </row>
    <row r="153" spans="1:3" x14ac:dyDescent="0.3">
      <c r="A153" s="21" t="s">
        <v>809</v>
      </c>
      <c r="B153" s="22">
        <v>0.93277653385338366</v>
      </c>
      <c r="C153" t="str">
        <f t="shared" si="2"/>
        <v>B</v>
      </c>
    </row>
    <row r="154" spans="1:3" x14ac:dyDescent="0.3">
      <c r="A154" s="21" t="s">
        <v>1293</v>
      </c>
      <c r="B154" s="22">
        <v>0.93714176457685561</v>
      </c>
      <c r="C154" t="str">
        <f t="shared" si="2"/>
        <v>B</v>
      </c>
    </row>
    <row r="155" spans="1:3" x14ac:dyDescent="0.3">
      <c r="A155" s="21" t="s">
        <v>940</v>
      </c>
      <c r="B155" s="22">
        <v>0.94146530211382129</v>
      </c>
      <c r="C155" t="str">
        <f t="shared" si="2"/>
        <v>B</v>
      </c>
    </row>
    <row r="156" spans="1:3" x14ac:dyDescent="0.3">
      <c r="A156" s="21" t="s">
        <v>1224</v>
      </c>
      <c r="B156" s="22">
        <v>0.94576416529469376</v>
      </c>
      <c r="C156" t="str">
        <f t="shared" si="2"/>
        <v>B</v>
      </c>
    </row>
    <row r="157" spans="1:3" x14ac:dyDescent="0.3">
      <c r="A157" s="21" t="s">
        <v>1257</v>
      </c>
      <c r="B157" s="22">
        <v>0.9499154060261269</v>
      </c>
      <c r="C157" t="str">
        <f t="shared" si="2"/>
        <v>B</v>
      </c>
    </row>
    <row r="158" spans="1:3" x14ac:dyDescent="0.3">
      <c r="A158" s="21" t="s">
        <v>835</v>
      </c>
      <c r="B158" s="22">
        <v>0.9539952508332592</v>
      </c>
      <c r="C158" t="str">
        <f t="shared" si="2"/>
        <v>C</v>
      </c>
    </row>
    <row r="159" spans="1:3" x14ac:dyDescent="0.3">
      <c r="A159" s="21" t="s">
        <v>1313</v>
      </c>
      <c r="B159" s="22">
        <v>0.95795461084125499</v>
      </c>
      <c r="C159" t="str">
        <f t="shared" si="2"/>
        <v>C</v>
      </c>
    </row>
    <row r="160" spans="1:3" x14ac:dyDescent="0.3">
      <c r="A160" s="21" t="s">
        <v>1218</v>
      </c>
      <c r="B160" s="22">
        <v>0.9618658801162463</v>
      </c>
      <c r="C160" t="str">
        <f t="shared" si="2"/>
        <v>C</v>
      </c>
    </row>
    <row r="161" spans="1:3" x14ac:dyDescent="0.3">
      <c r="A161" s="21" t="s">
        <v>895</v>
      </c>
      <c r="B161" s="22">
        <v>0.96551068236916382</v>
      </c>
      <c r="C161" t="str">
        <f t="shared" si="2"/>
        <v>C</v>
      </c>
    </row>
    <row r="162" spans="1:3" x14ac:dyDescent="0.3">
      <c r="A162" s="21" t="s">
        <v>816</v>
      </c>
      <c r="B162" s="22">
        <v>0.96895002423618504</v>
      </c>
      <c r="C162" t="str">
        <f t="shared" si="2"/>
        <v>C</v>
      </c>
    </row>
    <row r="163" spans="1:3" x14ac:dyDescent="0.3">
      <c r="A163" s="21" t="s">
        <v>746</v>
      </c>
      <c r="B163" s="22">
        <v>0.9721550960252664</v>
      </c>
      <c r="C163" t="str">
        <f t="shared" si="2"/>
        <v>C</v>
      </c>
    </row>
    <row r="164" spans="1:3" x14ac:dyDescent="0.3">
      <c r="A164" s="21" t="s">
        <v>734</v>
      </c>
      <c r="B164" s="22">
        <v>0.97529425685783788</v>
      </c>
      <c r="C164" t="str">
        <f t="shared" si="2"/>
        <v>C</v>
      </c>
    </row>
    <row r="165" spans="1:3" x14ac:dyDescent="0.3">
      <c r="A165" s="21" t="s">
        <v>808</v>
      </c>
      <c r="B165" s="22">
        <v>0.97833755344787476</v>
      </c>
      <c r="C165" t="str">
        <f t="shared" si="2"/>
        <v>C</v>
      </c>
    </row>
    <row r="166" spans="1:3" x14ac:dyDescent="0.3">
      <c r="A166" s="21" t="s">
        <v>956</v>
      </c>
      <c r="B166" s="22">
        <v>0.98124262043777</v>
      </c>
      <c r="C166" t="str">
        <f t="shared" si="2"/>
        <v>C</v>
      </c>
    </row>
    <row r="167" spans="1:3" x14ac:dyDescent="0.3">
      <c r="A167" s="21" t="s">
        <v>1210</v>
      </c>
      <c r="B167" s="22">
        <v>0.98395992991271519</v>
      </c>
      <c r="C167" t="str">
        <f t="shared" si="2"/>
        <v>C</v>
      </c>
    </row>
    <row r="168" spans="1:3" x14ac:dyDescent="0.3">
      <c r="A168" s="21" t="s">
        <v>1244</v>
      </c>
      <c r="B168" s="22">
        <v>0.98623418442490551</v>
      </c>
      <c r="C168" t="str">
        <f t="shared" si="2"/>
        <v>C</v>
      </c>
    </row>
    <row r="169" spans="1:3" x14ac:dyDescent="0.3">
      <c r="A169" s="21" t="s">
        <v>1302</v>
      </c>
      <c r="B169" s="22">
        <v>0.98841335271003328</v>
      </c>
      <c r="C169" t="str">
        <f t="shared" si="2"/>
        <v>C</v>
      </c>
    </row>
    <row r="170" spans="1:3" x14ac:dyDescent="0.3">
      <c r="A170" s="21" t="s">
        <v>1060</v>
      </c>
      <c r="B170" s="22">
        <v>0.98994474317689696</v>
      </c>
      <c r="C170" t="str">
        <f t="shared" si="2"/>
        <v>C</v>
      </c>
    </row>
    <row r="171" spans="1:3" x14ac:dyDescent="0.3">
      <c r="A171" s="21" t="s">
        <v>903</v>
      </c>
      <c r="B171" s="22">
        <v>0.99143891257543937</v>
      </c>
      <c r="C171" t="str">
        <f t="shared" si="2"/>
        <v>C</v>
      </c>
    </row>
    <row r="172" spans="1:3" x14ac:dyDescent="0.3">
      <c r="A172" s="21" t="s">
        <v>1341</v>
      </c>
      <c r="B172" s="22">
        <v>0.99277903596850592</v>
      </c>
      <c r="C172" t="str">
        <f t="shared" si="2"/>
        <v>C</v>
      </c>
    </row>
    <row r="173" spans="1:3" x14ac:dyDescent="0.3">
      <c r="A173" s="21" t="s">
        <v>858</v>
      </c>
      <c r="B173" s="22">
        <v>0.99411623447546937</v>
      </c>
      <c r="C173" t="str">
        <f t="shared" si="2"/>
        <v>C</v>
      </c>
    </row>
    <row r="174" spans="1:3" x14ac:dyDescent="0.3">
      <c r="A174" s="21" t="s">
        <v>1197</v>
      </c>
      <c r="B174" s="22">
        <v>0.99528256481787336</v>
      </c>
      <c r="C174" t="str">
        <f t="shared" si="2"/>
        <v>C</v>
      </c>
    </row>
    <row r="175" spans="1:3" x14ac:dyDescent="0.3">
      <c r="A175" s="21" t="s">
        <v>1193</v>
      </c>
      <c r="B175" s="22">
        <v>0.99635513222007632</v>
      </c>
      <c r="C175" t="str">
        <f t="shared" si="2"/>
        <v>C</v>
      </c>
    </row>
    <row r="176" spans="1:3" x14ac:dyDescent="0.3">
      <c r="A176" s="21" t="s">
        <v>821</v>
      </c>
      <c r="B176" s="22">
        <v>0.99742266933114776</v>
      </c>
      <c r="C176" t="str">
        <f t="shared" si="2"/>
        <v>C</v>
      </c>
    </row>
    <row r="177" spans="1:3" x14ac:dyDescent="0.3">
      <c r="A177" s="21" t="s">
        <v>1252</v>
      </c>
      <c r="B177" s="22">
        <v>0.99797468102321563</v>
      </c>
      <c r="C177" t="str">
        <f t="shared" si="2"/>
        <v>C</v>
      </c>
    </row>
    <row r="178" spans="1:3" x14ac:dyDescent="0.3">
      <c r="A178" s="21" t="s">
        <v>861</v>
      </c>
      <c r="B178" s="22">
        <v>0.99852514062576558</v>
      </c>
      <c r="C178" t="str">
        <f t="shared" si="2"/>
        <v>C</v>
      </c>
    </row>
    <row r="179" spans="1:3" x14ac:dyDescent="0.3">
      <c r="A179" s="21" t="s">
        <v>1057</v>
      </c>
      <c r="B179" s="22">
        <v>0.99897878696662679</v>
      </c>
      <c r="C179" t="str">
        <f t="shared" si="2"/>
        <v>C</v>
      </c>
    </row>
    <row r="180" spans="1:3" x14ac:dyDescent="0.3">
      <c r="A180" s="21" t="s">
        <v>964</v>
      </c>
      <c r="B180" s="22">
        <v>0.999409150693916</v>
      </c>
      <c r="C180" t="str">
        <f t="shared" si="2"/>
        <v>C</v>
      </c>
    </row>
    <row r="181" spans="1:3" x14ac:dyDescent="0.3">
      <c r="A181" s="21" t="s">
        <v>1307</v>
      </c>
      <c r="B181" s="22">
        <v>0.9997297457324249</v>
      </c>
      <c r="C181" t="str">
        <f t="shared" si="2"/>
        <v>C</v>
      </c>
    </row>
    <row r="182" spans="1:3" x14ac:dyDescent="0.3">
      <c r="A182" s="21" t="s">
        <v>911</v>
      </c>
      <c r="B182" s="22">
        <v>0.99993741751608811</v>
      </c>
      <c r="C182" t="str">
        <f t="shared" si="2"/>
        <v>C</v>
      </c>
    </row>
    <row r="183" spans="1:3" x14ac:dyDescent="0.3">
      <c r="A183" s="21" t="s">
        <v>906</v>
      </c>
      <c r="B183" s="22">
        <v>1</v>
      </c>
      <c r="C183" t="str">
        <f t="shared" si="2"/>
        <v>C</v>
      </c>
    </row>
    <row r="184" spans="1:3" x14ac:dyDescent="0.3">
      <c r="A184" s="18" t="s">
        <v>731</v>
      </c>
      <c r="B184" s="22" t="e">
        <v>#N/A</v>
      </c>
      <c r="C184" t="e">
        <f t="shared" si="2"/>
        <v>#N/A</v>
      </c>
    </row>
    <row r="185" spans="1:3" x14ac:dyDescent="0.3">
      <c r="A185" s="18" t="s">
        <v>732</v>
      </c>
      <c r="B185" s="22" t="e">
        <v>#N/A</v>
      </c>
      <c r="C185" t="e">
        <f t="shared" si="2"/>
        <v>#N/A</v>
      </c>
    </row>
    <row r="186" spans="1:3" x14ac:dyDescent="0.3">
      <c r="A186" s="18" t="s">
        <v>729</v>
      </c>
      <c r="B186" s="22" t="e">
        <v>#N/A</v>
      </c>
      <c r="C186" t="e">
        <f t="shared" si="2"/>
        <v>#N/A</v>
      </c>
    </row>
    <row r="187" spans="1:3" x14ac:dyDescent="0.3">
      <c r="A187" s="18" t="s">
        <v>730</v>
      </c>
      <c r="B187" s="22"/>
      <c r="C187" t="str">
        <f t="shared" si="2"/>
        <v>A</v>
      </c>
    </row>
    <row r="188" spans="1:3" x14ac:dyDescent="0.3">
      <c r="A188" s="21" t="s">
        <v>1320</v>
      </c>
      <c r="B188" s="22">
        <v>4.9073400638757834E-2</v>
      </c>
      <c r="C188" t="str">
        <f t="shared" si="2"/>
        <v>A</v>
      </c>
    </row>
    <row r="189" spans="1:3" x14ac:dyDescent="0.3">
      <c r="A189" s="21" t="s">
        <v>834</v>
      </c>
      <c r="B189" s="22">
        <v>8.6793867541453018E-2</v>
      </c>
      <c r="C189" t="str">
        <f t="shared" si="2"/>
        <v>A</v>
      </c>
    </row>
    <row r="190" spans="1:3" x14ac:dyDescent="0.3">
      <c r="A190" s="21" t="s">
        <v>883</v>
      </c>
      <c r="B190" s="22">
        <v>0.11716445292724151</v>
      </c>
      <c r="C190" t="str">
        <f t="shared" si="2"/>
        <v>A</v>
      </c>
    </row>
    <row r="191" spans="1:3" x14ac:dyDescent="0.3">
      <c r="A191" s="21" t="s">
        <v>915</v>
      </c>
      <c r="B191" s="22">
        <v>0.14671776792169305</v>
      </c>
      <c r="C191" t="str">
        <f t="shared" si="2"/>
        <v>A</v>
      </c>
    </row>
    <row r="192" spans="1:3" x14ac:dyDescent="0.3">
      <c r="A192" s="21" t="s">
        <v>1162</v>
      </c>
      <c r="B192" s="22">
        <v>0.17611815428354144</v>
      </c>
      <c r="C192" t="str">
        <f t="shared" si="2"/>
        <v>A</v>
      </c>
    </row>
    <row r="193" spans="1:3" x14ac:dyDescent="0.3">
      <c r="A193" s="21" t="s">
        <v>1109</v>
      </c>
      <c r="B193" s="22">
        <v>0.20357731872300078</v>
      </c>
      <c r="C193" t="str">
        <f t="shared" si="2"/>
        <v>A</v>
      </c>
    </row>
    <row r="194" spans="1:3" x14ac:dyDescent="0.3">
      <c r="A194" s="21" t="s">
        <v>970</v>
      </c>
      <c r="B194" s="22">
        <v>0.23004777617788574</v>
      </c>
      <c r="C194" t="str">
        <f t="shared" si="2"/>
        <v>A</v>
      </c>
    </row>
    <row r="195" spans="1:3" x14ac:dyDescent="0.3">
      <c r="A195" s="21" t="s">
        <v>751</v>
      </c>
      <c r="B195" s="22">
        <v>0.25532375086823678</v>
      </c>
      <c r="C195" t="str">
        <f t="shared" ref="C195:C258" si="3">IF(B195&lt;=0.8,"A",IF(B195&lt;=0.95,"B","C"))</f>
        <v>A</v>
      </c>
    </row>
    <row r="196" spans="1:3" x14ac:dyDescent="0.3">
      <c r="A196" s="21" t="s">
        <v>1012</v>
      </c>
      <c r="B196" s="22">
        <v>0.28022318815072833</v>
      </c>
      <c r="C196" t="str">
        <f t="shared" si="3"/>
        <v>A</v>
      </c>
    </row>
    <row r="197" spans="1:3" x14ac:dyDescent="0.3">
      <c r="A197" s="21" t="s">
        <v>1239</v>
      </c>
      <c r="B197" s="22">
        <v>0.30509410099383777</v>
      </c>
      <c r="C197" t="str">
        <f t="shared" si="3"/>
        <v>A</v>
      </c>
    </row>
    <row r="198" spans="1:3" x14ac:dyDescent="0.3">
      <c r="A198" s="21" t="s">
        <v>1287</v>
      </c>
      <c r="B198" s="22">
        <v>0.32907274237846224</v>
      </c>
      <c r="C198" t="str">
        <f t="shared" si="3"/>
        <v>A</v>
      </c>
    </row>
    <row r="199" spans="1:3" x14ac:dyDescent="0.3">
      <c r="A199" s="21" t="s">
        <v>1294</v>
      </c>
      <c r="B199" s="22">
        <v>0.35270790284766723</v>
      </c>
      <c r="C199" t="str">
        <f t="shared" si="3"/>
        <v>A</v>
      </c>
    </row>
    <row r="200" spans="1:3" x14ac:dyDescent="0.3">
      <c r="A200" s="21" t="s">
        <v>1360</v>
      </c>
      <c r="B200" s="22">
        <v>0.37630454639744632</v>
      </c>
      <c r="C200" t="str">
        <f t="shared" si="3"/>
        <v>A</v>
      </c>
    </row>
    <row r="201" spans="1:3" x14ac:dyDescent="0.3">
      <c r="A201" s="21" t="s">
        <v>1108</v>
      </c>
      <c r="B201" s="22">
        <v>0.39846314563619889</v>
      </c>
      <c r="C201" t="str">
        <f t="shared" si="3"/>
        <v>A</v>
      </c>
    </row>
    <row r="202" spans="1:3" x14ac:dyDescent="0.3">
      <c r="A202" s="21" t="s">
        <v>1156</v>
      </c>
      <c r="B202" s="22">
        <v>0.41963697802304689</v>
      </c>
      <c r="C202" t="str">
        <f t="shared" si="3"/>
        <v>A</v>
      </c>
    </row>
    <row r="203" spans="1:3" x14ac:dyDescent="0.3">
      <c r="A203" s="21" t="s">
        <v>893</v>
      </c>
      <c r="B203" s="22">
        <v>0.44055097991467485</v>
      </c>
      <c r="C203" t="str">
        <f t="shared" si="3"/>
        <v>A</v>
      </c>
    </row>
    <row r="204" spans="1:3" x14ac:dyDescent="0.3">
      <c r="A204" s="21" t="s">
        <v>1339</v>
      </c>
      <c r="B204" s="22">
        <v>0.46140157713734908</v>
      </c>
      <c r="C204" t="str">
        <f t="shared" si="3"/>
        <v>A</v>
      </c>
    </row>
    <row r="205" spans="1:3" x14ac:dyDescent="0.3">
      <c r="A205" s="21" t="s">
        <v>1070</v>
      </c>
      <c r="B205" s="22">
        <v>0.48158946603541614</v>
      </c>
      <c r="C205" t="str">
        <f t="shared" si="3"/>
        <v>A</v>
      </c>
    </row>
    <row r="206" spans="1:3" x14ac:dyDescent="0.3">
      <c r="A206" s="21" t="s">
        <v>1168</v>
      </c>
      <c r="B206" s="22">
        <v>0.50106357818857428</v>
      </c>
      <c r="C206" t="str">
        <f t="shared" si="3"/>
        <v>A</v>
      </c>
    </row>
    <row r="207" spans="1:3" x14ac:dyDescent="0.3">
      <c r="A207" s="21" t="s">
        <v>765</v>
      </c>
      <c r="B207" s="22">
        <v>0.51975252558530916</v>
      </c>
      <c r="C207" t="str">
        <f t="shared" si="3"/>
        <v>A</v>
      </c>
    </row>
    <row r="208" spans="1:3" x14ac:dyDescent="0.3">
      <c r="A208" s="21" t="s">
        <v>936</v>
      </c>
      <c r="B208" s="22">
        <v>0.53783305486444732</v>
      </c>
      <c r="C208" t="str">
        <f t="shared" si="3"/>
        <v>A</v>
      </c>
    </row>
    <row r="209" spans="1:3" x14ac:dyDescent="0.3">
      <c r="A209" s="21" t="s">
        <v>947</v>
      </c>
      <c r="B209" s="22">
        <v>0.55514460363289975</v>
      </c>
      <c r="C209" t="str">
        <f t="shared" si="3"/>
        <v>A</v>
      </c>
    </row>
    <row r="210" spans="1:3" x14ac:dyDescent="0.3">
      <c r="A210" s="21" t="s">
        <v>841</v>
      </c>
      <c r="B210" s="22">
        <v>0.57207342698697639</v>
      </c>
      <c r="C210" t="str">
        <f t="shared" si="3"/>
        <v>A</v>
      </c>
    </row>
    <row r="211" spans="1:3" x14ac:dyDescent="0.3">
      <c r="A211" s="21" t="s">
        <v>1317</v>
      </c>
      <c r="B211" s="22">
        <v>0.58827956500992096</v>
      </c>
      <c r="C211" t="str">
        <f t="shared" si="3"/>
        <v>A</v>
      </c>
    </row>
    <row r="212" spans="1:3" x14ac:dyDescent="0.3">
      <c r="A212" s="21" t="s">
        <v>1054</v>
      </c>
      <c r="B212" s="22">
        <v>0.60427408233923807</v>
      </c>
      <c r="C212" t="str">
        <f t="shared" si="3"/>
        <v>A</v>
      </c>
    </row>
    <row r="213" spans="1:3" x14ac:dyDescent="0.3">
      <c r="A213" s="21" t="s">
        <v>930</v>
      </c>
      <c r="B213" s="22">
        <v>0.61976800428344181</v>
      </c>
      <c r="C213" t="str">
        <f t="shared" si="3"/>
        <v>A</v>
      </c>
    </row>
    <row r="214" spans="1:3" x14ac:dyDescent="0.3">
      <c r="A214" s="21" t="s">
        <v>959</v>
      </c>
      <c r="B214" s="22">
        <v>0.63518609925631875</v>
      </c>
      <c r="C214" t="str">
        <f t="shared" si="3"/>
        <v>A</v>
      </c>
    </row>
    <row r="215" spans="1:3" x14ac:dyDescent="0.3">
      <c r="A215" s="21" t="s">
        <v>1140</v>
      </c>
      <c r="B215" s="22">
        <v>0.65058087336348724</v>
      </c>
      <c r="C215" t="str">
        <f t="shared" si="3"/>
        <v>A</v>
      </c>
    </row>
    <row r="216" spans="1:3" x14ac:dyDescent="0.3">
      <c r="A216" s="21" t="s">
        <v>1189</v>
      </c>
      <c r="B216" s="22">
        <v>0.66544461864144766</v>
      </c>
      <c r="C216" t="str">
        <f t="shared" si="3"/>
        <v>A</v>
      </c>
    </row>
    <row r="217" spans="1:3" x14ac:dyDescent="0.3">
      <c r="A217" s="21" t="s">
        <v>1160</v>
      </c>
      <c r="B217" s="22">
        <v>0.67976561014385495</v>
      </c>
      <c r="C217" t="str">
        <f t="shared" si="3"/>
        <v>A</v>
      </c>
    </row>
    <row r="218" spans="1:3" x14ac:dyDescent="0.3">
      <c r="A218" s="21" t="s">
        <v>1100</v>
      </c>
      <c r="B218" s="22">
        <v>0.69373555014740984</v>
      </c>
      <c r="C218" t="str">
        <f t="shared" si="3"/>
        <v>A</v>
      </c>
    </row>
    <row r="219" spans="1:3" x14ac:dyDescent="0.3">
      <c r="A219" s="21" t="s">
        <v>825</v>
      </c>
      <c r="B219" s="22">
        <v>0.70767938893748417</v>
      </c>
      <c r="C219" t="str">
        <f t="shared" si="3"/>
        <v>A</v>
      </c>
    </row>
    <row r="220" spans="1:3" x14ac:dyDescent="0.3">
      <c r="A220" s="21" t="s">
        <v>1207</v>
      </c>
      <c r="B220" s="22">
        <v>0.72142494004352697</v>
      </c>
      <c r="C220" t="str">
        <f t="shared" si="3"/>
        <v>A</v>
      </c>
    </row>
    <row r="221" spans="1:3" x14ac:dyDescent="0.3">
      <c r="A221" s="21" t="s">
        <v>1105</v>
      </c>
      <c r="B221" s="22">
        <v>0.73348393148213775</v>
      </c>
      <c r="C221" t="str">
        <f t="shared" si="3"/>
        <v>A</v>
      </c>
    </row>
    <row r="222" spans="1:3" x14ac:dyDescent="0.3">
      <c r="A222" s="21" t="s">
        <v>1146</v>
      </c>
      <c r="B222" s="22">
        <v>0.74501461602912544</v>
      </c>
      <c r="C222" t="str">
        <f t="shared" si="3"/>
        <v>A</v>
      </c>
    </row>
    <row r="223" spans="1:3" x14ac:dyDescent="0.3">
      <c r="A223" s="21" t="s">
        <v>856</v>
      </c>
      <c r="B223" s="22">
        <v>0.75649366704993726</v>
      </c>
      <c r="C223" t="str">
        <f t="shared" si="3"/>
        <v>A</v>
      </c>
    </row>
    <row r="224" spans="1:3" x14ac:dyDescent="0.3">
      <c r="A224" s="21" t="s">
        <v>934</v>
      </c>
      <c r="B224" s="22">
        <v>0.76718786203857148</v>
      </c>
      <c r="C224" t="str">
        <f t="shared" si="3"/>
        <v>A</v>
      </c>
    </row>
    <row r="225" spans="1:3" x14ac:dyDescent="0.3">
      <c r="A225" s="21" t="s">
        <v>1153</v>
      </c>
      <c r="B225" s="22">
        <v>0.77757044494709893</v>
      </c>
      <c r="C225" t="str">
        <f t="shared" si="3"/>
        <v>A</v>
      </c>
    </row>
    <row r="226" spans="1:3" x14ac:dyDescent="0.3">
      <c r="A226" s="21" t="s">
        <v>1362</v>
      </c>
      <c r="B226" s="22">
        <v>0.78669637572648443</v>
      </c>
      <c r="C226" t="str">
        <f t="shared" si="3"/>
        <v>A</v>
      </c>
    </row>
    <row r="227" spans="1:3" x14ac:dyDescent="0.3">
      <c r="A227" s="21" t="s">
        <v>1174</v>
      </c>
      <c r="B227" s="22">
        <v>0.7957502100537559</v>
      </c>
      <c r="C227" t="str">
        <f t="shared" si="3"/>
        <v>A</v>
      </c>
    </row>
    <row r="228" spans="1:3" x14ac:dyDescent="0.3">
      <c r="A228" s="21" t="s">
        <v>1182</v>
      </c>
      <c r="B228" s="22">
        <v>0.80453296388224838</v>
      </c>
      <c r="C228" t="str">
        <f t="shared" si="3"/>
        <v>B</v>
      </c>
    </row>
    <row r="229" spans="1:3" x14ac:dyDescent="0.3">
      <c r="A229" s="21" t="s">
        <v>978</v>
      </c>
      <c r="B229" s="22">
        <v>0.81328675632056524</v>
      </c>
      <c r="C229" t="str">
        <f t="shared" si="3"/>
        <v>B</v>
      </c>
    </row>
    <row r="230" spans="1:3" x14ac:dyDescent="0.3">
      <c r="A230" s="21" t="s">
        <v>799</v>
      </c>
      <c r="B230" s="22">
        <v>0.8219723628234078</v>
      </c>
      <c r="C230" t="str">
        <f t="shared" si="3"/>
        <v>B</v>
      </c>
    </row>
    <row r="231" spans="1:3" x14ac:dyDescent="0.3">
      <c r="A231" s="21" t="s">
        <v>1186</v>
      </c>
      <c r="B231" s="22">
        <v>0.83053763554335736</v>
      </c>
      <c r="C231" t="str">
        <f t="shared" si="3"/>
        <v>B</v>
      </c>
    </row>
    <row r="232" spans="1:3" x14ac:dyDescent="0.3">
      <c r="A232" s="21" t="s">
        <v>1266</v>
      </c>
      <c r="B232" s="22">
        <v>0.83905946085373317</v>
      </c>
      <c r="C232" t="str">
        <f t="shared" si="3"/>
        <v>B</v>
      </c>
    </row>
    <row r="233" spans="1:3" x14ac:dyDescent="0.3">
      <c r="A233" s="21" t="s">
        <v>931</v>
      </c>
      <c r="B233" s="22">
        <v>0.84715444701521281</v>
      </c>
      <c r="C233" t="str">
        <f t="shared" si="3"/>
        <v>B</v>
      </c>
    </row>
    <row r="234" spans="1:3" x14ac:dyDescent="0.3">
      <c r="A234" s="21" t="s">
        <v>1126</v>
      </c>
      <c r="B234" s="22">
        <v>0.85522007269907485</v>
      </c>
      <c r="C234" t="str">
        <f t="shared" si="3"/>
        <v>B</v>
      </c>
    </row>
    <row r="235" spans="1:3" x14ac:dyDescent="0.3">
      <c r="A235" s="21" t="s">
        <v>796</v>
      </c>
      <c r="B235" s="22">
        <v>0.86304423910290662</v>
      </c>
      <c r="C235" t="str">
        <f t="shared" si="3"/>
        <v>B</v>
      </c>
    </row>
    <row r="236" spans="1:3" x14ac:dyDescent="0.3">
      <c r="A236" s="21" t="s">
        <v>745</v>
      </c>
      <c r="B236" s="22">
        <v>0.87045578645473365</v>
      </c>
      <c r="C236" t="str">
        <f t="shared" si="3"/>
        <v>B</v>
      </c>
    </row>
    <row r="237" spans="1:3" x14ac:dyDescent="0.3">
      <c r="A237" s="21" t="s">
        <v>1154</v>
      </c>
      <c r="B237" s="22">
        <v>0.87759158891166222</v>
      </c>
      <c r="C237" t="str">
        <f t="shared" si="3"/>
        <v>B</v>
      </c>
    </row>
    <row r="238" spans="1:3" x14ac:dyDescent="0.3">
      <c r="A238" s="21" t="s">
        <v>975</v>
      </c>
      <c r="B238" s="22">
        <v>0.88451310359564261</v>
      </c>
      <c r="C238" t="str">
        <f t="shared" si="3"/>
        <v>B</v>
      </c>
    </row>
    <row r="239" spans="1:3" x14ac:dyDescent="0.3">
      <c r="A239" s="21" t="s">
        <v>1222</v>
      </c>
      <c r="B239" s="22">
        <v>0.89138428017604765</v>
      </c>
      <c r="C239" t="str">
        <f t="shared" si="3"/>
        <v>B</v>
      </c>
    </row>
    <row r="240" spans="1:3" x14ac:dyDescent="0.3">
      <c r="A240" s="21" t="s">
        <v>1050</v>
      </c>
      <c r="B240" s="22">
        <v>0.89786089070454067</v>
      </c>
      <c r="C240" t="str">
        <f t="shared" si="3"/>
        <v>B</v>
      </c>
    </row>
    <row r="241" spans="1:3" x14ac:dyDescent="0.3">
      <c r="A241" s="21" t="s">
        <v>1077</v>
      </c>
      <c r="B241" s="22">
        <v>0.90424927686567202</v>
      </c>
      <c r="C241" t="str">
        <f t="shared" si="3"/>
        <v>B</v>
      </c>
    </row>
    <row r="242" spans="1:3" x14ac:dyDescent="0.3">
      <c r="A242" s="21" t="s">
        <v>875</v>
      </c>
      <c r="B242" s="22">
        <v>0.91011790637029644</v>
      </c>
      <c r="C242" t="str">
        <f t="shared" si="3"/>
        <v>B</v>
      </c>
    </row>
    <row r="243" spans="1:3" x14ac:dyDescent="0.3">
      <c r="A243" s="21" t="s">
        <v>896</v>
      </c>
      <c r="B243" s="22">
        <v>0.91594574019350117</v>
      </c>
      <c r="C243" t="str">
        <f t="shared" si="3"/>
        <v>B</v>
      </c>
    </row>
    <row r="244" spans="1:3" x14ac:dyDescent="0.3">
      <c r="A244" s="21" t="s">
        <v>1037</v>
      </c>
      <c r="B244" s="22">
        <v>0.92172992699194378</v>
      </c>
      <c r="C244" t="str">
        <f t="shared" si="3"/>
        <v>B</v>
      </c>
    </row>
    <row r="245" spans="1:3" x14ac:dyDescent="0.3">
      <c r="A245" s="21" t="s">
        <v>1234</v>
      </c>
      <c r="B245" s="22">
        <v>0.92703859390642485</v>
      </c>
      <c r="C245" t="str">
        <f t="shared" si="3"/>
        <v>B</v>
      </c>
    </row>
    <row r="246" spans="1:3" x14ac:dyDescent="0.3">
      <c r="A246" s="21" t="s">
        <v>1312</v>
      </c>
      <c r="B246" s="22">
        <v>0.93216517896572304</v>
      </c>
      <c r="C246" t="str">
        <f t="shared" si="3"/>
        <v>B</v>
      </c>
    </row>
    <row r="247" spans="1:3" x14ac:dyDescent="0.3">
      <c r="A247" s="21" t="s">
        <v>1002</v>
      </c>
      <c r="B247" s="22">
        <v>0.9371298661948162</v>
      </c>
      <c r="C247" t="str">
        <f t="shared" si="3"/>
        <v>B</v>
      </c>
    </row>
    <row r="248" spans="1:3" x14ac:dyDescent="0.3">
      <c r="A248" s="21" t="s">
        <v>972</v>
      </c>
      <c r="B248" s="22">
        <v>0.94190687148043173</v>
      </c>
      <c r="C248" t="str">
        <f t="shared" si="3"/>
        <v>B</v>
      </c>
    </row>
    <row r="249" spans="1:3" x14ac:dyDescent="0.3">
      <c r="A249" s="21" t="s">
        <v>965</v>
      </c>
      <c r="B249" s="22">
        <v>0.94606247272672239</v>
      </c>
      <c r="C249" t="str">
        <f t="shared" si="3"/>
        <v>B</v>
      </c>
    </row>
    <row r="250" spans="1:3" x14ac:dyDescent="0.3">
      <c r="A250" s="21" t="s">
        <v>828</v>
      </c>
      <c r="B250" s="22">
        <v>0.94998431149473372</v>
      </c>
      <c r="C250" t="str">
        <f t="shared" si="3"/>
        <v>B</v>
      </c>
    </row>
    <row r="251" spans="1:3" x14ac:dyDescent="0.3">
      <c r="A251" s="21" t="s">
        <v>737</v>
      </c>
      <c r="B251" s="22">
        <v>0.95371866924230642</v>
      </c>
      <c r="C251" t="str">
        <f t="shared" si="3"/>
        <v>C</v>
      </c>
    </row>
    <row r="252" spans="1:3" x14ac:dyDescent="0.3">
      <c r="A252" s="21" t="s">
        <v>1246</v>
      </c>
      <c r="B252" s="22">
        <v>0.95742773655810653</v>
      </c>
      <c r="C252" t="str">
        <f t="shared" si="3"/>
        <v>C</v>
      </c>
    </row>
    <row r="253" spans="1:3" x14ac:dyDescent="0.3">
      <c r="A253" s="21" t="s">
        <v>1219</v>
      </c>
      <c r="B253" s="22">
        <v>0.96111529634684434</v>
      </c>
      <c r="C253" t="str">
        <f t="shared" si="3"/>
        <v>C</v>
      </c>
    </row>
    <row r="254" spans="1:3" x14ac:dyDescent="0.3">
      <c r="A254" s="21" t="s">
        <v>1216</v>
      </c>
      <c r="B254" s="22">
        <v>0.96477945039536217</v>
      </c>
      <c r="C254" t="str">
        <f t="shared" si="3"/>
        <v>C</v>
      </c>
    </row>
    <row r="255" spans="1:3" x14ac:dyDescent="0.3">
      <c r="A255" s="21" t="s">
        <v>1068</v>
      </c>
      <c r="B255" s="22">
        <v>0.96825015558609584</v>
      </c>
      <c r="C255" t="str">
        <f t="shared" si="3"/>
        <v>C</v>
      </c>
    </row>
    <row r="256" spans="1:3" x14ac:dyDescent="0.3">
      <c r="A256" s="21" t="s">
        <v>1095</v>
      </c>
      <c r="B256" s="22">
        <v>0.97168377712604403</v>
      </c>
      <c r="C256" t="str">
        <f t="shared" si="3"/>
        <v>C</v>
      </c>
    </row>
    <row r="257" spans="1:3" x14ac:dyDescent="0.3">
      <c r="A257" s="21" t="s">
        <v>871</v>
      </c>
      <c r="B257" s="22">
        <v>0.97478277076385889</v>
      </c>
      <c r="C257" t="str">
        <f t="shared" si="3"/>
        <v>C</v>
      </c>
    </row>
    <row r="258" spans="1:3" x14ac:dyDescent="0.3">
      <c r="A258" s="21" t="s">
        <v>761</v>
      </c>
      <c r="B258" s="22">
        <v>0.9776276731200525</v>
      </c>
      <c r="C258" t="str">
        <f t="shared" si="3"/>
        <v>C</v>
      </c>
    </row>
    <row r="259" spans="1:3" x14ac:dyDescent="0.3">
      <c r="A259" s="21" t="s">
        <v>1019</v>
      </c>
      <c r="B259" s="22">
        <v>0.98047110317933794</v>
      </c>
      <c r="C259" t="str">
        <f t="shared" ref="C259:C322" si="4">IF(B259&lt;=0.8,"A",IF(B259&lt;=0.95,"B","C"))</f>
        <v>C</v>
      </c>
    </row>
    <row r="260" spans="1:3" x14ac:dyDescent="0.3">
      <c r="A260" s="21" t="s">
        <v>762</v>
      </c>
      <c r="B260" s="22">
        <v>0.98326775977876313</v>
      </c>
      <c r="C260" t="str">
        <f t="shared" si="4"/>
        <v>C</v>
      </c>
    </row>
    <row r="261" spans="1:3" x14ac:dyDescent="0.3">
      <c r="A261" s="21" t="s">
        <v>1061</v>
      </c>
      <c r="B261" s="22">
        <v>0.98598337476291031</v>
      </c>
      <c r="C261" t="str">
        <f t="shared" si="4"/>
        <v>C</v>
      </c>
    </row>
    <row r="262" spans="1:3" x14ac:dyDescent="0.3">
      <c r="A262" s="21" t="s">
        <v>867</v>
      </c>
      <c r="B262" s="22">
        <v>0.98848072941674614</v>
      </c>
      <c r="C262" t="str">
        <f t="shared" si="4"/>
        <v>C</v>
      </c>
    </row>
    <row r="263" spans="1:3" x14ac:dyDescent="0.3">
      <c r="A263" s="21" t="s">
        <v>979</v>
      </c>
      <c r="B263" s="22">
        <v>0.99056033284069089</v>
      </c>
      <c r="C263" t="str">
        <f t="shared" si="4"/>
        <v>C</v>
      </c>
    </row>
    <row r="264" spans="1:3" x14ac:dyDescent="0.3">
      <c r="A264" s="21" t="s">
        <v>862</v>
      </c>
      <c r="B264" s="22">
        <v>0.99244861826736219</v>
      </c>
      <c r="C264" t="str">
        <f t="shared" si="4"/>
        <v>C</v>
      </c>
    </row>
    <row r="265" spans="1:3" x14ac:dyDescent="0.3">
      <c r="A265" s="21" t="s">
        <v>1064</v>
      </c>
      <c r="B265" s="22">
        <v>0.99426195033842446</v>
      </c>
      <c r="C265" t="str">
        <f t="shared" si="4"/>
        <v>C</v>
      </c>
    </row>
    <row r="266" spans="1:3" x14ac:dyDescent="0.3">
      <c r="A266" s="21" t="s">
        <v>1081</v>
      </c>
      <c r="B266" s="22">
        <v>0.99583908970866164</v>
      </c>
      <c r="C266" t="str">
        <f t="shared" si="4"/>
        <v>C</v>
      </c>
    </row>
    <row r="267" spans="1:3" x14ac:dyDescent="0.3">
      <c r="A267" s="21" t="s">
        <v>1145</v>
      </c>
      <c r="B267" s="22">
        <v>0.99731060447905251</v>
      </c>
      <c r="C267" t="str">
        <f t="shared" si="4"/>
        <v>C</v>
      </c>
    </row>
    <row r="268" spans="1:3" x14ac:dyDescent="0.3">
      <c r="A268" s="21" t="s">
        <v>1304</v>
      </c>
      <c r="B268" s="22">
        <v>0.99791164791925391</v>
      </c>
      <c r="C268" t="str">
        <f t="shared" si="4"/>
        <v>C</v>
      </c>
    </row>
    <row r="269" spans="1:3" x14ac:dyDescent="0.3">
      <c r="A269" s="21" t="s">
        <v>1016</v>
      </c>
      <c r="B269" s="22">
        <v>0.99838886336382615</v>
      </c>
      <c r="C269" t="str">
        <f t="shared" si="4"/>
        <v>C</v>
      </c>
    </row>
    <row r="270" spans="1:3" x14ac:dyDescent="0.3">
      <c r="A270" s="21" t="s">
        <v>1264</v>
      </c>
      <c r="B270" s="22">
        <v>0.99883067378763113</v>
      </c>
      <c r="C270" t="str">
        <f t="shared" si="4"/>
        <v>C</v>
      </c>
    </row>
    <row r="271" spans="1:3" x14ac:dyDescent="0.3">
      <c r="A271" s="21" t="s">
        <v>997</v>
      </c>
      <c r="B271" s="22">
        <v>0.99923115364049742</v>
      </c>
      <c r="C271" t="str">
        <f t="shared" si="4"/>
        <v>C</v>
      </c>
    </row>
    <row r="272" spans="1:3" x14ac:dyDescent="0.3">
      <c r="A272" s="21" t="s">
        <v>840</v>
      </c>
      <c r="B272" s="22">
        <v>0.99960182167859435</v>
      </c>
      <c r="C272" t="str">
        <f t="shared" si="4"/>
        <v>C</v>
      </c>
    </row>
    <row r="273" spans="1:3" x14ac:dyDescent="0.3">
      <c r="A273" s="21" t="s">
        <v>1318</v>
      </c>
      <c r="B273" s="22">
        <v>0.99986686513828549</v>
      </c>
      <c r="C273" t="str">
        <f t="shared" si="4"/>
        <v>C</v>
      </c>
    </row>
    <row r="274" spans="1:3" x14ac:dyDescent="0.3">
      <c r="A274" s="21" t="s">
        <v>1226</v>
      </c>
      <c r="B274" s="22">
        <v>0.99994558574727599</v>
      </c>
      <c r="C274" t="str">
        <f t="shared" si="4"/>
        <v>C</v>
      </c>
    </row>
    <row r="275" spans="1:3" x14ac:dyDescent="0.3">
      <c r="A275" s="21" t="s">
        <v>1020</v>
      </c>
      <c r="B275" s="22">
        <v>1</v>
      </c>
      <c r="C275" t="str">
        <f t="shared" si="4"/>
        <v>C</v>
      </c>
    </row>
    <row r="276" spans="1:3" x14ac:dyDescent="0.3">
      <c r="A276" s="18" t="s">
        <v>728</v>
      </c>
      <c r="B276" s="22"/>
      <c r="C276" t="str">
        <f t="shared" si="4"/>
        <v>A</v>
      </c>
    </row>
    <row r="277" spans="1:3" x14ac:dyDescent="0.3">
      <c r="A277" s="21" t="s">
        <v>1271</v>
      </c>
      <c r="B277" s="22">
        <v>4.0979588541595294E-2</v>
      </c>
      <c r="C277" t="str">
        <f t="shared" si="4"/>
        <v>A</v>
      </c>
    </row>
    <row r="278" spans="1:3" x14ac:dyDescent="0.3">
      <c r="A278" s="21" t="s">
        <v>1157</v>
      </c>
      <c r="B278" s="22">
        <v>7.690714677421609E-2</v>
      </c>
      <c r="C278" t="str">
        <f t="shared" si="4"/>
        <v>A</v>
      </c>
    </row>
    <row r="279" spans="1:3" x14ac:dyDescent="0.3">
      <c r="A279" s="21" t="s">
        <v>933</v>
      </c>
      <c r="B279" s="22">
        <v>0.11146718860084993</v>
      </c>
      <c r="C279" t="str">
        <f t="shared" si="4"/>
        <v>A</v>
      </c>
    </row>
    <row r="280" spans="1:3" x14ac:dyDescent="0.3">
      <c r="A280" s="21" t="s">
        <v>1289</v>
      </c>
      <c r="B280" s="22">
        <v>0.14272762568294231</v>
      </c>
      <c r="C280" t="str">
        <f t="shared" si="4"/>
        <v>A</v>
      </c>
    </row>
    <row r="281" spans="1:3" x14ac:dyDescent="0.3">
      <c r="A281" s="21" t="s">
        <v>1090</v>
      </c>
      <c r="B281" s="22">
        <v>0.16988308571278374</v>
      </c>
      <c r="C281" t="str">
        <f t="shared" si="4"/>
        <v>A</v>
      </c>
    </row>
    <row r="282" spans="1:3" x14ac:dyDescent="0.3">
      <c r="A282" s="21" t="s">
        <v>829</v>
      </c>
      <c r="B282" s="22">
        <v>0.19660628062060301</v>
      </c>
      <c r="C282" t="str">
        <f t="shared" si="4"/>
        <v>A</v>
      </c>
    </row>
    <row r="283" spans="1:3" x14ac:dyDescent="0.3">
      <c r="A283" s="21" t="s">
        <v>1047</v>
      </c>
      <c r="B283" s="22">
        <v>0.22154601461623036</v>
      </c>
      <c r="C283" t="str">
        <f t="shared" si="4"/>
        <v>A</v>
      </c>
    </row>
    <row r="284" spans="1:3" x14ac:dyDescent="0.3">
      <c r="A284" s="21" t="s">
        <v>1335</v>
      </c>
      <c r="B284" s="22">
        <v>0.24616725102082773</v>
      </c>
      <c r="C284" t="str">
        <f t="shared" si="4"/>
        <v>A</v>
      </c>
    </row>
    <row r="285" spans="1:3" x14ac:dyDescent="0.3">
      <c r="A285" s="21" t="s">
        <v>1071</v>
      </c>
      <c r="B285" s="22">
        <v>0.2700003342497338</v>
      </c>
      <c r="C285" t="str">
        <f t="shared" si="4"/>
        <v>A</v>
      </c>
    </row>
    <row r="286" spans="1:3" x14ac:dyDescent="0.3">
      <c r="A286" s="21" t="s">
        <v>1115</v>
      </c>
      <c r="B286" s="22">
        <v>0.29323123492896658</v>
      </c>
      <c r="C286" t="str">
        <f t="shared" si="4"/>
        <v>A</v>
      </c>
    </row>
    <row r="287" spans="1:3" x14ac:dyDescent="0.3">
      <c r="A287" s="21" t="s">
        <v>1204</v>
      </c>
      <c r="B287" s="22">
        <v>0.3158357243535091</v>
      </c>
      <c r="C287" t="str">
        <f t="shared" si="4"/>
        <v>A</v>
      </c>
    </row>
    <row r="288" spans="1:3" x14ac:dyDescent="0.3">
      <c r="A288" s="21" t="s">
        <v>872</v>
      </c>
      <c r="B288" s="22">
        <v>0.33783307347620617</v>
      </c>
      <c r="C288" t="str">
        <f t="shared" si="4"/>
        <v>A</v>
      </c>
    </row>
    <row r="289" spans="1:3" x14ac:dyDescent="0.3">
      <c r="A289" s="21" t="s">
        <v>783</v>
      </c>
      <c r="B289" s="22">
        <v>0.35913571761907326</v>
      </c>
      <c r="C289" t="str">
        <f t="shared" si="4"/>
        <v>A</v>
      </c>
    </row>
    <row r="290" spans="1:3" x14ac:dyDescent="0.3">
      <c r="A290" s="21" t="s">
        <v>1262</v>
      </c>
      <c r="B290" s="22">
        <v>0.37980544945352807</v>
      </c>
      <c r="C290" t="str">
        <f t="shared" si="4"/>
        <v>A</v>
      </c>
    </row>
    <row r="291" spans="1:3" x14ac:dyDescent="0.3">
      <c r="A291" s="21" t="s">
        <v>1280</v>
      </c>
      <c r="B291" s="22">
        <v>0.3994862110401517</v>
      </c>
      <c r="C291" t="str">
        <f t="shared" si="4"/>
        <v>A</v>
      </c>
    </row>
    <row r="292" spans="1:3" x14ac:dyDescent="0.3">
      <c r="A292" s="21" t="s">
        <v>776</v>
      </c>
      <c r="B292" s="22">
        <v>0.41890850191335466</v>
      </c>
      <c r="C292" t="str">
        <f t="shared" si="4"/>
        <v>A</v>
      </c>
    </row>
    <row r="293" spans="1:3" x14ac:dyDescent="0.3">
      <c r="A293" s="21" t="s">
        <v>887</v>
      </c>
      <c r="B293" s="22">
        <v>0.43724893311848928</v>
      </c>
      <c r="C293" t="str">
        <f t="shared" si="4"/>
        <v>A</v>
      </c>
    </row>
    <row r="294" spans="1:3" x14ac:dyDescent="0.3">
      <c r="A294" s="21" t="s">
        <v>1220</v>
      </c>
      <c r="B294" s="22">
        <v>0.45509561081424588</v>
      </c>
      <c r="C294" t="str">
        <f t="shared" si="4"/>
        <v>A</v>
      </c>
    </row>
    <row r="295" spans="1:3" x14ac:dyDescent="0.3">
      <c r="A295" s="21" t="s">
        <v>953</v>
      </c>
      <c r="B295" s="22">
        <v>0.47254365550953004</v>
      </c>
      <c r="C295" t="str">
        <f t="shared" si="4"/>
        <v>A</v>
      </c>
    </row>
    <row r="296" spans="1:3" x14ac:dyDescent="0.3">
      <c r="A296" s="21" t="s">
        <v>1208</v>
      </c>
      <c r="B296" s="22">
        <v>0.48936224706193832</v>
      </c>
      <c r="C296" t="str">
        <f t="shared" si="4"/>
        <v>A</v>
      </c>
    </row>
    <row r="297" spans="1:3" x14ac:dyDescent="0.3">
      <c r="A297" s="21" t="s">
        <v>750</v>
      </c>
      <c r="B297" s="22">
        <v>0.50541039555032441</v>
      </c>
      <c r="C297" t="str">
        <f t="shared" si="4"/>
        <v>A</v>
      </c>
    </row>
    <row r="298" spans="1:3" x14ac:dyDescent="0.3">
      <c r="A298" s="21" t="s">
        <v>987</v>
      </c>
      <c r="B298" s="22">
        <v>0.52117126777361078</v>
      </c>
      <c r="C298" t="str">
        <f t="shared" si="4"/>
        <v>A</v>
      </c>
    </row>
    <row r="299" spans="1:3" x14ac:dyDescent="0.3">
      <c r="A299" s="21" t="s">
        <v>1350</v>
      </c>
      <c r="B299" s="22">
        <v>0.53674048680417596</v>
      </c>
      <c r="C299" t="str">
        <f t="shared" si="4"/>
        <v>A</v>
      </c>
    </row>
    <row r="300" spans="1:3" x14ac:dyDescent="0.3">
      <c r="A300" s="21" t="s">
        <v>1139</v>
      </c>
      <c r="B300" s="22">
        <v>0.55062941146894728</v>
      </c>
      <c r="C300" t="str">
        <f t="shared" si="4"/>
        <v>A</v>
      </c>
    </row>
    <row r="301" spans="1:3" x14ac:dyDescent="0.3">
      <c r="A301" s="21" t="s">
        <v>1249</v>
      </c>
      <c r="B301" s="22">
        <v>0.56436039194374998</v>
      </c>
      <c r="C301" t="str">
        <f t="shared" si="4"/>
        <v>A</v>
      </c>
    </row>
    <row r="302" spans="1:3" x14ac:dyDescent="0.3">
      <c r="A302" s="21" t="s">
        <v>1177</v>
      </c>
      <c r="B302" s="22">
        <v>0.57775905820978057</v>
      </c>
      <c r="C302" t="str">
        <f t="shared" si="4"/>
        <v>A</v>
      </c>
    </row>
    <row r="303" spans="1:3" x14ac:dyDescent="0.3">
      <c r="A303" s="21" t="s">
        <v>747</v>
      </c>
      <c r="B303" s="22">
        <v>0.59110868650168258</v>
      </c>
      <c r="C303" t="str">
        <f t="shared" si="4"/>
        <v>A</v>
      </c>
    </row>
    <row r="304" spans="1:3" x14ac:dyDescent="0.3">
      <c r="A304" s="21" t="s">
        <v>1173</v>
      </c>
      <c r="B304" s="22">
        <v>0.60389374354751135</v>
      </c>
      <c r="C304" t="str">
        <f t="shared" si="4"/>
        <v>A</v>
      </c>
    </row>
    <row r="305" spans="1:3" x14ac:dyDescent="0.3">
      <c r="A305" s="21" t="s">
        <v>1076</v>
      </c>
      <c r="B305" s="22">
        <v>0.61629606504974588</v>
      </c>
      <c r="C305" t="str">
        <f t="shared" si="4"/>
        <v>A</v>
      </c>
    </row>
    <row r="306" spans="1:3" x14ac:dyDescent="0.3">
      <c r="A306" s="21" t="s">
        <v>1148</v>
      </c>
      <c r="B306" s="22">
        <v>0.62768284987497991</v>
      </c>
      <c r="C306" t="str">
        <f t="shared" si="4"/>
        <v>A</v>
      </c>
    </row>
    <row r="307" spans="1:3" x14ac:dyDescent="0.3">
      <c r="A307" s="21" t="s">
        <v>815</v>
      </c>
      <c r="B307" s="22">
        <v>0.63897529422226418</v>
      </c>
      <c r="C307" t="str">
        <f t="shared" si="4"/>
        <v>A</v>
      </c>
    </row>
    <row r="308" spans="1:3" x14ac:dyDescent="0.3">
      <c r="A308" s="21" t="s">
        <v>1343</v>
      </c>
      <c r="B308" s="22">
        <v>0.65011001760162546</v>
      </c>
      <c r="C308" t="str">
        <f t="shared" si="4"/>
        <v>A</v>
      </c>
    </row>
    <row r="309" spans="1:3" x14ac:dyDescent="0.3">
      <c r="A309" s="21" t="s">
        <v>735</v>
      </c>
      <c r="B309" s="22">
        <v>0.66121789026886657</v>
      </c>
      <c r="C309" t="str">
        <f t="shared" si="4"/>
        <v>A</v>
      </c>
    </row>
    <row r="310" spans="1:3" x14ac:dyDescent="0.3">
      <c r="A310" s="21" t="s">
        <v>1134</v>
      </c>
      <c r="B310" s="22">
        <v>0.67199595631249909</v>
      </c>
      <c r="C310" t="str">
        <f t="shared" si="4"/>
        <v>A</v>
      </c>
    </row>
    <row r="311" spans="1:3" x14ac:dyDescent="0.3">
      <c r="A311" s="21" t="s">
        <v>969</v>
      </c>
      <c r="B311" s="22">
        <v>0.68273236265204162</v>
      </c>
      <c r="C311" t="str">
        <f t="shared" si="4"/>
        <v>A</v>
      </c>
    </row>
    <row r="312" spans="1:3" x14ac:dyDescent="0.3">
      <c r="A312" s="21" t="s">
        <v>962</v>
      </c>
      <c r="B312" s="22">
        <v>0.69300447975940216</v>
      </c>
      <c r="C312" t="str">
        <f t="shared" si="4"/>
        <v>A</v>
      </c>
    </row>
    <row r="313" spans="1:3" x14ac:dyDescent="0.3">
      <c r="A313" s="21" t="s">
        <v>1202</v>
      </c>
      <c r="B313" s="22">
        <v>0.70305588526972862</v>
      </c>
      <c r="C313" t="str">
        <f t="shared" si="4"/>
        <v>A</v>
      </c>
    </row>
    <row r="314" spans="1:3" x14ac:dyDescent="0.3">
      <c r="A314" s="21" t="s">
        <v>1069</v>
      </c>
      <c r="B314" s="22">
        <v>0.71308695877879069</v>
      </c>
      <c r="C314" t="str">
        <f t="shared" si="4"/>
        <v>A</v>
      </c>
    </row>
    <row r="315" spans="1:3" x14ac:dyDescent="0.3">
      <c r="A315" s="21" t="s">
        <v>942</v>
      </c>
      <c r="B315" s="22">
        <v>0.72287439130348474</v>
      </c>
      <c r="C315" t="str">
        <f t="shared" si="4"/>
        <v>A</v>
      </c>
    </row>
    <row r="316" spans="1:3" x14ac:dyDescent="0.3">
      <c r="A316" s="21" t="s">
        <v>910</v>
      </c>
      <c r="B316" s="22">
        <v>0.73255734751824841</v>
      </c>
      <c r="C316" t="str">
        <f t="shared" si="4"/>
        <v>A</v>
      </c>
    </row>
    <row r="317" spans="1:3" x14ac:dyDescent="0.3">
      <c r="A317" s="21" t="s">
        <v>772</v>
      </c>
      <c r="B317" s="22">
        <v>0.74181465760570897</v>
      </c>
      <c r="C317" t="str">
        <f t="shared" si="4"/>
        <v>A</v>
      </c>
    </row>
    <row r="318" spans="1:3" x14ac:dyDescent="0.3">
      <c r="A318" s="21" t="s">
        <v>882</v>
      </c>
      <c r="B318" s="22">
        <v>0.75101582666527777</v>
      </c>
      <c r="C318" t="str">
        <f t="shared" si="4"/>
        <v>A</v>
      </c>
    </row>
    <row r="319" spans="1:3" x14ac:dyDescent="0.3">
      <c r="A319" s="21" t="s">
        <v>1093</v>
      </c>
      <c r="B319" s="22">
        <v>0.76017757975700428</v>
      </c>
      <c r="C319" t="str">
        <f t="shared" si="4"/>
        <v>A</v>
      </c>
    </row>
    <row r="320" spans="1:3" x14ac:dyDescent="0.3">
      <c r="A320" s="21" t="s">
        <v>1292</v>
      </c>
      <c r="B320" s="22">
        <v>0.76837313699508569</v>
      </c>
      <c r="C320" t="str">
        <f t="shared" si="4"/>
        <v>A</v>
      </c>
    </row>
    <row r="321" spans="1:3" x14ac:dyDescent="0.3">
      <c r="A321" s="21" t="s">
        <v>1163</v>
      </c>
      <c r="B321" s="22">
        <v>0.77638584224047535</v>
      </c>
      <c r="C321" t="str">
        <f t="shared" si="4"/>
        <v>A</v>
      </c>
    </row>
    <row r="322" spans="1:3" x14ac:dyDescent="0.3">
      <c r="A322" s="21" t="s">
        <v>1098</v>
      </c>
      <c r="B322" s="22">
        <v>0.78425103545231323</v>
      </c>
      <c r="C322" t="str">
        <f t="shared" si="4"/>
        <v>A</v>
      </c>
    </row>
    <row r="323" spans="1:3" x14ac:dyDescent="0.3">
      <c r="A323" s="21" t="s">
        <v>999</v>
      </c>
      <c r="B323" s="22">
        <v>0.792042143658787</v>
      </c>
      <c r="C323" t="str">
        <f t="shared" ref="C323:C386" si="5">IF(B323&lt;=0.8,"A",IF(B323&lt;=0.95,"B","C"))</f>
        <v>A</v>
      </c>
    </row>
    <row r="324" spans="1:3" x14ac:dyDescent="0.3">
      <c r="A324" s="21" t="s">
        <v>1183</v>
      </c>
      <c r="B324" s="22">
        <v>0.79974983864234583</v>
      </c>
      <c r="C324" t="str">
        <f t="shared" si="5"/>
        <v>A</v>
      </c>
    </row>
    <row r="325" spans="1:3" x14ac:dyDescent="0.3">
      <c r="A325" s="21" t="s">
        <v>868</v>
      </c>
      <c r="B325" s="22">
        <v>0.80719087758463304</v>
      </c>
      <c r="C325" t="str">
        <f t="shared" si="5"/>
        <v>B</v>
      </c>
    </row>
    <row r="326" spans="1:3" x14ac:dyDescent="0.3">
      <c r="A326" s="21" t="s">
        <v>898</v>
      </c>
      <c r="B326" s="22">
        <v>0.81452078773247005</v>
      </c>
      <c r="C326" t="str">
        <f t="shared" si="5"/>
        <v>B</v>
      </c>
    </row>
    <row r="327" spans="1:3" x14ac:dyDescent="0.3">
      <c r="A327" s="21" t="s">
        <v>1008</v>
      </c>
      <c r="B327" s="22">
        <v>0.82158205135742257</v>
      </c>
      <c r="C327" t="str">
        <f t="shared" si="5"/>
        <v>B</v>
      </c>
    </row>
    <row r="328" spans="1:3" x14ac:dyDescent="0.3">
      <c r="A328" s="21" t="s">
        <v>1260</v>
      </c>
      <c r="B328" s="22">
        <v>0.82863684022572293</v>
      </c>
      <c r="C328" t="str">
        <f t="shared" si="5"/>
        <v>B</v>
      </c>
    </row>
    <row r="329" spans="1:3" x14ac:dyDescent="0.3">
      <c r="A329" s="21" t="s">
        <v>738</v>
      </c>
      <c r="B329" s="22">
        <v>0.8354139511480565</v>
      </c>
      <c r="C329" t="str">
        <f t="shared" si="5"/>
        <v>B</v>
      </c>
    </row>
    <row r="330" spans="1:3" x14ac:dyDescent="0.3">
      <c r="A330" s="21" t="s">
        <v>1235</v>
      </c>
      <c r="B330" s="22">
        <v>0.84213614451181262</v>
      </c>
      <c r="C330" t="str">
        <f t="shared" si="5"/>
        <v>B</v>
      </c>
    </row>
    <row r="331" spans="1:3" x14ac:dyDescent="0.3">
      <c r="A331" s="21" t="s">
        <v>777</v>
      </c>
      <c r="B331" s="22">
        <v>0.84873281852302629</v>
      </c>
      <c r="C331" t="str">
        <f t="shared" si="5"/>
        <v>B</v>
      </c>
    </row>
    <row r="332" spans="1:3" x14ac:dyDescent="0.3">
      <c r="A332" s="21" t="s">
        <v>1347</v>
      </c>
      <c r="B332" s="22">
        <v>0.85520450658176261</v>
      </c>
      <c r="C332" t="str">
        <f t="shared" si="5"/>
        <v>B</v>
      </c>
    </row>
    <row r="333" spans="1:3" x14ac:dyDescent="0.3">
      <c r="A333" s="21" t="s">
        <v>1203</v>
      </c>
      <c r="B333" s="22">
        <v>0.86165387985749298</v>
      </c>
      <c r="C333" t="str">
        <f t="shared" si="5"/>
        <v>B</v>
      </c>
    </row>
    <row r="334" spans="1:3" x14ac:dyDescent="0.3">
      <c r="A334" s="21" t="s">
        <v>1342</v>
      </c>
      <c r="B334" s="22">
        <v>0.86799935299011211</v>
      </c>
      <c r="C334" t="str">
        <f t="shared" si="5"/>
        <v>B</v>
      </c>
    </row>
    <row r="335" spans="1:3" x14ac:dyDescent="0.3">
      <c r="A335" s="21" t="s">
        <v>826</v>
      </c>
      <c r="B335" s="22">
        <v>0.87428384937789305</v>
      </c>
      <c r="C335" t="str">
        <f t="shared" si="5"/>
        <v>B</v>
      </c>
    </row>
    <row r="336" spans="1:3" x14ac:dyDescent="0.3">
      <c r="A336" s="21" t="s">
        <v>877</v>
      </c>
      <c r="B336" s="22">
        <v>0.88044957226090725</v>
      </c>
      <c r="C336" t="str">
        <f t="shared" si="5"/>
        <v>B</v>
      </c>
    </row>
    <row r="337" spans="1:3" x14ac:dyDescent="0.3">
      <c r="A337" s="21" t="s">
        <v>1035</v>
      </c>
      <c r="B337" s="22">
        <v>0.8865515255723504</v>
      </c>
      <c r="C337" t="str">
        <f t="shared" si="5"/>
        <v>B</v>
      </c>
    </row>
    <row r="338" spans="1:3" x14ac:dyDescent="0.3">
      <c r="A338" s="21" t="s">
        <v>1119</v>
      </c>
      <c r="B338" s="22">
        <v>0.89248061540506707</v>
      </c>
      <c r="C338" t="str">
        <f t="shared" si="5"/>
        <v>B</v>
      </c>
    </row>
    <row r="339" spans="1:3" x14ac:dyDescent="0.3">
      <c r="A339" s="21" t="s">
        <v>1258</v>
      </c>
      <c r="B339" s="22">
        <v>0.89763036664567286</v>
      </c>
      <c r="C339" t="str">
        <f t="shared" si="5"/>
        <v>B</v>
      </c>
    </row>
    <row r="340" spans="1:3" x14ac:dyDescent="0.3">
      <c r="A340" s="21" t="s">
        <v>884</v>
      </c>
      <c r="B340" s="22">
        <v>0.90251715888399031</v>
      </c>
      <c r="C340" t="str">
        <f t="shared" si="5"/>
        <v>B</v>
      </c>
    </row>
    <row r="341" spans="1:3" x14ac:dyDescent="0.3">
      <c r="A341" s="21" t="s">
        <v>1003</v>
      </c>
      <c r="B341" s="22">
        <v>0.90726585269138305</v>
      </c>
      <c r="C341" t="str">
        <f t="shared" si="5"/>
        <v>B</v>
      </c>
    </row>
    <row r="342" spans="1:3" x14ac:dyDescent="0.3">
      <c r="A342" s="21" t="s">
        <v>1333</v>
      </c>
      <c r="B342" s="22">
        <v>0.91188349098221932</v>
      </c>
      <c r="C342" t="str">
        <f t="shared" si="5"/>
        <v>B</v>
      </c>
    </row>
    <row r="343" spans="1:3" x14ac:dyDescent="0.3">
      <c r="A343" s="21" t="s">
        <v>963</v>
      </c>
      <c r="B343" s="22">
        <v>0.91648889266267453</v>
      </c>
      <c r="C343" t="str">
        <f t="shared" si="5"/>
        <v>B</v>
      </c>
    </row>
    <row r="344" spans="1:3" x14ac:dyDescent="0.3">
      <c r="A344" s="21" t="s">
        <v>780</v>
      </c>
      <c r="B344" s="22">
        <v>0.92090198254858446</v>
      </c>
      <c r="C344" t="str">
        <f t="shared" si="5"/>
        <v>B</v>
      </c>
    </row>
    <row r="345" spans="1:3" x14ac:dyDescent="0.3">
      <c r="A345" s="21" t="s">
        <v>946</v>
      </c>
      <c r="B345" s="22">
        <v>0.92522184192543</v>
      </c>
      <c r="C345" t="str">
        <f t="shared" si="5"/>
        <v>B</v>
      </c>
    </row>
    <row r="346" spans="1:3" x14ac:dyDescent="0.3">
      <c r="A346" s="21" t="s">
        <v>1144</v>
      </c>
      <c r="B346" s="22">
        <v>0.92948916642396517</v>
      </c>
      <c r="C346" t="str">
        <f t="shared" si="5"/>
        <v>B</v>
      </c>
    </row>
    <row r="347" spans="1:3" x14ac:dyDescent="0.3">
      <c r="A347" s="21" t="s">
        <v>769</v>
      </c>
      <c r="B347" s="22">
        <v>0.93359059664347277</v>
      </c>
      <c r="C347" t="str">
        <f t="shared" si="5"/>
        <v>B</v>
      </c>
    </row>
    <row r="348" spans="1:3" x14ac:dyDescent="0.3">
      <c r="A348" s="21" t="s">
        <v>952</v>
      </c>
      <c r="B348" s="22">
        <v>0.93763264704666571</v>
      </c>
      <c r="C348" t="str">
        <f t="shared" si="5"/>
        <v>B</v>
      </c>
    </row>
    <row r="349" spans="1:3" x14ac:dyDescent="0.3">
      <c r="A349" s="21" t="s">
        <v>1176</v>
      </c>
      <c r="B349" s="22">
        <v>0.94131871626794972</v>
      </c>
      <c r="C349" t="str">
        <f t="shared" si="5"/>
        <v>B</v>
      </c>
    </row>
    <row r="350" spans="1:3" x14ac:dyDescent="0.3">
      <c r="A350" s="21" t="s">
        <v>1336</v>
      </c>
      <c r="B350" s="22">
        <v>0.94469393879934016</v>
      </c>
      <c r="C350" t="str">
        <f t="shared" si="5"/>
        <v>B</v>
      </c>
    </row>
    <row r="351" spans="1:3" x14ac:dyDescent="0.3">
      <c r="A351" s="21" t="s">
        <v>1042</v>
      </c>
      <c r="B351" s="22">
        <v>0.94799338872390349</v>
      </c>
      <c r="C351" t="str">
        <f t="shared" si="5"/>
        <v>B</v>
      </c>
    </row>
    <row r="352" spans="1:3" x14ac:dyDescent="0.3">
      <c r="A352" s="21" t="s">
        <v>1214</v>
      </c>
      <c r="B352" s="22">
        <v>0.95092399435260999</v>
      </c>
      <c r="C352" t="str">
        <f t="shared" si="5"/>
        <v>C</v>
      </c>
    </row>
    <row r="353" spans="1:3" x14ac:dyDescent="0.3">
      <c r="A353" s="21" t="s">
        <v>935</v>
      </c>
      <c r="B353" s="22">
        <v>0.95379230258180325</v>
      </c>
      <c r="C353" t="str">
        <f t="shared" si="5"/>
        <v>C</v>
      </c>
    </row>
    <row r="354" spans="1:3" x14ac:dyDescent="0.3">
      <c r="A354" s="21" t="s">
        <v>1103</v>
      </c>
      <c r="B354" s="22">
        <v>0.95661841724917829</v>
      </c>
      <c r="C354" t="str">
        <f t="shared" si="5"/>
        <v>C</v>
      </c>
    </row>
    <row r="355" spans="1:3" x14ac:dyDescent="0.3">
      <c r="A355" s="21" t="s">
        <v>974</v>
      </c>
      <c r="B355" s="22">
        <v>0.95936231060275823</v>
      </c>
      <c r="C355" t="str">
        <f t="shared" si="5"/>
        <v>C</v>
      </c>
    </row>
    <row r="356" spans="1:3" x14ac:dyDescent="0.3">
      <c r="A356" s="21" t="s">
        <v>913</v>
      </c>
      <c r="B356" s="22">
        <v>0.96209628816750081</v>
      </c>
      <c r="C356" t="str">
        <f t="shared" si="5"/>
        <v>C</v>
      </c>
    </row>
    <row r="357" spans="1:3" x14ac:dyDescent="0.3">
      <c r="A357" s="21" t="s">
        <v>1330</v>
      </c>
      <c r="B357" s="22">
        <v>0.9648234135891387</v>
      </c>
      <c r="C357" t="str">
        <f t="shared" si="5"/>
        <v>C</v>
      </c>
    </row>
    <row r="358" spans="1:3" x14ac:dyDescent="0.3">
      <c r="A358" s="21" t="s">
        <v>927</v>
      </c>
      <c r="B358" s="22">
        <v>0.96754596213319133</v>
      </c>
      <c r="C358" t="str">
        <f t="shared" si="5"/>
        <v>C</v>
      </c>
    </row>
    <row r="359" spans="1:3" x14ac:dyDescent="0.3">
      <c r="A359" s="21" t="s">
        <v>1030</v>
      </c>
      <c r="B359" s="22">
        <v>0.97016941090588749</v>
      </c>
      <c r="C359" t="str">
        <f t="shared" si="5"/>
        <v>C</v>
      </c>
    </row>
    <row r="360" spans="1:3" x14ac:dyDescent="0.3">
      <c r="A360" s="21" t="s">
        <v>886</v>
      </c>
      <c r="B360" s="22">
        <v>0.97272973418731268</v>
      </c>
      <c r="C360" t="str">
        <f t="shared" si="5"/>
        <v>C</v>
      </c>
    </row>
    <row r="361" spans="1:3" x14ac:dyDescent="0.3">
      <c r="A361" s="21" t="s">
        <v>1084</v>
      </c>
      <c r="B361" s="22">
        <v>0.97528524564922281</v>
      </c>
      <c r="C361" t="str">
        <f t="shared" si="5"/>
        <v>C</v>
      </c>
    </row>
    <row r="362" spans="1:3" x14ac:dyDescent="0.3">
      <c r="A362" s="21" t="s">
        <v>1107</v>
      </c>
      <c r="B362" s="22">
        <v>0.97783176189290621</v>
      </c>
      <c r="C362" t="str">
        <f t="shared" si="5"/>
        <v>C</v>
      </c>
    </row>
    <row r="363" spans="1:3" x14ac:dyDescent="0.3">
      <c r="A363" s="21" t="s">
        <v>1195</v>
      </c>
      <c r="B363" s="22">
        <v>0.98033995166648968</v>
      </c>
      <c r="C363" t="str">
        <f t="shared" si="5"/>
        <v>C</v>
      </c>
    </row>
    <row r="364" spans="1:3" x14ac:dyDescent="0.3">
      <c r="A364" s="21" t="s">
        <v>1221</v>
      </c>
      <c r="B364" s="22">
        <v>0.98282979716825902</v>
      </c>
      <c r="C364" t="str">
        <f t="shared" si="5"/>
        <v>C</v>
      </c>
    </row>
    <row r="365" spans="1:3" x14ac:dyDescent="0.3">
      <c r="A365" s="21" t="s">
        <v>773</v>
      </c>
      <c r="B365" s="22">
        <v>0.98503288699042901</v>
      </c>
      <c r="C365" t="str">
        <f t="shared" si="5"/>
        <v>C</v>
      </c>
    </row>
    <row r="366" spans="1:3" x14ac:dyDescent="0.3">
      <c r="A366" s="21" t="s">
        <v>1329</v>
      </c>
      <c r="B366" s="22">
        <v>0.98696014926006848</v>
      </c>
      <c r="C366" t="str">
        <f t="shared" si="5"/>
        <v>C</v>
      </c>
    </row>
    <row r="367" spans="1:3" x14ac:dyDescent="0.3">
      <c r="A367" s="21" t="s">
        <v>966</v>
      </c>
      <c r="B367" s="22">
        <v>0.98874131411399691</v>
      </c>
      <c r="C367" t="str">
        <f t="shared" si="5"/>
        <v>C</v>
      </c>
    </row>
    <row r="368" spans="1:3" x14ac:dyDescent="0.3">
      <c r="A368" s="21" t="s">
        <v>1340</v>
      </c>
      <c r="B368" s="22">
        <v>0.99043359745737025</v>
      </c>
      <c r="C368" t="str">
        <f t="shared" si="5"/>
        <v>C</v>
      </c>
    </row>
    <row r="369" spans="1:3" x14ac:dyDescent="0.3">
      <c r="A369" s="21" t="s">
        <v>1124</v>
      </c>
      <c r="B369" s="22">
        <v>0.99199525716964687</v>
      </c>
      <c r="C369" t="str">
        <f t="shared" si="5"/>
        <v>C</v>
      </c>
    </row>
    <row r="370" spans="1:3" x14ac:dyDescent="0.3">
      <c r="A370" s="21" t="s">
        <v>1259</v>
      </c>
      <c r="B370" s="22">
        <v>0.99332282506120617</v>
      </c>
      <c r="C370" t="str">
        <f t="shared" si="5"/>
        <v>C</v>
      </c>
    </row>
    <row r="371" spans="1:3" x14ac:dyDescent="0.3">
      <c r="A371" s="21" t="s">
        <v>908</v>
      </c>
      <c r="B371" s="22">
        <v>0.99453045903722703</v>
      </c>
      <c r="C371" t="str">
        <f t="shared" si="5"/>
        <v>C</v>
      </c>
    </row>
    <row r="372" spans="1:3" x14ac:dyDescent="0.3">
      <c r="A372" s="21" t="s">
        <v>1178</v>
      </c>
      <c r="B372" s="22">
        <v>0.9957211861001789</v>
      </c>
      <c r="C372" t="str">
        <f t="shared" si="5"/>
        <v>C</v>
      </c>
    </row>
    <row r="373" spans="1:3" x14ac:dyDescent="0.3">
      <c r="A373" s="21" t="s">
        <v>760</v>
      </c>
      <c r="B373" s="22">
        <v>0.99680764100183039</v>
      </c>
      <c r="C373" t="str">
        <f t="shared" si="5"/>
        <v>C</v>
      </c>
    </row>
    <row r="374" spans="1:3" x14ac:dyDescent="0.3">
      <c r="A374" s="21" t="s">
        <v>1088</v>
      </c>
      <c r="B374" s="22">
        <v>0.99750161250863989</v>
      </c>
      <c r="C374" t="str">
        <f t="shared" si="5"/>
        <v>C</v>
      </c>
    </row>
    <row r="375" spans="1:3" x14ac:dyDescent="0.3">
      <c r="A375" s="21" t="s">
        <v>1025</v>
      </c>
      <c r="B375" s="22">
        <v>0.99818127121059341</v>
      </c>
      <c r="C375" t="str">
        <f t="shared" si="5"/>
        <v>C</v>
      </c>
    </row>
    <row r="376" spans="1:3" x14ac:dyDescent="0.3">
      <c r="A376" s="21" t="s">
        <v>850</v>
      </c>
      <c r="B376" s="22">
        <v>0.99865500930400897</v>
      </c>
      <c r="C376" t="str">
        <f t="shared" si="5"/>
        <v>C</v>
      </c>
    </row>
    <row r="377" spans="1:3" x14ac:dyDescent="0.3">
      <c r="A377" s="21" t="s">
        <v>977</v>
      </c>
      <c r="B377" s="22">
        <v>0.99911775797443458</v>
      </c>
      <c r="C377" t="str">
        <f t="shared" si="5"/>
        <v>C</v>
      </c>
    </row>
    <row r="378" spans="1:3" x14ac:dyDescent="0.3">
      <c r="A378" s="21" t="s">
        <v>1151</v>
      </c>
      <c r="B378" s="22">
        <v>0.99957631056764606</v>
      </c>
      <c r="C378" t="str">
        <f t="shared" si="5"/>
        <v>C</v>
      </c>
    </row>
    <row r="379" spans="1:3" x14ac:dyDescent="0.3">
      <c r="A379" s="21" t="s">
        <v>741</v>
      </c>
      <c r="B379" s="22">
        <v>0.99999999999999956</v>
      </c>
      <c r="C379" t="str">
        <f t="shared" si="5"/>
        <v>C</v>
      </c>
    </row>
    <row r="380" spans="1:3" x14ac:dyDescent="0.3">
      <c r="A380" s="18" t="s">
        <v>1462</v>
      </c>
      <c r="B380" s="22"/>
      <c r="C380" t="str">
        <f t="shared" si="5"/>
        <v>A</v>
      </c>
    </row>
    <row r="381" spans="1:3" x14ac:dyDescent="0.3">
      <c r="A381" s="21" t="s">
        <v>1462</v>
      </c>
      <c r="B381" s="22"/>
      <c r="C381" t="str">
        <f t="shared" si="5"/>
        <v>A</v>
      </c>
    </row>
    <row r="382" spans="1:3" x14ac:dyDescent="0.3">
      <c r="A382" s="18" t="s">
        <v>1463</v>
      </c>
      <c r="B382" s="22"/>
      <c r="C382" t="str">
        <f t="shared" si="5"/>
        <v>A</v>
      </c>
    </row>
    <row r="383" spans="1:3" x14ac:dyDescent="0.3">
      <c r="C383" t="str">
        <f t="shared" si="5"/>
        <v>A</v>
      </c>
    </row>
    <row r="384" spans="1:3" x14ac:dyDescent="0.3">
      <c r="C384" t="str">
        <f t="shared" si="5"/>
        <v>A</v>
      </c>
    </row>
    <row r="385" spans="3:3" x14ac:dyDescent="0.3">
      <c r="C385" t="str">
        <f t="shared" si="5"/>
        <v>A</v>
      </c>
    </row>
    <row r="386" spans="3:3" x14ac:dyDescent="0.3">
      <c r="C386" t="str">
        <f t="shared" si="5"/>
        <v>A</v>
      </c>
    </row>
    <row r="387" spans="3:3" x14ac:dyDescent="0.3">
      <c r="C387" t="str">
        <f t="shared" ref="C387:C450" si="6">IF(B387&lt;=0.8,"A",IF(B387&lt;=0.95,"B","C"))</f>
        <v>A</v>
      </c>
    </row>
    <row r="388" spans="3:3" x14ac:dyDescent="0.3">
      <c r="C388" t="str">
        <f t="shared" si="6"/>
        <v>A</v>
      </c>
    </row>
    <row r="389" spans="3:3" x14ac:dyDescent="0.3">
      <c r="C389" t="str">
        <f t="shared" si="6"/>
        <v>A</v>
      </c>
    </row>
    <row r="390" spans="3:3" x14ac:dyDescent="0.3">
      <c r="C390" t="str">
        <f t="shared" si="6"/>
        <v>A</v>
      </c>
    </row>
    <row r="391" spans="3:3" x14ac:dyDescent="0.3">
      <c r="C391" t="str">
        <f t="shared" si="6"/>
        <v>A</v>
      </c>
    </row>
    <row r="392" spans="3:3" x14ac:dyDescent="0.3">
      <c r="C392" t="str">
        <f t="shared" si="6"/>
        <v>A</v>
      </c>
    </row>
    <row r="393" spans="3:3" x14ac:dyDescent="0.3">
      <c r="C393" t="str">
        <f t="shared" si="6"/>
        <v>A</v>
      </c>
    </row>
    <row r="394" spans="3:3" x14ac:dyDescent="0.3">
      <c r="C394" t="str">
        <f t="shared" si="6"/>
        <v>A</v>
      </c>
    </row>
    <row r="395" spans="3:3" x14ac:dyDescent="0.3">
      <c r="C395" t="str">
        <f t="shared" si="6"/>
        <v>A</v>
      </c>
    </row>
    <row r="396" spans="3:3" x14ac:dyDescent="0.3">
      <c r="C396" t="str">
        <f t="shared" si="6"/>
        <v>A</v>
      </c>
    </row>
    <row r="397" spans="3:3" x14ac:dyDescent="0.3">
      <c r="C397" t="str">
        <f t="shared" si="6"/>
        <v>A</v>
      </c>
    </row>
    <row r="398" spans="3:3" x14ac:dyDescent="0.3">
      <c r="C398" t="str">
        <f t="shared" si="6"/>
        <v>A</v>
      </c>
    </row>
    <row r="399" spans="3:3" x14ac:dyDescent="0.3">
      <c r="C399" t="str">
        <f t="shared" si="6"/>
        <v>A</v>
      </c>
    </row>
    <row r="400" spans="3:3" x14ac:dyDescent="0.3">
      <c r="C400" t="str">
        <f t="shared" si="6"/>
        <v>A</v>
      </c>
    </row>
    <row r="401" spans="3:3" x14ac:dyDescent="0.3">
      <c r="C401" t="str">
        <f t="shared" si="6"/>
        <v>A</v>
      </c>
    </row>
    <row r="402" spans="3:3" x14ac:dyDescent="0.3">
      <c r="C402" t="str">
        <f t="shared" si="6"/>
        <v>A</v>
      </c>
    </row>
    <row r="403" spans="3:3" x14ac:dyDescent="0.3">
      <c r="C403" t="str">
        <f t="shared" si="6"/>
        <v>A</v>
      </c>
    </row>
    <row r="404" spans="3:3" x14ac:dyDescent="0.3">
      <c r="C404" t="str">
        <f t="shared" si="6"/>
        <v>A</v>
      </c>
    </row>
    <row r="405" spans="3:3" x14ac:dyDescent="0.3">
      <c r="C405" t="str">
        <f t="shared" si="6"/>
        <v>A</v>
      </c>
    </row>
    <row r="406" spans="3:3" x14ac:dyDescent="0.3">
      <c r="C406" t="str">
        <f t="shared" si="6"/>
        <v>A</v>
      </c>
    </row>
    <row r="407" spans="3:3" x14ac:dyDescent="0.3">
      <c r="C407" t="str">
        <f t="shared" si="6"/>
        <v>A</v>
      </c>
    </row>
    <row r="408" spans="3:3" x14ac:dyDescent="0.3">
      <c r="C408" t="str">
        <f t="shared" si="6"/>
        <v>A</v>
      </c>
    </row>
    <row r="409" spans="3:3" x14ac:dyDescent="0.3">
      <c r="C409" t="str">
        <f t="shared" si="6"/>
        <v>A</v>
      </c>
    </row>
    <row r="410" spans="3:3" x14ac:dyDescent="0.3">
      <c r="C410" t="str">
        <f t="shared" si="6"/>
        <v>A</v>
      </c>
    </row>
    <row r="411" spans="3:3" x14ac:dyDescent="0.3">
      <c r="C411" t="str">
        <f t="shared" si="6"/>
        <v>A</v>
      </c>
    </row>
    <row r="412" spans="3:3" x14ac:dyDescent="0.3">
      <c r="C412" t="str">
        <f t="shared" si="6"/>
        <v>A</v>
      </c>
    </row>
    <row r="413" spans="3:3" x14ac:dyDescent="0.3">
      <c r="C413" t="str">
        <f t="shared" si="6"/>
        <v>A</v>
      </c>
    </row>
    <row r="414" spans="3:3" x14ac:dyDescent="0.3">
      <c r="C414" t="str">
        <f t="shared" si="6"/>
        <v>A</v>
      </c>
    </row>
    <row r="415" spans="3:3" x14ac:dyDescent="0.3">
      <c r="C415" t="str">
        <f t="shared" si="6"/>
        <v>A</v>
      </c>
    </row>
    <row r="416" spans="3:3" x14ac:dyDescent="0.3">
      <c r="C416" t="str">
        <f t="shared" si="6"/>
        <v>A</v>
      </c>
    </row>
    <row r="417" spans="3:3" x14ac:dyDescent="0.3">
      <c r="C417" t="str">
        <f t="shared" si="6"/>
        <v>A</v>
      </c>
    </row>
    <row r="418" spans="3:3" x14ac:dyDescent="0.3">
      <c r="C418" t="str">
        <f t="shared" si="6"/>
        <v>A</v>
      </c>
    </row>
    <row r="419" spans="3:3" x14ac:dyDescent="0.3">
      <c r="C419" t="str">
        <f t="shared" si="6"/>
        <v>A</v>
      </c>
    </row>
    <row r="420" spans="3:3" x14ac:dyDescent="0.3">
      <c r="C420" t="str">
        <f t="shared" si="6"/>
        <v>A</v>
      </c>
    </row>
    <row r="421" spans="3:3" x14ac:dyDescent="0.3">
      <c r="C421" t="str">
        <f t="shared" si="6"/>
        <v>A</v>
      </c>
    </row>
    <row r="422" spans="3:3" x14ac:dyDescent="0.3">
      <c r="C422" t="str">
        <f t="shared" si="6"/>
        <v>A</v>
      </c>
    </row>
    <row r="423" spans="3:3" x14ac:dyDescent="0.3">
      <c r="C423" t="str">
        <f t="shared" si="6"/>
        <v>A</v>
      </c>
    </row>
    <row r="424" spans="3:3" x14ac:dyDescent="0.3">
      <c r="C424" t="str">
        <f t="shared" si="6"/>
        <v>A</v>
      </c>
    </row>
    <row r="425" spans="3:3" x14ac:dyDescent="0.3">
      <c r="C425" t="str">
        <f t="shared" si="6"/>
        <v>A</v>
      </c>
    </row>
    <row r="426" spans="3:3" x14ac:dyDescent="0.3">
      <c r="C426" t="str">
        <f t="shared" si="6"/>
        <v>A</v>
      </c>
    </row>
    <row r="427" spans="3:3" x14ac:dyDescent="0.3">
      <c r="C427" t="str">
        <f t="shared" si="6"/>
        <v>A</v>
      </c>
    </row>
    <row r="428" spans="3:3" x14ac:dyDescent="0.3">
      <c r="C428" t="str">
        <f t="shared" si="6"/>
        <v>A</v>
      </c>
    </row>
    <row r="429" spans="3:3" x14ac:dyDescent="0.3">
      <c r="C429" t="str">
        <f t="shared" si="6"/>
        <v>A</v>
      </c>
    </row>
    <row r="430" spans="3:3" x14ac:dyDescent="0.3">
      <c r="C430" t="str">
        <f t="shared" si="6"/>
        <v>A</v>
      </c>
    </row>
    <row r="431" spans="3:3" x14ac:dyDescent="0.3">
      <c r="C431" t="str">
        <f t="shared" si="6"/>
        <v>A</v>
      </c>
    </row>
    <row r="432" spans="3:3" x14ac:dyDescent="0.3">
      <c r="C432" t="str">
        <f t="shared" si="6"/>
        <v>A</v>
      </c>
    </row>
    <row r="433" spans="3:3" x14ac:dyDescent="0.3">
      <c r="C433" t="str">
        <f t="shared" si="6"/>
        <v>A</v>
      </c>
    </row>
    <row r="434" spans="3:3" x14ac:dyDescent="0.3">
      <c r="C434" t="str">
        <f t="shared" si="6"/>
        <v>A</v>
      </c>
    </row>
    <row r="435" spans="3:3" x14ac:dyDescent="0.3">
      <c r="C435" t="str">
        <f t="shared" si="6"/>
        <v>A</v>
      </c>
    </row>
    <row r="436" spans="3:3" x14ac:dyDescent="0.3">
      <c r="C436" t="str">
        <f t="shared" si="6"/>
        <v>A</v>
      </c>
    </row>
    <row r="437" spans="3:3" x14ac:dyDescent="0.3">
      <c r="C437" t="str">
        <f t="shared" si="6"/>
        <v>A</v>
      </c>
    </row>
    <row r="438" spans="3:3" x14ac:dyDescent="0.3">
      <c r="C438" t="str">
        <f t="shared" si="6"/>
        <v>A</v>
      </c>
    </row>
    <row r="439" spans="3:3" x14ac:dyDescent="0.3">
      <c r="C439" t="str">
        <f t="shared" si="6"/>
        <v>A</v>
      </c>
    </row>
    <row r="440" spans="3:3" x14ac:dyDescent="0.3">
      <c r="C440" t="str">
        <f t="shared" si="6"/>
        <v>A</v>
      </c>
    </row>
    <row r="441" spans="3:3" x14ac:dyDescent="0.3">
      <c r="C441" t="str">
        <f t="shared" si="6"/>
        <v>A</v>
      </c>
    </row>
    <row r="442" spans="3:3" x14ac:dyDescent="0.3">
      <c r="C442" t="str">
        <f t="shared" si="6"/>
        <v>A</v>
      </c>
    </row>
    <row r="443" spans="3:3" x14ac:dyDescent="0.3">
      <c r="C443" t="str">
        <f t="shared" si="6"/>
        <v>A</v>
      </c>
    </row>
    <row r="444" spans="3:3" x14ac:dyDescent="0.3">
      <c r="C444" t="str">
        <f t="shared" si="6"/>
        <v>A</v>
      </c>
    </row>
    <row r="445" spans="3:3" x14ac:dyDescent="0.3">
      <c r="C445" t="str">
        <f t="shared" si="6"/>
        <v>A</v>
      </c>
    </row>
    <row r="446" spans="3:3" x14ac:dyDescent="0.3">
      <c r="C446" t="str">
        <f t="shared" si="6"/>
        <v>A</v>
      </c>
    </row>
    <row r="447" spans="3:3" x14ac:dyDescent="0.3">
      <c r="C447" t="str">
        <f t="shared" si="6"/>
        <v>A</v>
      </c>
    </row>
    <row r="448" spans="3:3" x14ac:dyDescent="0.3">
      <c r="C448" t="str">
        <f t="shared" si="6"/>
        <v>A</v>
      </c>
    </row>
    <row r="449" spans="3:3" x14ac:dyDescent="0.3">
      <c r="C449" t="str">
        <f t="shared" si="6"/>
        <v>A</v>
      </c>
    </row>
    <row r="450" spans="3:3" x14ac:dyDescent="0.3">
      <c r="C450" t="str">
        <f t="shared" si="6"/>
        <v>A</v>
      </c>
    </row>
    <row r="451" spans="3:3" x14ac:dyDescent="0.3">
      <c r="C451" t="str">
        <f t="shared" ref="C451:C514" si="7">IF(B451&lt;=0.8,"A",IF(B451&lt;=0.95,"B","C"))</f>
        <v>A</v>
      </c>
    </row>
    <row r="452" spans="3:3" x14ac:dyDescent="0.3">
      <c r="C452" t="str">
        <f t="shared" si="7"/>
        <v>A</v>
      </c>
    </row>
    <row r="453" spans="3:3" x14ac:dyDescent="0.3">
      <c r="C453" t="str">
        <f t="shared" si="7"/>
        <v>A</v>
      </c>
    </row>
    <row r="454" spans="3:3" x14ac:dyDescent="0.3">
      <c r="C454" t="str">
        <f t="shared" si="7"/>
        <v>A</v>
      </c>
    </row>
    <row r="455" spans="3:3" x14ac:dyDescent="0.3">
      <c r="C455" t="str">
        <f t="shared" si="7"/>
        <v>A</v>
      </c>
    </row>
    <row r="456" spans="3:3" x14ac:dyDescent="0.3">
      <c r="C456" t="str">
        <f t="shared" si="7"/>
        <v>A</v>
      </c>
    </row>
    <row r="457" spans="3:3" x14ac:dyDescent="0.3">
      <c r="C457" t="str">
        <f t="shared" si="7"/>
        <v>A</v>
      </c>
    </row>
    <row r="458" spans="3:3" x14ac:dyDescent="0.3">
      <c r="C458" t="str">
        <f t="shared" si="7"/>
        <v>A</v>
      </c>
    </row>
    <row r="459" spans="3:3" x14ac:dyDescent="0.3">
      <c r="C459" t="str">
        <f t="shared" si="7"/>
        <v>A</v>
      </c>
    </row>
    <row r="460" spans="3:3" x14ac:dyDescent="0.3">
      <c r="C460" t="str">
        <f t="shared" si="7"/>
        <v>A</v>
      </c>
    </row>
    <row r="461" spans="3:3" x14ac:dyDescent="0.3">
      <c r="C461" t="str">
        <f t="shared" si="7"/>
        <v>A</v>
      </c>
    </row>
    <row r="462" spans="3:3" x14ac:dyDescent="0.3">
      <c r="C462" t="str">
        <f t="shared" si="7"/>
        <v>A</v>
      </c>
    </row>
    <row r="463" spans="3:3" x14ac:dyDescent="0.3">
      <c r="C463" t="str">
        <f t="shared" si="7"/>
        <v>A</v>
      </c>
    </row>
    <row r="464" spans="3:3" x14ac:dyDescent="0.3">
      <c r="C464" t="str">
        <f t="shared" si="7"/>
        <v>A</v>
      </c>
    </row>
    <row r="465" spans="3:3" x14ac:dyDescent="0.3">
      <c r="C465" t="str">
        <f t="shared" si="7"/>
        <v>A</v>
      </c>
    </row>
    <row r="466" spans="3:3" x14ac:dyDescent="0.3">
      <c r="C466" t="str">
        <f t="shared" si="7"/>
        <v>A</v>
      </c>
    </row>
    <row r="467" spans="3:3" x14ac:dyDescent="0.3">
      <c r="C467" t="str">
        <f t="shared" si="7"/>
        <v>A</v>
      </c>
    </row>
    <row r="468" spans="3:3" x14ac:dyDescent="0.3">
      <c r="C468" t="str">
        <f t="shared" si="7"/>
        <v>A</v>
      </c>
    </row>
    <row r="469" spans="3:3" x14ac:dyDescent="0.3">
      <c r="C469" t="str">
        <f t="shared" si="7"/>
        <v>A</v>
      </c>
    </row>
    <row r="470" spans="3:3" x14ac:dyDescent="0.3">
      <c r="C470" t="str">
        <f t="shared" si="7"/>
        <v>A</v>
      </c>
    </row>
    <row r="471" spans="3:3" x14ac:dyDescent="0.3">
      <c r="C471" t="str">
        <f t="shared" si="7"/>
        <v>A</v>
      </c>
    </row>
    <row r="472" spans="3:3" x14ac:dyDescent="0.3">
      <c r="C472" t="str">
        <f t="shared" si="7"/>
        <v>A</v>
      </c>
    </row>
    <row r="473" spans="3:3" x14ac:dyDescent="0.3">
      <c r="C473" t="str">
        <f t="shared" si="7"/>
        <v>A</v>
      </c>
    </row>
    <row r="474" spans="3:3" x14ac:dyDescent="0.3">
      <c r="C474" t="str">
        <f t="shared" si="7"/>
        <v>A</v>
      </c>
    </row>
    <row r="475" spans="3:3" x14ac:dyDescent="0.3">
      <c r="C475" t="str">
        <f t="shared" si="7"/>
        <v>A</v>
      </c>
    </row>
    <row r="476" spans="3:3" x14ac:dyDescent="0.3">
      <c r="C476" t="str">
        <f t="shared" si="7"/>
        <v>A</v>
      </c>
    </row>
    <row r="477" spans="3:3" x14ac:dyDescent="0.3">
      <c r="C477" t="str">
        <f t="shared" si="7"/>
        <v>A</v>
      </c>
    </row>
    <row r="478" spans="3:3" x14ac:dyDescent="0.3">
      <c r="C478" t="str">
        <f t="shared" si="7"/>
        <v>A</v>
      </c>
    </row>
    <row r="479" spans="3:3" x14ac:dyDescent="0.3">
      <c r="C479" t="str">
        <f t="shared" si="7"/>
        <v>A</v>
      </c>
    </row>
    <row r="480" spans="3:3" x14ac:dyDescent="0.3">
      <c r="C480" t="str">
        <f t="shared" si="7"/>
        <v>A</v>
      </c>
    </row>
    <row r="481" spans="3:3" x14ac:dyDescent="0.3">
      <c r="C481" t="str">
        <f t="shared" si="7"/>
        <v>A</v>
      </c>
    </row>
    <row r="482" spans="3:3" x14ac:dyDescent="0.3">
      <c r="C482" t="str">
        <f t="shared" si="7"/>
        <v>A</v>
      </c>
    </row>
    <row r="483" spans="3:3" x14ac:dyDescent="0.3">
      <c r="C483" t="str">
        <f t="shared" si="7"/>
        <v>A</v>
      </c>
    </row>
    <row r="484" spans="3:3" x14ac:dyDescent="0.3">
      <c r="C484" t="str">
        <f t="shared" si="7"/>
        <v>A</v>
      </c>
    </row>
    <row r="485" spans="3:3" x14ac:dyDescent="0.3">
      <c r="C485" t="str">
        <f t="shared" si="7"/>
        <v>A</v>
      </c>
    </row>
    <row r="486" spans="3:3" x14ac:dyDescent="0.3">
      <c r="C486" t="str">
        <f t="shared" si="7"/>
        <v>A</v>
      </c>
    </row>
    <row r="487" spans="3:3" x14ac:dyDescent="0.3">
      <c r="C487" t="str">
        <f t="shared" si="7"/>
        <v>A</v>
      </c>
    </row>
    <row r="488" spans="3:3" x14ac:dyDescent="0.3">
      <c r="C488" t="str">
        <f t="shared" si="7"/>
        <v>A</v>
      </c>
    </row>
    <row r="489" spans="3:3" x14ac:dyDescent="0.3">
      <c r="C489" t="str">
        <f t="shared" si="7"/>
        <v>A</v>
      </c>
    </row>
    <row r="490" spans="3:3" x14ac:dyDescent="0.3">
      <c r="C490" t="str">
        <f t="shared" si="7"/>
        <v>A</v>
      </c>
    </row>
    <row r="491" spans="3:3" x14ac:dyDescent="0.3">
      <c r="C491" t="str">
        <f t="shared" si="7"/>
        <v>A</v>
      </c>
    </row>
    <row r="492" spans="3:3" x14ac:dyDescent="0.3">
      <c r="C492" t="str">
        <f t="shared" si="7"/>
        <v>A</v>
      </c>
    </row>
    <row r="493" spans="3:3" x14ac:dyDescent="0.3">
      <c r="C493" t="str">
        <f t="shared" si="7"/>
        <v>A</v>
      </c>
    </row>
    <row r="494" spans="3:3" x14ac:dyDescent="0.3">
      <c r="C494" t="str">
        <f t="shared" si="7"/>
        <v>A</v>
      </c>
    </row>
    <row r="495" spans="3:3" x14ac:dyDescent="0.3">
      <c r="C495" t="str">
        <f t="shared" si="7"/>
        <v>A</v>
      </c>
    </row>
    <row r="496" spans="3:3" x14ac:dyDescent="0.3">
      <c r="C496" t="str">
        <f t="shared" si="7"/>
        <v>A</v>
      </c>
    </row>
    <row r="497" spans="3:3" x14ac:dyDescent="0.3">
      <c r="C497" t="str">
        <f t="shared" si="7"/>
        <v>A</v>
      </c>
    </row>
    <row r="498" spans="3:3" x14ac:dyDescent="0.3">
      <c r="C498" t="str">
        <f t="shared" si="7"/>
        <v>A</v>
      </c>
    </row>
    <row r="499" spans="3:3" x14ac:dyDescent="0.3">
      <c r="C499" t="str">
        <f t="shared" si="7"/>
        <v>A</v>
      </c>
    </row>
    <row r="500" spans="3:3" x14ac:dyDescent="0.3">
      <c r="C500" t="str">
        <f t="shared" si="7"/>
        <v>A</v>
      </c>
    </row>
    <row r="501" spans="3:3" x14ac:dyDescent="0.3">
      <c r="C501" t="str">
        <f t="shared" si="7"/>
        <v>A</v>
      </c>
    </row>
    <row r="502" spans="3:3" x14ac:dyDescent="0.3">
      <c r="C502" t="str">
        <f t="shared" si="7"/>
        <v>A</v>
      </c>
    </row>
    <row r="503" spans="3:3" x14ac:dyDescent="0.3">
      <c r="C503" t="str">
        <f t="shared" si="7"/>
        <v>A</v>
      </c>
    </row>
    <row r="504" spans="3:3" x14ac:dyDescent="0.3">
      <c r="C504" t="str">
        <f t="shared" si="7"/>
        <v>A</v>
      </c>
    </row>
    <row r="505" spans="3:3" x14ac:dyDescent="0.3">
      <c r="C505" t="str">
        <f t="shared" si="7"/>
        <v>A</v>
      </c>
    </row>
    <row r="506" spans="3:3" x14ac:dyDescent="0.3">
      <c r="C506" t="str">
        <f t="shared" si="7"/>
        <v>A</v>
      </c>
    </row>
    <row r="507" spans="3:3" x14ac:dyDescent="0.3">
      <c r="C507" t="str">
        <f t="shared" si="7"/>
        <v>A</v>
      </c>
    </row>
    <row r="508" spans="3:3" x14ac:dyDescent="0.3">
      <c r="C508" t="str">
        <f t="shared" si="7"/>
        <v>A</v>
      </c>
    </row>
    <row r="509" spans="3:3" x14ac:dyDescent="0.3">
      <c r="C509" t="str">
        <f t="shared" si="7"/>
        <v>A</v>
      </c>
    </row>
    <row r="510" spans="3:3" x14ac:dyDescent="0.3">
      <c r="C510" t="str">
        <f t="shared" si="7"/>
        <v>A</v>
      </c>
    </row>
    <row r="511" spans="3:3" x14ac:dyDescent="0.3">
      <c r="C511" t="str">
        <f t="shared" si="7"/>
        <v>A</v>
      </c>
    </row>
    <row r="512" spans="3:3" x14ac:dyDescent="0.3">
      <c r="C512" t="str">
        <f t="shared" si="7"/>
        <v>A</v>
      </c>
    </row>
    <row r="513" spans="3:3" x14ac:dyDescent="0.3">
      <c r="C513" t="str">
        <f t="shared" si="7"/>
        <v>A</v>
      </c>
    </row>
    <row r="514" spans="3:3" x14ac:dyDescent="0.3">
      <c r="C514" t="str">
        <f t="shared" si="7"/>
        <v>A</v>
      </c>
    </row>
    <row r="515" spans="3:3" x14ac:dyDescent="0.3">
      <c r="C515" t="str">
        <f t="shared" ref="C515:C578" si="8">IF(B515&lt;=0.8,"A",IF(B515&lt;=0.95,"B","C"))</f>
        <v>A</v>
      </c>
    </row>
    <row r="516" spans="3:3" x14ac:dyDescent="0.3">
      <c r="C516" t="str">
        <f t="shared" si="8"/>
        <v>A</v>
      </c>
    </row>
    <row r="517" spans="3:3" x14ac:dyDescent="0.3">
      <c r="C517" t="str">
        <f t="shared" si="8"/>
        <v>A</v>
      </c>
    </row>
    <row r="518" spans="3:3" x14ac:dyDescent="0.3">
      <c r="C518" t="str">
        <f t="shared" si="8"/>
        <v>A</v>
      </c>
    </row>
    <row r="519" spans="3:3" x14ac:dyDescent="0.3">
      <c r="C519" t="str">
        <f t="shared" si="8"/>
        <v>A</v>
      </c>
    </row>
    <row r="520" spans="3:3" x14ac:dyDescent="0.3">
      <c r="C520" t="str">
        <f t="shared" si="8"/>
        <v>A</v>
      </c>
    </row>
    <row r="521" spans="3:3" x14ac:dyDescent="0.3">
      <c r="C521" t="str">
        <f t="shared" si="8"/>
        <v>A</v>
      </c>
    </row>
    <row r="522" spans="3:3" x14ac:dyDescent="0.3">
      <c r="C522" t="str">
        <f t="shared" si="8"/>
        <v>A</v>
      </c>
    </row>
    <row r="523" spans="3:3" x14ac:dyDescent="0.3">
      <c r="C523" t="str">
        <f t="shared" si="8"/>
        <v>A</v>
      </c>
    </row>
    <row r="524" spans="3:3" x14ac:dyDescent="0.3">
      <c r="C524" t="str">
        <f t="shared" si="8"/>
        <v>A</v>
      </c>
    </row>
    <row r="525" spans="3:3" x14ac:dyDescent="0.3">
      <c r="C525" t="str">
        <f t="shared" si="8"/>
        <v>A</v>
      </c>
    </row>
    <row r="526" spans="3:3" x14ac:dyDescent="0.3">
      <c r="C526" t="str">
        <f t="shared" si="8"/>
        <v>A</v>
      </c>
    </row>
    <row r="527" spans="3:3" x14ac:dyDescent="0.3">
      <c r="C527" t="str">
        <f t="shared" si="8"/>
        <v>A</v>
      </c>
    </row>
    <row r="528" spans="3:3" x14ac:dyDescent="0.3">
      <c r="C528" t="str">
        <f t="shared" si="8"/>
        <v>A</v>
      </c>
    </row>
    <row r="529" spans="3:3" x14ac:dyDescent="0.3">
      <c r="C529" t="str">
        <f t="shared" si="8"/>
        <v>A</v>
      </c>
    </row>
    <row r="530" spans="3:3" x14ac:dyDescent="0.3">
      <c r="C530" t="str">
        <f t="shared" si="8"/>
        <v>A</v>
      </c>
    </row>
    <row r="531" spans="3:3" x14ac:dyDescent="0.3">
      <c r="C531" t="str">
        <f t="shared" si="8"/>
        <v>A</v>
      </c>
    </row>
    <row r="532" spans="3:3" x14ac:dyDescent="0.3">
      <c r="C532" t="str">
        <f t="shared" si="8"/>
        <v>A</v>
      </c>
    </row>
    <row r="533" spans="3:3" x14ac:dyDescent="0.3">
      <c r="C533" t="str">
        <f t="shared" si="8"/>
        <v>A</v>
      </c>
    </row>
    <row r="534" spans="3:3" x14ac:dyDescent="0.3">
      <c r="C534" t="str">
        <f t="shared" si="8"/>
        <v>A</v>
      </c>
    </row>
    <row r="535" spans="3:3" x14ac:dyDescent="0.3">
      <c r="C535" t="str">
        <f t="shared" si="8"/>
        <v>A</v>
      </c>
    </row>
    <row r="536" spans="3:3" x14ac:dyDescent="0.3">
      <c r="C536" t="str">
        <f t="shared" si="8"/>
        <v>A</v>
      </c>
    </row>
    <row r="537" spans="3:3" x14ac:dyDescent="0.3">
      <c r="C537" t="str">
        <f t="shared" si="8"/>
        <v>A</v>
      </c>
    </row>
    <row r="538" spans="3:3" x14ac:dyDescent="0.3">
      <c r="C538" t="str">
        <f t="shared" si="8"/>
        <v>A</v>
      </c>
    </row>
    <row r="539" spans="3:3" x14ac:dyDescent="0.3">
      <c r="C539" t="str">
        <f t="shared" si="8"/>
        <v>A</v>
      </c>
    </row>
    <row r="540" spans="3:3" x14ac:dyDescent="0.3">
      <c r="C540" t="str">
        <f t="shared" si="8"/>
        <v>A</v>
      </c>
    </row>
    <row r="541" spans="3:3" x14ac:dyDescent="0.3">
      <c r="C541" t="str">
        <f t="shared" si="8"/>
        <v>A</v>
      </c>
    </row>
    <row r="542" spans="3:3" x14ac:dyDescent="0.3">
      <c r="C542" t="str">
        <f t="shared" si="8"/>
        <v>A</v>
      </c>
    </row>
    <row r="543" spans="3:3" x14ac:dyDescent="0.3">
      <c r="C543" t="str">
        <f t="shared" si="8"/>
        <v>A</v>
      </c>
    </row>
    <row r="544" spans="3:3" x14ac:dyDescent="0.3">
      <c r="C544" t="str">
        <f t="shared" si="8"/>
        <v>A</v>
      </c>
    </row>
    <row r="545" spans="3:3" x14ac:dyDescent="0.3">
      <c r="C545" t="str">
        <f t="shared" si="8"/>
        <v>A</v>
      </c>
    </row>
    <row r="546" spans="3:3" x14ac:dyDescent="0.3">
      <c r="C546" t="str">
        <f t="shared" si="8"/>
        <v>A</v>
      </c>
    </row>
    <row r="547" spans="3:3" x14ac:dyDescent="0.3">
      <c r="C547" t="str">
        <f t="shared" si="8"/>
        <v>A</v>
      </c>
    </row>
    <row r="548" spans="3:3" x14ac:dyDescent="0.3">
      <c r="C548" t="str">
        <f t="shared" si="8"/>
        <v>A</v>
      </c>
    </row>
    <row r="549" spans="3:3" x14ac:dyDescent="0.3">
      <c r="C549" t="str">
        <f t="shared" si="8"/>
        <v>A</v>
      </c>
    </row>
    <row r="550" spans="3:3" x14ac:dyDescent="0.3">
      <c r="C550" t="str">
        <f t="shared" si="8"/>
        <v>A</v>
      </c>
    </row>
    <row r="551" spans="3:3" x14ac:dyDescent="0.3">
      <c r="C551" t="str">
        <f t="shared" si="8"/>
        <v>A</v>
      </c>
    </row>
    <row r="552" spans="3:3" x14ac:dyDescent="0.3">
      <c r="C552" t="str">
        <f t="shared" si="8"/>
        <v>A</v>
      </c>
    </row>
    <row r="553" spans="3:3" x14ac:dyDescent="0.3">
      <c r="C553" t="str">
        <f t="shared" si="8"/>
        <v>A</v>
      </c>
    </row>
    <row r="554" spans="3:3" x14ac:dyDescent="0.3">
      <c r="C554" t="str">
        <f t="shared" si="8"/>
        <v>A</v>
      </c>
    </row>
    <row r="555" spans="3:3" x14ac:dyDescent="0.3">
      <c r="C555" t="str">
        <f t="shared" si="8"/>
        <v>A</v>
      </c>
    </row>
    <row r="556" spans="3:3" x14ac:dyDescent="0.3">
      <c r="C556" t="str">
        <f t="shared" si="8"/>
        <v>A</v>
      </c>
    </row>
    <row r="557" spans="3:3" x14ac:dyDescent="0.3">
      <c r="C557" t="str">
        <f t="shared" si="8"/>
        <v>A</v>
      </c>
    </row>
    <row r="558" spans="3:3" x14ac:dyDescent="0.3">
      <c r="C558" t="str">
        <f t="shared" si="8"/>
        <v>A</v>
      </c>
    </row>
    <row r="559" spans="3:3" x14ac:dyDescent="0.3">
      <c r="C559" t="str">
        <f t="shared" si="8"/>
        <v>A</v>
      </c>
    </row>
    <row r="560" spans="3:3" x14ac:dyDescent="0.3">
      <c r="C560" t="str">
        <f t="shared" si="8"/>
        <v>A</v>
      </c>
    </row>
    <row r="561" spans="3:3" x14ac:dyDescent="0.3">
      <c r="C561" t="str">
        <f t="shared" si="8"/>
        <v>A</v>
      </c>
    </row>
    <row r="562" spans="3:3" x14ac:dyDescent="0.3">
      <c r="C562" t="str">
        <f t="shared" si="8"/>
        <v>A</v>
      </c>
    </row>
    <row r="563" spans="3:3" x14ac:dyDescent="0.3">
      <c r="C563" t="str">
        <f t="shared" si="8"/>
        <v>A</v>
      </c>
    </row>
    <row r="564" spans="3:3" x14ac:dyDescent="0.3">
      <c r="C564" t="str">
        <f t="shared" si="8"/>
        <v>A</v>
      </c>
    </row>
    <row r="565" spans="3:3" x14ac:dyDescent="0.3">
      <c r="C565" t="str">
        <f t="shared" si="8"/>
        <v>A</v>
      </c>
    </row>
    <row r="566" spans="3:3" x14ac:dyDescent="0.3">
      <c r="C566" t="str">
        <f t="shared" si="8"/>
        <v>A</v>
      </c>
    </row>
    <row r="567" spans="3:3" x14ac:dyDescent="0.3">
      <c r="C567" t="str">
        <f t="shared" si="8"/>
        <v>A</v>
      </c>
    </row>
    <row r="568" spans="3:3" x14ac:dyDescent="0.3">
      <c r="C568" t="str">
        <f t="shared" si="8"/>
        <v>A</v>
      </c>
    </row>
    <row r="569" spans="3:3" x14ac:dyDescent="0.3">
      <c r="C569" t="str">
        <f t="shared" si="8"/>
        <v>A</v>
      </c>
    </row>
    <row r="570" spans="3:3" x14ac:dyDescent="0.3">
      <c r="C570" t="str">
        <f t="shared" si="8"/>
        <v>A</v>
      </c>
    </row>
    <row r="571" spans="3:3" x14ac:dyDescent="0.3">
      <c r="C571" t="str">
        <f t="shared" si="8"/>
        <v>A</v>
      </c>
    </row>
    <row r="572" spans="3:3" x14ac:dyDescent="0.3">
      <c r="C572" t="str">
        <f t="shared" si="8"/>
        <v>A</v>
      </c>
    </row>
    <row r="573" spans="3:3" x14ac:dyDescent="0.3">
      <c r="C573" t="str">
        <f t="shared" si="8"/>
        <v>A</v>
      </c>
    </row>
    <row r="574" spans="3:3" x14ac:dyDescent="0.3">
      <c r="C574" t="str">
        <f t="shared" si="8"/>
        <v>A</v>
      </c>
    </row>
    <row r="575" spans="3:3" x14ac:dyDescent="0.3">
      <c r="C575" t="str">
        <f t="shared" si="8"/>
        <v>A</v>
      </c>
    </row>
    <row r="576" spans="3:3" x14ac:dyDescent="0.3">
      <c r="C576" t="str">
        <f t="shared" si="8"/>
        <v>A</v>
      </c>
    </row>
    <row r="577" spans="3:3" x14ac:dyDescent="0.3">
      <c r="C577" t="str">
        <f t="shared" si="8"/>
        <v>A</v>
      </c>
    </row>
    <row r="578" spans="3:3" x14ac:dyDescent="0.3">
      <c r="C578" t="str">
        <f t="shared" si="8"/>
        <v>A</v>
      </c>
    </row>
    <row r="579" spans="3:3" x14ac:dyDescent="0.3">
      <c r="C579" t="str">
        <f t="shared" ref="C579:C640" si="9">IF(B579&lt;=0.8,"A",IF(B579&lt;=0.95,"B","C"))</f>
        <v>A</v>
      </c>
    </row>
    <row r="580" spans="3:3" x14ac:dyDescent="0.3">
      <c r="C580" t="str">
        <f t="shared" si="9"/>
        <v>A</v>
      </c>
    </row>
    <row r="581" spans="3:3" x14ac:dyDescent="0.3">
      <c r="C581" t="str">
        <f t="shared" si="9"/>
        <v>A</v>
      </c>
    </row>
    <row r="582" spans="3:3" x14ac:dyDescent="0.3">
      <c r="C582" t="str">
        <f t="shared" si="9"/>
        <v>A</v>
      </c>
    </row>
    <row r="583" spans="3:3" x14ac:dyDescent="0.3">
      <c r="C583" t="str">
        <f t="shared" si="9"/>
        <v>A</v>
      </c>
    </row>
    <row r="584" spans="3:3" x14ac:dyDescent="0.3">
      <c r="C584" t="str">
        <f t="shared" si="9"/>
        <v>A</v>
      </c>
    </row>
    <row r="585" spans="3:3" x14ac:dyDescent="0.3">
      <c r="C585" t="str">
        <f t="shared" si="9"/>
        <v>A</v>
      </c>
    </row>
    <row r="586" spans="3:3" x14ac:dyDescent="0.3">
      <c r="C586" t="str">
        <f t="shared" si="9"/>
        <v>A</v>
      </c>
    </row>
    <row r="587" spans="3:3" x14ac:dyDescent="0.3">
      <c r="C587" t="str">
        <f t="shared" si="9"/>
        <v>A</v>
      </c>
    </row>
    <row r="588" spans="3:3" x14ac:dyDescent="0.3">
      <c r="C588" t="str">
        <f t="shared" si="9"/>
        <v>A</v>
      </c>
    </row>
    <row r="589" spans="3:3" x14ac:dyDescent="0.3">
      <c r="C589" t="str">
        <f t="shared" si="9"/>
        <v>A</v>
      </c>
    </row>
    <row r="590" spans="3:3" x14ac:dyDescent="0.3">
      <c r="C590" t="str">
        <f t="shared" si="9"/>
        <v>A</v>
      </c>
    </row>
    <row r="591" spans="3:3" x14ac:dyDescent="0.3">
      <c r="C591" t="str">
        <f t="shared" si="9"/>
        <v>A</v>
      </c>
    </row>
    <row r="592" spans="3:3" x14ac:dyDescent="0.3">
      <c r="C592" t="str">
        <f t="shared" si="9"/>
        <v>A</v>
      </c>
    </row>
    <row r="593" spans="3:3" x14ac:dyDescent="0.3">
      <c r="C593" t="str">
        <f t="shared" si="9"/>
        <v>A</v>
      </c>
    </row>
    <row r="594" spans="3:3" x14ac:dyDescent="0.3">
      <c r="C594" t="str">
        <f t="shared" si="9"/>
        <v>A</v>
      </c>
    </row>
    <row r="595" spans="3:3" x14ac:dyDescent="0.3">
      <c r="C595" t="str">
        <f t="shared" si="9"/>
        <v>A</v>
      </c>
    </row>
    <row r="596" spans="3:3" x14ac:dyDescent="0.3">
      <c r="C596" t="str">
        <f t="shared" si="9"/>
        <v>A</v>
      </c>
    </row>
    <row r="597" spans="3:3" x14ac:dyDescent="0.3">
      <c r="C597" t="str">
        <f t="shared" si="9"/>
        <v>A</v>
      </c>
    </row>
    <row r="598" spans="3:3" x14ac:dyDescent="0.3">
      <c r="C598" t="str">
        <f t="shared" si="9"/>
        <v>A</v>
      </c>
    </row>
    <row r="599" spans="3:3" x14ac:dyDescent="0.3">
      <c r="C599" t="str">
        <f t="shared" si="9"/>
        <v>A</v>
      </c>
    </row>
    <row r="600" spans="3:3" x14ac:dyDescent="0.3">
      <c r="C600" t="str">
        <f t="shared" si="9"/>
        <v>A</v>
      </c>
    </row>
    <row r="601" spans="3:3" x14ac:dyDescent="0.3">
      <c r="C601" t="str">
        <f t="shared" si="9"/>
        <v>A</v>
      </c>
    </row>
    <row r="602" spans="3:3" x14ac:dyDescent="0.3">
      <c r="C602" t="str">
        <f t="shared" si="9"/>
        <v>A</v>
      </c>
    </row>
    <row r="603" spans="3:3" x14ac:dyDescent="0.3">
      <c r="C603" t="str">
        <f t="shared" si="9"/>
        <v>A</v>
      </c>
    </row>
    <row r="604" spans="3:3" x14ac:dyDescent="0.3">
      <c r="C604" t="str">
        <f t="shared" si="9"/>
        <v>A</v>
      </c>
    </row>
    <row r="605" spans="3:3" x14ac:dyDescent="0.3">
      <c r="C605" t="str">
        <f t="shared" si="9"/>
        <v>A</v>
      </c>
    </row>
    <row r="606" spans="3:3" x14ac:dyDescent="0.3">
      <c r="C606" t="str">
        <f t="shared" si="9"/>
        <v>A</v>
      </c>
    </row>
    <row r="607" spans="3:3" x14ac:dyDescent="0.3">
      <c r="C607" t="str">
        <f t="shared" si="9"/>
        <v>A</v>
      </c>
    </row>
    <row r="608" spans="3:3" x14ac:dyDescent="0.3">
      <c r="C608" t="str">
        <f t="shared" si="9"/>
        <v>A</v>
      </c>
    </row>
    <row r="609" spans="3:3" x14ac:dyDescent="0.3">
      <c r="C609" t="str">
        <f t="shared" si="9"/>
        <v>A</v>
      </c>
    </row>
    <row r="610" spans="3:3" x14ac:dyDescent="0.3">
      <c r="C610" t="str">
        <f t="shared" si="9"/>
        <v>A</v>
      </c>
    </row>
    <row r="611" spans="3:3" x14ac:dyDescent="0.3">
      <c r="C611" t="str">
        <f t="shared" si="9"/>
        <v>A</v>
      </c>
    </row>
    <row r="612" spans="3:3" x14ac:dyDescent="0.3">
      <c r="C612" t="str">
        <f t="shared" si="9"/>
        <v>A</v>
      </c>
    </row>
    <row r="613" spans="3:3" x14ac:dyDescent="0.3">
      <c r="C613" t="str">
        <f t="shared" si="9"/>
        <v>A</v>
      </c>
    </row>
    <row r="614" spans="3:3" x14ac:dyDescent="0.3">
      <c r="C614" t="str">
        <f t="shared" si="9"/>
        <v>A</v>
      </c>
    </row>
    <row r="615" spans="3:3" x14ac:dyDescent="0.3">
      <c r="C615" t="str">
        <f t="shared" si="9"/>
        <v>A</v>
      </c>
    </row>
    <row r="616" spans="3:3" x14ac:dyDescent="0.3">
      <c r="C616" t="str">
        <f t="shared" si="9"/>
        <v>A</v>
      </c>
    </row>
    <row r="617" spans="3:3" x14ac:dyDescent="0.3">
      <c r="C617" t="str">
        <f t="shared" si="9"/>
        <v>A</v>
      </c>
    </row>
    <row r="618" spans="3:3" x14ac:dyDescent="0.3">
      <c r="C618" t="str">
        <f t="shared" si="9"/>
        <v>A</v>
      </c>
    </row>
    <row r="619" spans="3:3" x14ac:dyDescent="0.3">
      <c r="C619" t="str">
        <f t="shared" si="9"/>
        <v>A</v>
      </c>
    </row>
    <row r="620" spans="3:3" x14ac:dyDescent="0.3">
      <c r="C620" t="str">
        <f t="shared" si="9"/>
        <v>A</v>
      </c>
    </row>
    <row r="621" spans="3:3" x14ac:dyDescent="0.3">
      <c r="C621" t="str">
        <f t="shared" si="9"/>
        <v>A</v>
      </c>
    </row>
    <row r="622" spans="3:3" x14ac:dyDescent="0.3">
      <c r="C622" t="str">
        <f t="shared" si="9"/>
        <v>A</v>
      </c>
    </row>
    <row r="623" spans="3:3" x14ac:dyDescent="0.3">
      <c r="C623" t="str">
        <f t="shared" si="9"/>
        <v>A</v>
      </c>
    </row>
    <row r="624" spans="3:3" x14ac:dyDescent="0.3">
      <c r="C624" t="str">
        <f t="shared" si="9"/>
        <v>A</v>
      </c>
    </row>
    <row r="625" spans="3:3" x14ac:dyDescent="0.3">
      <c r="C625" t="str">
        <f t="shared" si="9"/>
        <v>A</v>
      </c>
    </row>
    <row r="626" spans="3:3" x14ac:dyDescent="0.3">
      <c r="C626" t="str">
        <f t="shared" si="9"/>
        <v>A</v>
      </c>
    </row>
    <row r="627" spans="3:3" x14ac:dyDescent="0.3">
      <c r="C627" t="str">
        <f t="shared" si="9"/>
        <v>A</v>
      </c>
    </row>
    <row r="628" spans="3:3" x14ac:dyDescent="0.3">
      <c r="C628" t="str">
        <f t="shared" si="9"/>
        <v>A</v>
      </c>
    </row>
    <row r="629" spans="3:3" x14ac:dyDescent="0.3">
      <c r="C629" t="str">
        <f t="shared" si="9"/>
        <v>A</v>
      </c>
    </row>
    <row r="630" spans="3:3" x14ac:dyDescent="0.3">
      <c r="C630" t="str">
        <f t="shared" si="9"/>
        <v>A</v>
      </c>
    </row>
    <row r="631" spans="3:3" x14ac:dyDescent="0.3">
      <c r="C631" t="str">
        <f t="shared" si="9"/>
        <v>A</v>
      </c>
    </row>
    <row r="632" spans="3:3" x14ac:dyDescent="0.3">
      <c r="C632" t="str">
        <f t="shared" si="9"/>
        <v>A</v>
      </c>
    </row>
    <row r="633" spans="3:3" x14ac:dyDescent="0.3">
      <c r="C633" t="str">
        <f t="shared" si="9"/>
        <v>A</v>
      </c>
    </row>
    <row r="634" spans="3:3" x14ac:dyDescent="0.3">
      <c r="C634" t="str">
        <f t="shared" si="9"/>
        <v>A</v>
      </c>
    </row>
    <row r="635" spans="3:3" x14ac:dyDescent="0.3">
      <c r="C635" t="str">
        <f t="shared" si="9"/>
        <v>A</v>
      </c>
    </row>
    <row r="636" spans="3:3" x14ac:dyDescent="0.3">
      <c r="C636" t="str">
        <f t="shared" si="9"/>
        <v>A</v>
      </c>
    </row>
    <row r="637" spans="3:3" x14ac:dyDescent="0.3">
      <c r="C637" t="str">
        <f t="shared" si="9"/>
        <v>A</v>
      </c>
    </row>
    <row r="638" spans="3:3" x14ac:dyDescent="0.3">
      <c r="C638" t="str">
        <f t="shared" si="9"/>
        <v>A</v>
      </c>
    </row>
    <row r="639" spans="3:3" x14ac:dyDescent="0.3">
      <c r="C639" t="str">
        <f t="shared" si="9"/>
        <v>A</v>
      </c>
    </row>
    <row r="640" spans="3:3" x14ac:dyDescent="0.3">
      <c r="C640" t="str">
        <f t="shared" si="9"/>
        <v>A</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8"/>
  <sheetViews>
    <sheetView workbookViewId="0">
      <selection activeCell="G22" sqref="G22"/>
    </sheetView>
  </sheetViews>
  <sheetFormatPr defaultRowHeight="14.4" x14ac:dyDescent="0.3"/>
  <cols>
    <col min="3" max="4" width="8.88671875" style="22"/>
  </cols>
  <sheetData>
    <row r="1" spans="1:8" x14ac:dyDescent="0.3">
      <c r="A1" s="21" t="s">
        <v>1080</v>
      </c>
      <c r="B1" s="19">
        <v>79082.507010000001</v>
      </c>
      <c r="C1" s="23">
        <f>B2/$H$1</f>
        <v>4.5754795236966239E-2</v>
      </c>
      <c r="D1" s="22">
        <f>SUM($C$2:C2)</f>
        <v>3.7717082950517795E-2</v>
      </c>
      <c r="H1">
        <f>SUM(B:B)</f>
        <v>1406109.9107154552</v>
      </c>
    </row>
    <row r="2" spans="1:8" x14ac:dyDescent="0.3">
      <c r="A2" s="21" t="s">
        <v>792</v>
      </c>
      <c r="B2" s="19">
        <v>64336.27104545453</v>
      </c>
      <c r="C2" s="23">
        <f t="shared" ref="C2:C65" si="0">B3/$H$1</f>
        <v>3.7717082950517795E-2</v>
      </c>
      <c r="D2" s="22">
        <f>SUM($C$2:C3)</f>
        <v>7.0751669824573205E-2</v>
      </c>
    </row>
    <row r="3" spans="1:8" x14ac:dyDescent="0.3">
      <c r="A3" s="21" t="s">
        <v>1053</v>
      </c>
      <c r="B3" s="19">
        <v>53034.364139999991</v>
      </c>
      <c r="C3" s="23">
        <f t="shared" si="0"/>
        <v>3.3034586874055409E-2</v>
      </c>
      <c r="D3" s="22">
        <f>SUM($C$2:C4)</f>
        <v>0.10139285347008041</v>
      </c>
    </row>
    <row r="4" spans="1:8" x14ac:dyDescent="0.3">
      <c r="A4" s="21" t="s">
        <v>1288</v>
      </c>
      <c r="B4" s="19">
        <v>46450.26</v>
      </c>
      <c r="C4" s="23">
        <f t="shared" si="0"/>
        <v>3.0641183645507206E-2</v>
      </c>
      <c r="D4" s="22">
        <f>SUM($C$2:C5)</f>
        <v>0.12848617225667225</v>
      </c>
    </row>
    <row r="5" spans="1:8" x14ac:dyDescent="0.3">
      <c r="A5" s="21" t="s">
        <v>1040</v>
      </c>
      <c r="B5" s="19">
        <v>43084.872000000003</v>
      </c>
      <c r="C5" s="23">
        <f t="shared" si="0"/>
        <v>2.7093318786591828E-2</v>
      </c>
      <c r="D5" s="22">
        <f>SUM($C$2:C6)</f>
        <v>0.15365936642183514</v>
      </c>
    </row>
    <row r="6" spans="1:8" x14ac:dyDescent="0.3">
      <c r="A6" s="21" t="s">
        <v>752</v>
      </c>
      <c r="B6" s="19">
        <v>38096.18406</v>
      </c>
      <c r="C6" s="23">
        <f t="shared" si="0"/>
        <v>2.5173194165162879E-2</v>
      </c>
      <c r="D6" s="22">
        <f>SUM($C$2:C7)</f>
        <v>0.17867003204050358</v>
      </c>
    </row>
    <row r="7" spans="1:8" x14ac:dyDescent="0.3">
      <c r="A7" s="21" t="s">
        <v>810</v>
      </c>
      <c r="B7" s="19">
        <v>35396.277799999996</v>
      </c>
      <c r="C7" s="23">
        <f t="shared" si="0"/>
        <v>2.5010665618668451E-2</v>
      </c>
      <c r="D7" s="22">
        <f>SUM($C$2:C8)</f>
        <v>0.20294918670674822</v>
      </c>
    </row>
    <row r="8" spans="1:8" x14ac:dyDescent="0.3">
      <c r="A8" s="21" t="s">
        <v>1094</v>
      </c>
      <c r="B8" s="19">
        <v>35167.7448</v>
      </c>
      <c r="C8" s="23">
        <f t="shared" si="0"/>
        <v>2.4279154666244654E-2</v>
      </c>
      <c r="D8" s="22">
        <f>SUM($C$2:C9)</f>
        <v>0.2264624527950139</v>
      </c>
    </row>
    <row r="9" spans="1:8" x14ac:dyDescent="0.3">
      <c r="A9" s="21" t="s">
        <v>831</v>
      </c>
      <c r="B9" s="19">
        <v>34139.159999999996</v>
      </c>
      <c r="C9" s="23">
        <f t="shared" si="0"/>
        <v>2.3513266088265688E-2</v>
      </c>
      <c r="D9" s="22">
        <f>SUM($C$2:C10)</f>
        <v>0.24928170441644215</v>
      </c>
    </row>
    <row r="10" spans="1:8" x14ac:dyDescent="0.3">
      <c r="A10" s="21" t="s">
        <v>811</v>
      </c>
      <c r="B10" s="19">
        <v>33062.236480000007</v>
      </c>
      <c r="C10" s="23">
        <f t="shared" si="0"/>
        <v>2.2819251621428262E-2</v>
      </c>
      <c r="D10" s="22">
        <f>SUM($C$2:C11)</f>
        <v>0.27169324192844613</v>
      </c>
    </row>
    <row r="11" spans="1:8" x14ac:dyDescent="0.3">
      <c r="A11" s="21" t="s">
        <v>876</v>
      </c>
      <c r="B11" s="19">
        <v>32086.37586</v>
      </c>
      <c r="C11" s="23">
        <f t="shared" si="0"/>
        <v>2.2411537512003987E-2</v>
      </c>
      <c r="D11" s="22">
        <f>SUM($C$2:C12)</f>
        <v>0.29188086426414012</v>
      </c>
    </row>
    <row r="12" spans="1:8" x14ac:dyDescent="0.3">
      <c r="A12" s="21" t="s">
        <v>1175</v>
      </c>
      <c r="B12" s="19">
        <v>31513.085009999999</v>
      </c>
      <c r="C12" s="23">
        <f t="shared" si="0"/>
        <v>2.0187622335693985E-2</v>
      </c>
      <c r="D12" s="22">
        <f>SUM($C$2:C13)</f>
        <v>0.31141393759695302</v>
      </c>
    </row>
    <row r="13" spans="1:8" x14ac:dyDescent="0.3">
      <c r="A13" s="21" t="s">
        <v>941</v>
      </c>
      <c r="B13" s="19">
        <v>28386.015839999996</v>
      </c>
      <c r="C13" s="23">
        <f t="shared" si="0"/>
        <v>1.9533073332812907E-2</v>
      </c>
      <c r="D13" s="22">
        <f>SUM($C$2:C14)</f>
        <v>0.33044875133095297</v>
      </c>
    </row>
    <row r="14" spans="1:8" x14ac:dyDescent="0.3">
      <c r="A14" s="21" t="s">
        <v>1074</v>
      </c>
      <c r="B14" s="19">
        <v>27465.647999999997</v>
      </c>
      <c r="C14" s="23">
        <f t="shared" si="0"/>
        <v>1.9034813733999956E-2</v>
      </c>
      <c r="D14" s="22">
        <f>SUM($C$2:C15)</f>
        <v>0.34947947399784918</v>
      </c>
    </row>
    <row r="15" spans="1:8" x14ac:dyDescent="0.3">
      <c r="A15" s="21" t="s">
        <v>1022</v>
      </c>
      <c r="B15" s="19">
        <v>26765.040239999998</v>
      </c>
      <c r="C15" s="23">
        <f t="shared" si="0"/>
        <v>1.9030722666896194E-2</v>
      </c>
      <c r="D15" s="22">
        <f>SUM($C$2:C16)</f>
        <v>0.36836320618524948</v>
      </c>
    </row>
    <row r="16" spans="1:8" x14ac:dyDescent="0.3">
      <c r="A16" s="21" t="s">
        <v>921</v>
      </c>
      <c r="B16" s="19">
        <v>26759.28775</v>
      </c>
      <c r="C16" s="23">
        <f t="shared" si="0"/>
        <v>1.8883732187400297E-2</v>
      </c>
      <c r="D16" s="22">
        <f>SUM($C$2:C17)</f>
        <v>0.38562988576341023</v>
      </c>
    </row>
    <row r="17" spans="1:4" x14ac:dyDescent="0.3">
      <c r="A17" s="21" t="s">
        <v>1086</v>
      </c>
      <c r="B17" s="19">
        <v>26552.60298</v>
      </c>
      <c r="C17" s="23">
        <f t="shared" si="0"/>
        <v>1.7266679578160762E-2</v>
      </c>
      <c r="D17" s="22">
        <f>SUM($C$2:C18)</f>
        <v>0.40246253861624232</v>
      </c>
    </row>
    <row r="18" spans="1:4" x14ac:dyDescent="0.3">
      <c r="A18" s="21" t="s">
        <v>1171</v>
      </c>
      <c r="B18" s="19">
        <v>24278.849280000002</v>
      </c>
      <c r="C18" s="23">
        <f t="shared" si="0"/>
        <v>1.6832652852832104E-2</v>
      </c>
      <c r="D18" s="22">
        <f>SUM($C$2:C19)</f>
        <v>0.41908683937812663</v>
      </c>
    </row>
    <row r="19" spans="1:4" x14ac:dyDescent="0.3">
      <c r="A19" s="21" t="s">
        <v>1142</v>
      </c>
      <c r="B19" s="19">
        <v>23668.560000000001</v>
      </c>
      <c r="C19" s="23">
        <f t="shared" si="0"/>
        <v>1.6624300761884297E-2</v>
      </c>
      <c r="D19" s="22">
        <f>SUM($C$2:C20)</f>
        <v>0.43558271790315456</v>
      </c>
    </row>
    <row r="20" spans="1:4" x14ac:dyDescent="0.3">
      <c r="A20" s="21" t="s">
        <v>1026</v>
      </c>
      <c r="B20" s="19">
        <v>23375.594060000003</v>
      </c>
      <c r="C20" s="23">
        <f t="shared" si="0"/>
        <v>1.6495878525027919E-2</v>
      </c>
      <c r="D20" s="22">
        <f>SUM($C$2:C21)</f>
        <v>0.45167026527595566</v>
      </c>
    </row>
    <row r="21" spans="1:4" x14ac:dyDescent="0.3">
      <c r="A21" s="21" t="s">
        <v>1089</v>
      </c>
      <c r="B21" s="19">
        <v>23195.01828</v>
      </c>
      <c r="C21" s="23">
        <f t="shared" si="0"/>
        <v>1.6087547372801093E-2</v>
      </c>
      <c r="D21" s="22">
        <f>SUM($C$2:C22)</f>
        <v>0.46769081945051377</v>
      </c>
    </row>
    <row r="22" spans="1:4" x14ac:dyDescent="0.3">
      <c r="A22" s="21" t="s">
        <v>1212</v>
      </c>
      <c r="B22" s="19">
        <v>22620.859800000002</v>
      </c>
      <c r="C22" s="23">
        <f t="shared" si="0"/>
        <v>1.6020554174558096E-2</v>
      </c>
      <c r="D22" s="22">
        <f>SUM($C$2:C23)</f>
        <v>0.48222081560821417</v>
      </c>
    </row>
    <row r="23" spans="1:4" x14ac:dyDescent="0.3">
      <c r="A23" s="21" t="s">
        <v>1255</v>
      </c>
      <c r="B23" s="19">
        <v>22526.66</v>
      </c>
      <c r="C23" s="23">
        <f t="shared" si="0"/>
        <v>1.4529996157700386E-2</v>
      </c>
      <c r="D23" s="22">
        <f>SUM($C$2:C24)</f>
        <v>0.49656066845068542</v>
      </c>
    </row>
    <row r="24" spans="1:4" x14ac:dyDescent="0.3">
      <c r="A24" s="21" t="s">
        <v>1270</v>
      </c>
      <c r="B24" s="19">
        <v>20430.771599999996</v>
      </c>
      <c r="C24" s="23">
        <f t="shared" si="0"/>
        <v>1.433985284247124E-2</v>
      </c>
      <c r="D24" s="22">
        <f>SUM($C$2:C25)</f>
        <v>0.51084073536933994</v>
      </c>
    </row>
    <row r="25" spans="1:4" x14ac:dyDescent="0.3">
      <c r="A25" s="21" t="s">
        <v>1285</v>
      </c>
      <c r="B25" s="19">
        <v>20163.409200000002</v>
      </c>
      <c r="C25" s="23">
        <f t="shared" si="0"/>
        <v>1.4280066918654499E-2</v>
      </c>
      <c r="D25" s="22">
        <f>SUM($C$2:C26)</f>
        <v>0.5248001540822147</v>
      </c>
    </row>
    <row r="26" spans="1:4" x14ac:dyDescent="0.3">
      <c r="A26" s="21" t="s">
        <v>827</v>
      </c>
      <c r="B26" s="19">
        <v>20079.343620000003</v>
      </c>
      <c r="C26" s="23">
        <f t="shared" si="0"/>
        <v>1.3959418712874771E-2</v>
      </c>
      <c r="D26" s="22">
        <f>SUM($C$2:C27)</f>
        <v>0.53835958153145214</v>
      </c>
    </row>
    <row r="27" spans="1:4" x14ac:dyDescent="0.3">
      <c r="A27" s="21" t="s">
        <v>1184</v>
      </c>
      <c r="B27" s="19">
        <v>19628.476999999999</v>
      </c>
      <c r="C27" s="23">
        <f t="shared" si="0"/>
        <v>1.3559427449237474E-2</v>
      </c>
      <c r="D27" s="22">
        <f>SUM($C$2:C28)</f>
        <v>0.55113554140706345</v>
      </c>
    </row>
    <row r="28" spans="1:4" x14ac:dyDescent="0.3">
      <c r="A28" s="21" t="s">
        <v>1024</v>
      </c>
      <c r="B28" s="19">
        <v>19066.045319999997</v>
      </c>
      <c r="C28" s="23">
        <f t="shared" si="0"/>
        <v>1.2775959875611269E-2</v>
      </c>
      <c r="D28" s="22">
        <f>SUM($C$2:C29)</f>
        <v>0.56382865100254209</v>
      </c>
    </row>
    <row r="29" spans="1:4" x14ac:dyDescent="0.3">
      <c r="A29" s="21" t="s">
        <v>995</v>
      </c>
      <c r="B29" s="19">
        <v>17964.4038</v>
      </c>
      <c r="C29" s="23">
        <f t="shared" si="0"/>
        <v>1.2693109595478669E-2</v>
      </c>
      <c r="D29" s="22">
        <f>SUM($C$2:C30)</f>
        <v>0.57521729244370223</v>
      </c>
    </row>
    <row r="30" spans="1:4" x14ac:dyDescent="0.3">
      <c r="A30" s="21" t="s">
        <v>943</v>
      </c>
      <c r="B30" s="19">
        <v>17847.907199999998</v>
      </c>
      <c r="C30" s="23">
        <f t="shared" si="0"/>
        <v>1.1388641441160125E-2</v>
      </c>
      <c r="D30" s="22">
        <f>SUM($C$2:C31)</f>
        <v>0.58660057288147094</v>
      </c>
    </row>
    <row r="31" spans="1:4" x14ac:dyDescent="0.3">
      <c r="A31" s="21" t="s">
        <v>800</v>
      </c>
      <c r="B31" s="19">
        <v>16013.681599999998</v>
      </c>
      <c r="C31" s="23">
        <f t="shared" si="0"/>
        <v>1.1383280437768746E-2</v>
      </c>
      <c r="D31" s="22">
        <f>SUM($C$2:C32)</f>
        <v>0.59788047494256213</v>
      </c>
    </row>
    <row r="32" spans="1:4" x14ac:dyDescent="0.3">
      <c r="A32" s="21" t="s">
        <v>744</v>
      </c>
      <c r="B32" s="19">
        <v>16006.14344</v>
      </c>
      <c r="C32" s="23">
        <f t="shared" si="0"/>
        <v>1.1279902061091182E-2</v>
      </c>
      <c r="D32" s="22">
        <f>SUM($C$2:C33)</f>
        <v>0.60892579209852871</v>
      </c>
    </row>
    <row r="33" spans="1:4" x14ac:dyDescent="0.3">
      <c r="A33" s="21" t="s">
        <v>1286</v>
      </c>
      <c r="B33" s="19">
        <v>15860.782080000001</v>
      </c>
      <c r="C33" s="23">
        <f t="shared" si="0"/>
        <v>1.1045317155966541E-2</v>
      </c>
      <c r="D33" s="22">
        <f>SUM($C$2:C34)</f>
        <v>0.61951877909512931</v>
      </c>
    </row>
    <row r="34" spans="1:4" x14ac:dyDescent="0.3">
      <c r="A34" s="21" t="s">
        <v>1279</v>
      </c>
      <c r="B34" s="19">
        <v>15530.929919999999</v>
      </c>
      <c r="C34" s="23">
        <f t="shared" si="0"/>
        <v>1.0592986996600565E-2</v>
      </c>
      <c r="D34" s="22">
        <f>SUM($C$2:C35)</f>
        <v>0.63001063749650676</v>
      </c>
    </row>
    <row r="35" spans="1:4" x14ac:dyDescent="0.3">
      <c r="A35" s="21" t="s">
        <v>784</v>
      </c>
      <c r="B35" s="19">
        <v>14894.903999999999</v>
      </c>
      <c r="C35" s="23">
        <f t="shared" si="0"/>
        <v>1.0491858401377419E-2</v>
      </c>
      <c r="D35" s="22">
        <f>SUM($C$2:C36)</f>
        <v>0.64035764451859456</v>
      </c>
    </row>
    <row r="36" spans="1:4" x14ac:dyDescent="0.3">
      <c r="A36" s="21" t="s">
        <v>1188</v>
      </c>
      <c r="B36" s="19">
        <v>14752.706080000002</v>
      </c>
      <c r="C36" s="23">
        <f t="shared" si="0"/>
        <v>1.0347007022087755E-2</v>
      </c>
      <c r="D36" s="22">
        <f>SUM($C$2:C37)</f>
        <v>0.6506212365109566</v>
      </c>
    </row>
    <row r="37" spans="1:4" x14ac:dyDescent="0.3">
      <c r="A37" s="21" t="s">
        <v>904</v>
      </c>
      <c r="B37" s="19">
        <v>14549.029120000001</v>
      </c>
      <c r="C37" s="23">
        <f t="shared" si="0"/>
        <v>1.0263591992362006E-2</v>
      </c>
      <c r="D37" s="22">
        <f>SUM($C$2:C38)</f>
        <v>0.66047574646384466</v>
      </c>
    </row>
    <row r="38" spans="1:4" x14ac:dyDescent="0.3">
      <c r="A38" s="21" t="s">
        <v>1128</v>
      </c>
      <c r="B38" s="19">
        <v>14431.738420000001</v>
      </c>
      <c r="C38" s="23">
        <f t="shared" si="0"/>
        <v>9.8545099528880645E-3</v>
      </c>
      <c r="D38" s="22">
        <f>SUM($C$2:C39)</f>
        <v>0.66994950089689742</v>
      </c>
    </row>
    <row r="39" spans="1:4" x14ac:dyDescent="0.3">
      <c r="A39" s="21" t="s">
        <v>1338</v>
      </c>
      <c r="B39" s="19">
        <v>13856.52411</v>
      </c>
      <c r="C39" s="23">
        <f t="shared" si="0"/>
        <v>9.4737544330527855E-3</v>
      </c>
      <c r="D39" s="22">
        <f>SUM($C$2:C40)</f>
        <v>0.67927223288257133</v>
      </c>
    </row>
    <row r="40" spans="1:4" x14ac:dyDescent="0.3">
      <c r="A40" s="21" t="s">
        <v>881</v>
      </c>
      <c r="B40" s="19">
        <v>13321.14</v>
      </c>
      <c r="C40" s="23">
        <f t="shared" si="0"/>
        <v>9.3227319856738679E-3</v>
      </c>
      <c r="D40" s="22">
        <f>SUM($C$2:C41)</f>
        <v>0.68830373170298598</v>
      </c>
    </row>
    <row r="41" spans="1:4" x14ac:dyDescent="0.3">
      <c r="A41" s="21" t="s">
        <v>1291</v>
      </c>
      <c r="B41" s="19">
        <v>13108.78584</v>
      </c>
      <c r="C41" s="23">
        <f t="shared" si="0"/>
        <v>9.0314988204146622E-3</v>
      </c>
      <c r="D41" s="22">
        <f>SUM($C$2:C42)</f>
        <v>0.69686682014169377</v>
      </c>
    </row>
    <row r="42" spans="1:4" x14ac:dyDescent="0.3">
      <c r="A42" s="21" t="s">
        <v>1033</v>
      </c>
      <c r="B42" s="19">
        <v>12699.28</v>
      </c>
      <c r="C42" s="23">
        <f t="shared" si="0"/>
        <v>8.56308843870782E-3</v>
      </c>
      <c r="D42" s="22">
        <f>SUM($C$2:C43)</f>
        <v>0.70530122134292383</v>
      </c>
    </row>
    <row r="43" spans="1:4" x14ac:dyDescent="0.3">
      <c r="A43" s="21" t="s">
        <v>1321</v>
      </c>
      <c r="B43" s="19">
        <v>12040.64352</v>
      </c>
      <c r="C43" s="23">
        <f t="shared" si="0"/>
        <v>8.4344012012301101E-3</v>
      </c>
      <c r="D43" s="22">
        <f>SUM($C$2:C44)</f>
        <v>0.71332577242105311</v>
      </c>
    </row>
    <row r="44" spans="1:4" x14ac:dyDescent="0.3">
      <c r="A44" s="21" t="s">
        <v>1227</v>
      </c>
      <c r="B44" s="19">
        <v>11859.695119999998</v>
      </c>
      <c r="C44" s="23">
        <f t="shared" si="0"/>
        <v>8.0245510781292995E-3</v>
      </c>
      <c r="D44" s="22">
        <f>SUM($C$2:C45)</f>
        <v>0.72115980467987928</v>
      </c>
    </row>
    <row r="45" spans="1:4" x14ac:dyDescent="0.3">
      <c r="A45" s="21" t="s">
        <v>1046</v>
      </c>
      <c r="B45" s="19">
        <v>11283.400799999999</v>
      </c>
      <c r="C45" s="23">
        <f t="shared" si="0"/>
        <v>7.8340322588261284E-3</v>
      </c>
      <c r="D45" s="22">
        <f>SUM($C$2:C46)</f>
        <v>0.7289379960692246</v>
      </c>
    </row>
    <row r="46" spans="1:4" x14ac:dyDescent="0.3">
      <c r="A46" s="21" t="s">
        <v>888</v>
      </c>
      <c r="B46" s="19">
        <v>11015.510400000003</v>
      </c>
      <c r="C46" s="23">
        <f t="shared" si="0"/>
        <v>7.7781913893452698E-3</v>
      </c>
      <c r="D46" s="22">
        <f>SUM($C$2:C47)</f>
        <v>0.7366853443504533</v>
      </c>
    </row>
    <row r="47" spans="1:4" x14ac:dyDescent="0.3">
      <c r="A47" s="21" t="s">
        <v>756</v>
      </c>
      <c r="B47" s="19">
        <v>10936.992</v>
      </c>
      <c r="C47" s="23">
        <f t="shared" si="0"/>
        <v>7.7473482812286838E-3</v>
      </c>
      <c r="D47" s="22">
        <f>SUM($C$2:C48)</f>
        <v>0.74429064234210085</v>
      </c>
    </row>
    <row r="48" spans="1:4" x14ac:dyDescent="0.3">
      <c r="A48" s="21" t="s">
        <v>1149</v>
      </c>
      <c r="B48" s="19">
        <v>10893.6232</v>
      </c>
      <c r="C48" s="23">
        <f t="shared" si="0"/>
        <v>7.6052979916475727E-3</v>
      </c>
      <c r="D48" s="22">
        <f>SUM($C$2:C49)</f>
        <v>0.75186311382449178</v>
      </c>
    </row>
    <row r="49" spans="1:4" x14ac:dyDescent="0.3">
      <c r="A49" s="21" t="s">
        <v>1355</v>
      </c>
      <c r="B49" s="19">
        <v>10693.88488</v>
      </c>
      <c r="C49" s="23">
        <f t="shared" si="0"/>
        <v>7.5724714823909006E-3</v>
      </c>
      <c r="D49" s="22">
        <f>SUM($C$2:C50)</f>
        <v>0.75925117781638429</v>
      </c>
    </row>
    <row r="50" spans="1:4" x14ac:dyDescent="0.3">
      <c r="A50" s="21" t="s">
        <v>804</v>
      </c>
      <c r="B50" s="19">
        <v>10647.727199999999</v>
      </c>
      <c r="C50" s="23">
        <f t="shared" si="0"/>
        <v>7.3880639918924755E-3</v>
      </c>
      <c r="D50" s="22">
        <f>SUM($C$2:C51)</f>
        <v>0.76663513746340584</v>
      </c>
    </row>
    <row r="51" spans="1:4" x14ac:dyDescent="0.3">
      <c r="A51" s="21" t="s">
        <v>919</v>
      </c>
      <c r="B51" s="19">
        <v>10388.429999999998</v>
      </c>
      <c r="C51" s="23">
        <f t="shared" si="0"/>
        <v>7.3839596470215534E-3</v>
      </c>
      <c r="D51" s="22">
        <f>SUM($C$2:C52)</f>
        <v>0.77362537929663411</v>
      </c>
    </row>
    <row r="52" spans="1:4" x14ac:dyDescent="0.3">
      <c r="A52" s="21" t="s">
        <v>892</v>
      </c>
      <c r="B52" s="19">
        <v>10382.65884</v>
      </c>
      <c r="C52" s="23">
        <f t="shared" si="0"/>
        <v>6.9902418332282393E-3</v>
      </c>
      <c r="D52" s="22">
        <f>SUM($C$2:C53)</f>
        <v>0.78004191183882299</v>
      </c>
    </row>
    <row r="53" spans="1:4" x14ac:dyDescent="0.3">
      <c r="A53" s="21" t="s">
        <v>1059</v>
      </c>
      <c r="B53" s="19">
        <v>9829.0483199999999</v>
      </c>
      <c r="C53" s="23">
        <f t="shared" si="0"/>
        <v>6.4165325421888667E-3</v>
      </c>
      <c r="D53" s="22">
        <f>SUM($C$2:C54)</f>
        <v>0.78618984489449817</v>
      </c>
    </row>
    <row r="54" spans="1:4" x14ac:dyDescent="0.3">
      <c r="A54" s="21" t="s">
        <v>1322</v>
      </c>
      <c r="B54" s="19">
        <v>9022.35</v>
      </c>
      <c r="C54" s="23">
        <f t="shared" si="0"/>
        <v>6.1479330556751645E-3</v>
      </c>
      <c r="D54" s="22">
        <f>SUM($C$2:C55)</f>
        <v>0.79230337164976161</v>
      </c>
    </row>
    <row r="55" spans="1:4" x14ac:dyDescent="0.3">
      <c r="A55" s="21" t="s">
        <v>1231</v>
      </c>
      <c r="B55" s="19">
        <v>8644.6696000000011</v>
      </c>
      <c r="C55" s="23">
        <f t="shared" si="0"/>
        <v>6.1135267552634241E-3</v>
      </c>
      <c r="D55" s="22">
        <f>SUM($C$2:C56)</f>
        <v>0.798253134137207</v>
      </c>
    </row>
    <row r="56" spans="1:4" x14ac:dyDescent="0.3">
      <c r="A56" s="21" t="s">
        <v>759</v>
      </c>
      <c r="B56" s="19">
        <v>8596.2905599999995</v>
      </c>
      <c r="C56" s="23">
        <f t="shared" si="0"/>
        <v>5.9497624874453887E-3</v>
      </c>
      <c r="D56" s="22">
        <f>SUM($C$2:C57)</f>
        <v>0.80392087137401025</v>
      </c>
    </row>
    <row r="57" spans="1:4" x14ac:dyDescent="0.3">
      <c r="A57" s="21" t="s">
        <v>1326</v>
      </c>
      <c r="B57" s="19">
        <v>8366.02</v>
      </c>
      <c r="C57" s="23">
        <f t="shared" si="0"/>
        <v>5.6677372368031942E-3</v>
      </c>
      <c r="D57" s="22">
        <f>SUM($C$2:C58)</f>
        <v>0.80950697051188159</v>
      </c>
    </row>
    <row r="58" spans="1:4" x14ac:dyDescent="0.3">
      <c r="A58" s="21" t="s">
        <v>1150</v>
      </c>
      <c r="B58" s="19">
        <v>7969.4615000000003</v>
      </c>
      <c r="C58" s="23">
        <f t="shared" si="0"/>
        <v>5.5860991378713747E-3</v>
      </c>
      <c r="D58" s="22">
        <f>SUM($C$2:C59)</f>
        <v>0.8149755728888376</v>
      </c>
    </row>
    <row r="59" spans="1:4" x14ac:dyDescent="0.3">
      <c r="A59" s="21" t="s">
        <v>948</v>
      </c>
      <c r="B59" s="19">
        <v>7854.6693599999999</v>
      </c>
      <c r="C59" s="23">
        <f t="shared" si="0"/>
        <v>5.4686023769560518E-3</v>
      </c>
      <c r="D59" s="22">
        <f>SUM($C$2:C60)</f>
        <v>0.82036550716228551</v>
      </c>
    </row>
    <row r="60" spans="1:4" x14ac:dyDescent="0.3">
      <c r="A60" s="21" t="s">
        <v>916</v>
      </c>
      <c r="B60" s="19">
        <v>7689.4560000000001</v>
      </c>
      <c r="C60" s="23">
        <f t="shared" si="0"/>
        <v>5.3899342734479013E-3</v>
      </c>
      <c r="D60" s="22">
        <f>SUM($C$2:C61)</f>
        <v>0.82574841723376691</v>
      </c>
    </row>
    <row r="61" spans="1:4" x14ac:dyDescent="0.3">
      <c r="A61" s="21" t="s">
        <v>748</v>
      </c>
      <c r="B61" s="19">
        <v>7578.84</v>
      </c>
      <c r="C61" s="23">
        <f t="shared" si="0"/>
        <v>5.3829100714813749E-3</v>
      </c>
      <c r="D61" s="22">
        <f>SUM($C$2:C62)</f>
        <v>0.83108758128686722</v>
      </c>
    </row>
    <row r="62" spans="1:4" x14ac:dyDescent="0.3">
      <c r="A62" s="21" t="s">
        <v>993</v>
      </c>
      <c r="B62" s="19">
        <v>7568.9632000000001</v>
      </c>
      <c r="C62" s="23">
        <f t="shared" si="0"/>
        <v>5.3391640531002781E-3</v>
      </c>
      <c r="D62" s="22">
        <f>SUM($C$2:C63)</f>
        <v>0.83633762962501157</v>
      </c>
    </row>
    <row r="63" spans="1:4" x14ac:dyDescent="0.3">
      <c r="A63" s="21" t="s">
        <v>1225</v>
      </c>
      <c r="B63" s="19">
        <v>7507.4514899999995</v>
      </c>
      <c r="C63" s="23">
        <f t="shared" si="0"/>
        <v>5.2500483381443678E-3</v>
      </c>
      <c r="D63" s="22">
        <f>SUM($C$2:C64)</f>
        <v>0.84148318293123825</v>
      </c>
    </row>
    <row r="64" spans="1:4" x14ac:dyDescent="0.3">
      <c r="A64" s="21" t="s">
        <v>1027</v>
      </c>
      <c r="B64" s="19">
        <v>7382.1450000000004</v>
      </c>
      <c r="C64" s="23">
        <f t="shared" si="0"/>
        <v>5.1455533062266714E-3</v>
      </c>
      <c r="D64" s="22">
        <f>SUM($C$2:C65)</f>
        <v>0.84653638165052236</v>
      </c>
    </row>
    <row r="65" spans="1:4" x14ac:dyDescent="0.3">
      <c r="A65" s="21" t="s">
        <v>1004</v>
      </c>
      <c r="B65" s="19">
        <v>7235.2134999999998</v>
      </c>
      <c r="C65" s="23">
        <f t="shared" si="0"/>
        <v>5.0531987192840872E-3</v>
      </c>
      <c r="D65" s="22">
        <f>SUM($C$2:C66)</f>
        <v>0.85132436682059665</v>
      </c>
    </row>
    <row r="66" spans="1:4" x14ac:dyDescent="0.3">
      <c r="A66" s="21" t="s">
        <v>1066</v>
      </c>
      <c r="B66" s="19">
        <v>7105.3528000000006</v>
      </c>
      <c r="C66" s="23">
        <f t="shared" ref="C66:C88" si="1">B67/$H$1</f>
        <v>4.7879851700742314E-3</v>
      </c>
      <c r="D66" s="22">
        <f>SUM($C$2:C67)</f>
        <v>0.85563878522684567</v>
      </c>
    </row>
    <row r="67" spans="1:4" x14ac:dyDescent="0.3">
      <c r="A67" s="21" t="s">
        <v>1310</v>
      </c>
      <c r="B67" s="19">
        <v>6732.4334000000008</v>
      </c>
      <c r="C67" s="23">
        <f t="shared" si="1"/>
        <v>4.314418406249073E-3</v>
      </c>
      <c r="D67" s="22">
        <f>SUM($C$2:C68)</f>
        <v>0.85987766723356396</v>
      </c>
    </row>
    <row r="68" spans="1:4" x14ac:dyDescent="0.3">
      <c r="A68" s="21" t="s">
        <v>1011</v>
      </c>
      <c r="B68" s="19">
        <v>6066.54648</v>
      </c>
      <c r="C68" s="23">
        <f t="shared" si="1"/>
        <v>4.2388820067182876E-3</v>
      </c>
      <c r="D68" s="22">
        <f>SUM($C$2:C69)</f>
        <v>0.86386746373328815</v>
      </c>
    </row>
    <row r="69" spans="1:4" x14ac:dyDescent="0.3">
      <c r="A69" s="21" t="s">
        <v>837</v>
      </c>
      <c r="B69" s="19">
        <v>5960.3340000000007</v>
      </c>
      <c r="C69" s="23">
        <f t="shared" si="1"/>
        <v>3.9897964997241782E-3</v>
      </c>
      <c r="D69" s="22">
        <f>SUM($C$2:C70)</f>
        <v>0.86780287657536415</v>
      </c>
    </row>
    <row r="70" spans="1:4" x14ac:dyDescent="0.3">
      <c r="A70" s="21" t="s">
        <v>1067</v>
      </c>
      <c r="B70" s="19">
        <v>5610.0923999999995</v>
      </c>
      <c r="C70" s="23">
        <f t="shared" si="1"/>
        <v>3.9354128420760427E-3</v>
      </c>
      <c r="D70" s="22">
        <f>SUM($C$2:C71)</f>
        <v>0.87120951411023706</v>
      </c>
    </row>
    <row r="71" spans="1:4" x14ac:dyDescent="0.3">
      <c r="A71" s="21" t="s">
        <v>961</v>
      </c>
      <c r="B71" s="19">
        <v>5533.6230000000005</v>
      </c>
      <c r="C71" s="23">
        <f t="shared" si="1"/>
        <v>3.4066375348728636E-3</v>
      </c>
      <c r="D71" s="22">
        <f>SUM($C$2:C72)</f>
        <v>0.87457853939332442</v>
      </c>
    </row>
    <row r="72" spans="1:4" x14ac:dyDescent="0.3">
      <c r="A72" s="21" t="s">
        <v>791</v>
      </c>
      <c r="B72" s="19">
        <v>4790.1068000000005</v>
      </c>
      <c r="C72" s="23">
        <f t="shared" si="1"/>
        <v>3.3690252830873035E-3</v>
      </c>
      <c r="D72" s="22">
        <f>SUM($C$2:C73)</f>
        <v>0.877833724471759</v>
      </c>
    </row>
    <row r="73" spans="1:4" x14ac:dyDescent="0.3">
      <c r="A73" s="21" t="s">
        <v>1275</v>
      </c>
      <c r="B73" s="19">
        <v>4737.2198399999997</v>
      </c>
      <c r="C73" s="23">
        <f t="shared" si="1"/>
        <v>3.2551850784346306E-3</v>
      </c>
      <c r="D73" s="22">
        <f>SUM($C$2:C74)</f>
        <v>0.881083719913207</v>
      </c>
    </row>
    <row r="74" spans="1:4" x14ac:dyDescent="0.3">
      <c r="A74" s="21" t="s">
        <v>1303</v>
      </c>
      <c r="B74" s="19">
        <v>4577.1480000000001</v>
      </c>
      <c r="C74" s="23">
        <f t="shared" si="1"/>
        <v>3.2499954414479406E-3</v>
      </c>
      <c r="D74" s="22">
        <f>SUM($C$2:C75)</f>
        <v>0.8842256033366388</v>
      </c>
    </row>
    <row r="75" spans="1:4" x14ac:dyDescent="0.3">
      <c r="A75" s="21" t="s">
        <v>793</v>
      </c>
      <c r="B75" s="19">
        <v>4569.8508000000002</v>
      </c>
      <c r="C75" s="23">
        <f t="shared" si="1"/>
        <v>3.1418834234317595E-3</v>
      </c>
      <c r="D75" s="22">
        <f>SUM($C$2:C76)</f>
        <v>0.88712139403477008</v>
      </c>
    </row>
    <row r="76" spans="1:4" x14ac:dyDescent="0.3">
      <c r="A76" s="21" t="s">
        <v>865</v>
      </c>
      <c r="B76" s="19">
        <v>4417.8334199999999</v>
      </c>
      <c r="C76" s="23">
        <f t="shared" si="1"/>
        <v>2.895790698131266E-3</v>
      </c>
      <c r="D76" s="22">
        <f>SUM($C$2:C77)</f>
        <v>0.88927023145990602</v>
      </c>
    </row>
    <row r="77" spans="1:4" x14ac:dyDescent="0.3">
      <c r="A77" s="21" t="s">
        <v>1092</v>
      </c>
      <c r="B77" s="19">
        <v>4071.8</v>
      </c>
      <c r="C77" s="23">
        <f t="shared" si="1"/>
        <v>2.148837425135993E-3</v>
      </c>
      <c r="D77" s="22">
        <f>SUM($C$2:C78)</f>
        <v>0.89120454447432473</v>
      </c>
    </row>
    <row r="78" spans="1:4" x14ac:dyDescent="0.3">
      <c r="A78" s="21" t="s">
        <v>1072</v>
      </c>
      <c r="B78" s="19">
        <v>3021.5016000000001</v>
      </c>
      <c r="C78" s="23">
        <f t="shared" si="1"/>
        <v>1.934313014418685E-3</v>
      </c>
      <c r="D78" s="22">
        <f>SUM($C$2:C79)</f>
        <v>0.8927104605366919</v>
      </c>
    </row>
    <row r="79" spans="1:4" x14ac:dyDescent="0.3">
      <c r="A79" s="21" t="s">
        <v>1199</v>
      </c>
      <c r="B79" s="19">
        <v>2719.8567000000003</v>
      </c>
      <c r="C79" s="23">
        <f t="shared" si="1"/>
        <v>1.5059160623671192E-3</v>
      </c>
      <c r="D79" s="22">
        <f>SUM($C$2:C80)</f>
        <v>0.89381090793999107</v>
      </c>
    </row>
    <row r="80" spans="1:4" x14ac:dyDescent="0.3">
      <c r="A80" s="21" t="s">
        <v>847</v>
      </c>
      <c r="B80" s="19">
        <v>2117.4834999999998</v>
      </c>
      <c r="C80" s="23">
        <f t="shared" si="1"/>
        <v>1.1004474032991342E-3</v>
      </c>
      <c r="D80" s="22">
        <f>SUM($C$2:C81)</f>
        <v>0.89483995317249621</v>
      </c>
    </row>
    <row r="81" spans="1:4" x14ac:dyDescent="0.3">
      <c r="A81" s="21" t="s">
        <v>1223</v>
      </c>
      <c r="B81" s="19">
        <v>1547.3500000000001</v>
      </c>
      <c r="C81" s="23">
        <f t="shared" si="1"/>
        <v>1.0290452325051635E-3</v>
      </c>
      <c r="D81" s="22">
        <f>SUM($C$2:C82)</f>
        <v>0.89557300923884275</v>
      </c>
    </row>
    <row r="82" spans="1:4" x14ac:dyDescent="0.3">
      <c r="A82" s="21" t="s">
        <v>873</v>
      </c>
      <c r="B82" s="19">
        <v>1446.9507000000001</v>
      </c>
      <c r="C82" s="23">
        <f t="shared" si="1"/>
        <v>7.3305606634657119E-4</v>
      </c>
      <c r="D82" s="22">
        <f>SUM($C$2:C83)</f>
        <v>0.89629157036432827</v>
      </c>
    </row>
    <row r="83" spans="1:4" x14ac:dyDescent="0.3">
      <c r="A83" s="21" t="s">
        <v>1352</v>
      </c>
      <c r="B83" s="19">
        <v>1030.7574</v>
      </c>
      <c r="C83" s="23">
        <f t="shared" si="1"/>
        <v>7.1856112548549054E-4</v>
      </c>
      <c r="D83" s="22">
        <f>SUM($C$2:C84)</f>
        <v>0.89695309456873895</v>
      </c>
    </row>
    <row r="84" spans="1:4" x14ac:dyDescent="0.3">
      <c r="A84" s="21" t="s">
        <v>1250</v>
      </c>
      <c r="B84" s="19">
        <v>1010.3759200000001</v>
      </c>
      <c r="C84" s="23">
        <f t="shared" si="1"/>
        <v>6.6152420441067017E-4</v>
      </c>
      <c r="D84" s="22">
        <f>SUM($C$2:C85)</f>
        <v>0.8975988741006804</v>
      </c>
    </row>
    <row r="85" spans="1:4" x14ac:dyDescent="0.3">
      <c r="A85" s="21" t="s">
        <v>1194</v>
      </c>
      <c r="B85" s="19">
        <v>930.17574000000002</v>
      </c>
      <c r="C85" s="23">
        <f t="shared" si="1"/>
        <v>6.457795319414068E-4</v>
      </c>
      <c r="D85" s="22">
        <f>SUM($C$2:C86)</f>
        <v>0.89798988201251584</v>
      </c>
    </row>
    <row r="86" spans="1:4" x14ac:dyDescent="0.3">
      <c r="A86" s="21" t="s">
        <v>955</v>
      </c>
      <c r="B86" s="19">
        <v>908.03700000000003</v>
      </c>
      <c r="C86" s="23">
        <f t="shared" si="1"/>
        <v>3.9100791183546344E-4</v>
      </c>
      <c r="D86" s="22">
        <f>SUM($C$2:C87)</f>
        <v>0.89800315255407015</v>
      </c>
    </row>
    <row r="87" spans="1:4" x14ac:dyDescent="0.3">
      <c r="A87" s="21" t="s">
        <v>843</v>
      </c>
      <c r="B87" s="19">
        <v>549.80010000000004</v>
      </c>
      <c r="C87" s="23">
        <f t="shared" si="1"/>
        <v>1.3270541554255543E-5</v>
      </c>
      <c r="D87" s="22">
        <f>SUM($C$2:C88)</f>
        <v>0.89800315255407015</v>
      </c>
    </row>
    <row r="88" spans="1:4" x14ac:dyDescent="0.3">
      <c r="A88" s="21" t="s">
        <v>914</v>
      </c>
      <c r="B88" s="19">
        <v>18.659839999999999</v>
      </c>
      <c r="C88" s="23">
        <f t="shared" si="1"/>
        <v>0</v>
      </c>
      <c r="D88" s="22">
        <f>SUM($C$2:C89)</f>
        <v>0.89800315255407015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C21"/>
  <sheetViews>
    <sheetView workbookViewId="0">
      <selection activeCell="D13" sqref="D13"/>
    </sheetView>
  </sheetViews>
  <sheetFormatPr defaultRowHeight="14.4" x14ac:dyDescent="0.3"/>
  <cols>
    <col min="1" max="1" width="12.5546875" bestFit="1" customWidth="1"/>
    <col min="2" max="2" width="19.5546875" bestFit="1" customWidth="1"/>
    <col min="3" max="3" width="15.44140625" bestFit="1" customWidth="1"/>
  </cols>
  <sheetData>
    <row r="3" spans="1:3" x14ac:dyDescent="0.3">
      <c r="A3" s="17" t="s">
        <v>1461</v>
      </c>
      <c r="B3" t="s">
        <v>1498</v>
      </c>
      <c r="C3" t="s">
        <v>1499</v>
      </c>
    </row>
    <row r="4" spans="1:3" x14ac:dyDescent="0.3">
      <c r="A4" s="18" t="s">
        <v>720</v>
      </c>
      <c r="B4" s="19">
        <v>877449.32372999971</v>
      </c>
      <c r="C4" s="19">
        <v>46</v>
      </c>
    </row>
    <row r="5" spans="1:3" x14ac:dyDescent="0.3">
      <c r="A5" s="18" t="s">
        <v>717</v>
      </c>
      <c r="B5" s="26">
        <v>893735.66084999999</v>
      </c>
      <c r="C5" s="19">
        <v>48</v>
      </c>
    </row>
    <row r="6" spans="1:3" x14ac:dyDescent="0.3">
      <c r="A6" s="18" t="s">
        <v>712</v>
      </c>
      <c r="B6" s="19">
        <v>689776.36459000001</v>
      </c>
      <c r="C6" s="19">
        <v>37</v>
      </c>
    </row>
    <row r="7" spans="1:3" x14ac:dyDescent="0.3">
      <c r="A7" s="18" t="s">
        <v>726</v>
      </c>
      <c r="B7" s="19">
        <v>606200.44668021274</v>
      </c>
      <c r="C7" s="19">
        <v>38</v>
      </c>
    </row>
    <row r="8" spans="1:3" x14ac:dyDescent="0.3">
      <c r="A8" s="18" t="s">
        <v>718</v>
      </c>
      <c r="B8" s="19">
        <v>543846.44053000002</v>
      </c>
      <c r="C8" s="19">
        <v>34</v>
      </c>
    </row>
    <row r="9" spans="1:3" x14ac:dyDescent="0.3">
      <c r="A9" s="18" t="s">
        <v>721</v>
      </c>
      <c r="B9" s="19">
        <v>812637.17231999978</v>
      </c>
      <c r="C9" s="19">
        <v>51</v>
      </c>
    </row>
    <row r="10" spans="1:3" x14ac:dyDescent="0.3">
      <c r="A10" s="18" t="s">
        <v>715</v>
      </c>
      <c r="B10" s="27">
        <v>510653.71305000014</v>
      </c>
      <c r="C10" s="19">
        <v>30</v>
      </c>
    </row>
    <row r="11" spans="1:3" x14ac:dyDescent="0.3">
      <c r="A11" s="18" t="s">
        <v>722</v>
      </c>
      <c r="B11" s="19">
        <v>762763.58535545459</v>
      </c>
      <c r="C11" s="19">
        <v>45</v>
      </c>
    </row>
    <row r="12" spans="1:3" x14ac:dyDescent="0.3">
      <c r="A12" s="18" t="s">
        <v>714</v>
      </c>
      <c r="B12" s="19">
        <v>555917.2491511628</v>
      </c>
      <c r="C12" s="19">
        <v>38</v>
      </c>
    </row>
    <row r="13" spans="1:3" x14ac:dyDescent="0.3">
      <c r="A13" s="18" t="s">
        <v>713</v>
      </c>
      <c r="B13" s="19">
        <v>802384.6622799997</v>
      </c>
      <c r="C13" s="19">
        <v>50</v>
      </c>
    </row>
    <row r="14" spans="1:3" x14ac:dyDescent="0.3">
      <c r="A14" s="18" t="s">
        <v>723</v>
      </c>
      <c r="B14" s="26">
        <v>883348.1293599999</v>
      </c>
      <c r="C14" s="19">
        <v>44</v>
      </c>
    </row>
    <row r="15" spans="1:3" x14ac:dyDescent="0.3">
      <c r="A15" s="18" t="s">
        <v>716</v>
      </c>
      <c r="B15" s="19">
        <v>853476.70104999992</v>
      </c>
      <c r="C15" s="19">
        <v>46</v>
      </c>
    </row>
    <row r="16" spans="1:3" x14ac:dyDescent="0.3">
      <c r="A16" s="18" t="s">
        <v>724</v>
      </c>
      <c r="B16" s="26">
        <v>976696.69714999956</v>
      </c>
      <c r="C16" s="19">
        <v>48</v>
      </c>
    </row>
    <row r="17" spans="1:3" x14ac:dyDescent="0.3">
      <c r="A17" s="18" t="s">
        <v>725</v>
      </c>
      <c r="B17" s="27">
        <v>388325.13659000001</v>
      </c>
      <c r="C17" s="19">
        <v>32</v>
      </c>
    </row>
    <row r="18" spans="1:3" x14ac:dyDescent="0.3">
      <c r="A18" s="18" t="s">
        <v>719</v>
      </c>
      <c r="B18" s="19">
        <v>647724.89694000001</v>
      </c>
      <c r="C18" s="19">
        <v>37</v>
      </c>
    </row>
    <row r="19" spans="1:3" x14ac:dyDescent="0.3">
      <c r="A19" s="18" t="s">
        <v>1423</v>
      </c>
      <c r="B19" s="27">
        <v>249026.85146999999</v>
      </c>
      <c r="C19" s="19">
        <v>8</v>
      </c>
    </row>
    <row r="20" spans="1:3" x14ac:dyDescent="0.3">
      <c r="A20" s="18" t="s">
        <v>1462</v>
      </c>
      <c r="B20" s="19"/>
      <c r="C20" s="19"/>
    </row>
    <row r="21" spans="1:3" x14ac:dyDescent="0.3">
      <c r="A21" s="18" t="s">
        <v>1463</v>
      </c>
      <c r="B21" s="19">
        <v>11053963.031096818</v>
      </c>
      <c r="C21" s="19">
        <v>632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AJ22"/>
  <sheetViews>
    <sheetView topLeftCell="A2" zoomScale="77" workbookViewId="0">
      <selection activeCell="C4" sqref="C4"/>
    </sheetView>
  </sheetViews>
  <sheetFormatPr defaultRowHeight="14.4" x14ac:dyDescent="0.3"/>
  <cols>
    <col min="1" max="1" width="15.44140625" bestFit="1" customWidth="1"/>
    <col min="2" max="2" width="15.5546875" bestFit="1" customWidth="1"/>
    <col min="3" max="4" width="8.6640625" bestFit="1" customWidth="1"/>
    <col min="5" max="7" width="9" bestFit="1" customWidth="1"/>
    <col min="8" max="9" width="8.77734375" bestFit="1" customWidth="1"/>
    <col min="10" max="12" width="8.6640625" bestFit="1" customWidth="1"/>
    <col min="13" max="15" width="8.44140625" bestFit="1" customWidth="1"/>
    <col min="16" max="18" width="7.88671875" bestFit="1" customWidth="1"/>
    <col min="19" max="21" width="8.5546875" bestFit="1" customWidth="1"/>
    <col min="22" max="24" width="9.109375" bestFit="1" customWidth="1"/>
    <col min="25" max="27" width="9.44140625" bestFit="1" customWidth="1"/>
    <col min="28" max="29" width="9.109375" bestFit="1" customWidth="1"/>
    <col min="30" max="31" width="8.5546875" bestFit="1" customWidth="1"/>
    <col min="32" max="34" width="8.77734375" bestFit="1" customWidth="1"/>
    <col min="35" max="35" width="7" bestFit="1" customWidth="1"/>
    <col min="36" max="36" width="10.77734375" bestFit="1" customWidth="1"/>
  </cols>
  <sheetData>
    <row r="3" spans="1:36" x14ac:dyDescent="0.3">
      <c r="A3" s="17" t="s">
        <v>1499</v>
      </c>
      <c r="B3" s="17" t="s">
        <v>1464</v>
      </c>
    </row>
    <row r="4" spans="1:36" x14ac:dyDescent="0.3">
      <c r="A4" s="17" t="s">
        <v>1461</v>
      </c>
      <c r="B4" t="s">
        <v>1465</v>
      </c>
      <c r="C4" t="s">
        <v>1466</v>
      </c>
      <c r="D4" t="s">
        <v>1467</v>
      </c>
      <c r="E4" t="s">
        <v>1468</v>
      </c>
      <c r="F4" t="s">
        <v>1469</v>
      </c>
      <c r="G4" t="s">
        <v>1470</v>
      </c>
      <c r="H4" t="s">
        <v>1471</v>
      </c>
      <c r="I4" t="s">
        <v>1472</v>
      </c>
      <c r="J4" t="s">
        <v>1473</v>
      </c>
      <c r="K4" t="s">
        <v>1474</v>
      </c>
      <c r="L4" t="s">
        <v>1475</v>
      </c>
      <c r="M4" t="s">
        <v>1476</v>
      </c>
      <c r="N4" t="s">
        <v>1477</v>
      </c>
      <c r="O4" t="s">
        <v>1478</v>
      </c>
      <c r="P4" t="s">
        <v>1479</v>
      </c>
      <c r="Q4" t="s">
        <v>1480</v>
      </c>
      <c r="R4" t="s">
        <v>1481</v>
      </c>
      <c r="S4" t="s">
        <v>1482</v>
      </c>
      <c r="T4" t="s">
        <v>1483</v>
      </c>
      <c r="U4" t="s">
        <v>1484</v>
      </c>
      <c r="V4" t="s">
        <v>1485</v>
      </c>
      <c r="W4" t="s">
        <v>1486</v>
      </c>
      <c r="X4" t="s">
        <v>1487</v>
      </c>
      <c r="Y4" t="s">
        <v>1488</v>
      </c>
      <c r="Z4" t="s">
        <v>1489</v>
      </c>
      <c r="AA4" t="s">
        <v>1490</v>
      </c>
      <c r="AB4" t="s">
        <v>1491</v>
      </c>
      <c r="AC4" t="s">
        <v>1492</v>
      </c>
      <c r="AD4" t="s">
        <v>1493</v>
      </c>
      <c r="AE4" t="s">
        <v>1494</v>
      </c>
      <c r="AF4" t="s">
        <v>1495</v>
      </c>
      <c r="AG4" t="s">
        <v>1496</v>
      </c>
      <c r="AH4" t="s">
        <v>1497</v>
      </c>
      <c r="AI4" t="s">
        <v>1462</v>
      </c>
      <c r="AJ4" t="s">
        <v>1463</v>
      </c>
    </row>
    <row r="5" spans="1:36" x14ac:dyDescent="0.3">
      <c r="A5" s="18" t="s">
        <v>720</v>
      </c>
      <c r="B5" s="19">
        <v>4</v>
      </c>
      <c r="C5" s="19">
        <v>3</v>
      </c>
      <c r="D5" s="19"/>
      <c r="E5" s="19">
        <v>1</v>
      </c>
      <c r="F5" s="19"/>
      <c r="G5" s="19">
        <v>3</v>
      </c>
      <c r="H5" s="19">
        <v>3</v>
      </c>
      <c r="I5" s="19"/>
      <c r="J5" s="19"/>
      <c r="K5" s="19">
        <v>3</v>
      </c>
      <c r="L5" s="19"/>
      <c r="M5" s="19">
        <v>2</v>
      </c>
      <c r="N5" s="19">
        <v>3</v>
      </c>
      <c r="O5" s="19"/>
      <c r="P5" s="19">
        <v>2</v>
      </c>
      <c r="Q5" s="19">
        <v>1</v>
      </c>
      <c r="R5" s="19"/>
      <c r="S5" s="19">
        <v>2</v>
      </c>
      <c r="T5" s="19">
        <v>1</v>
      </c>
      <c r="U5" s="19">
        <v>3</v>
      </c>
      <c r="V5" s="19">
        <v>2</v>
      </c>
      <c r="W5" s="19"/>
      <c r="X5" s="19"/>
      <c r="Y5" s="19">
        <v>2</v>
      </c>
      <c r="Z5" s="19">
        <v>1</v>
      </c>
      <c r="AA5" s="19">
        <v>3</v>
      </c>
      <c r="AB5" s="19"/>
      <c r="AC5" s="19">
        <v>2</v>
      </c>
      <c r="AD5" s="19">
        <v>1</v>
      </c>
      <c r="AE5" s="19">
        <v>1</v>
      </c>
      <c r="AF5" s="19">
        <v>1</v>
      </c>
      <c r="AG5" s="19">
        <v>1</v>
      </c>
      <c r="AH5" s="19">
        <v>1</v>
      </c>
      <c r="AI5" s="19"/>
      <c r="AJ5" s="19">
        <v>46</v>
      </c>
    </row>
    <row r="6" spans="1:36" x14ac:dyDescent="0.3">
      <c r="A6" s="18" t="s">
        <v>717</v>
      </c>
      <c r="B6" s="19">
        <v>1</v>
      </c>
      <c r="C6" s="19">
        <v>1</v>
      </c>
      <c r="D6" s="19">
        <v>1</v>
      </c>
      <c r="E6" s="19">
        <v>2</v>
      </c>
      <c r="F6" s="19">
        <v>1</v>
      </c>
      <c r="G6" s="19">
        <v>2</v>
      </c>
      <c r="H6" s="19">
        <v>1</v>
      </c>
      <c r="I6" s="19">
        <v>3</v>
      </c>
      <c r="J6" s="19"/>
      <c r="K6" s="19">
        <v>1</v>
      </c>
      <c r="L6" s="19">
        <v>2</v>
      </c>
      <c r="M6" s="19">
        <v>2</v>
      </c>
      <c r="N6" s="19">
        <v>4</v>
      </c>
      <c r="O6" s="19">
        <v>3</v>
      </c>
      <c r="P6" s="19">
        <v>4</v>
      </c>
      <c r="Q6" s="19"/>
      <c r="R6" s="19">
        <v>2</v>
      </c>
      <c r="S6" s="19"/>
      <c r="T6" s="19">
        <v>1</v>
      </c>
      <c r="U6" s="19">
        <v>1</v>
      </c>
      <c r="V6" s="19">
        <v>1</v>
      </c>
      <c r="W6" s="19">
        <v>1</v>
      </c>
      <c r="X6" s="19">
        <v>1</v>
      </c>
      <c r="Y6" s="19">
        <v>1</v>
      </c>
      <c r="Z6" s="19">
        <v>2</v>
      </c>
      <c r="AA6" s="19">
        <v>1</v>
      </c>
      <c r="AB6" s="19"/>
      <c r="AC6" s="19">
        <v>2</v>
      </c>
      <c r="AD6" s="19"/>
      <c r="AE6" s="19">
        <v>2</v>
      </c>
      <c r="AF6" s="19">
        <v>4</v>
      </c>
      <c r="AG6" s="19">
        <v>1</v>
      </c>
      <c r="AH6" s="19"/>
      <c r="AI6" s="19"/>
      <c r="AJ6" s="19">
        <v>48</v>
      </c>
    </row>
    <row r="7" spans="1:36" x14ac:dyDescent="0.3">
      <c r="A7" s="18" t="s">
        <v>712</v>
      </c>
      <c r="B7" s="19"/>
      <c r="C7" s="19">
        <v>1</v>
      </c>
      <c r="D7" s="19">
        <v>2</v>
      </c>
      <c r="E7" s="19"/>
      <c r="F7" s="19">
        <v>2</v>
      </c>
      <c r="G7" s="19"/>
      <c r="H7" s="19">
        <v>1</v>
      </c>
      <c r="I7" s="19">
        <v>1</v>
      </c>
      <c r="J7" s="19">
        <v>1</v>
      </c>
      <c r="K7" s="19">
        <v>1</v>
      </c>
      <c r="L7" s="19">
        <v>1</v>
      </c>
      <c r="M7" s="19"/>
      <c r="N7" s="19">
        <v>1</v>
      </c>
      <c r="O7" s="19">
        <v>1</v>
      </c>
      <c r="P7" s="19">
        <v>2</v>
      </c>
      <c r="Q7" s="19"/>
      <c r="R7" s="19">
        <v>1</v>
      </c>
      <c r="S7" s="19">
        <v>2</v>
      </c>
      <c r="T7" s="19">
        <v>1</v>
      </c>
      <c r="U7" s="19">
        <v>2</v>
      </c>
      <c r="V7" s="19">
        <v>3</v>
      </c>
      <c r="W7" s="19">
        <v>1</v>
      </c>
      <c r="X7" s="19">
        <v>2</v>
      </c>
      <c r="Y7" s="19">
        <v>1</v>
      </c>
      <c r="Z7" s="19">
        <v>2</v>
      </c>
      <c r="AA7" s="19">
        <v>1</v>
      </c>
      <c r="AB7" s="19">
        <v>1</v>
      </c>
      <c r="AC7" s="19">
        <v>1</v>
      </c>
      <c r="AD7" s="19">
        <v>2</v>
      </c>
      <c r="AE7" s="19">
        <v>1</v>
      </c>
      <c r="AF7" s="19"/>
      <c r="AG7" s="19"/>
      <c r="AH7" s="19">
        <v>2</v>
      </c>
      <c r="AI7" s="19"/>
      <c r="AJ7" s="19">
        <v>37</v>
      </c>
    </row>
    <row r="8" spans="1:36" x14ac:dyDescent="0.3">
      <c r="A8" s="18" t="s">
        <v>726</v>
      </c>
      <c r="B8" s="19">
        <v>1</v>
      </c>
      <c r="C8" s="19">
        <v>2</v>
      </c>
      <c r="D8" s="19">
        <v>1</v>
      </c>
      <c r="E8" s="19">
        <v>1</v>
      </c>
      <c r="F8" s="19">
        <v>3</v>
      </c>
      <c r="G8" s="19"/>
      <c r="H8" s="19">
        <v>2</v>
      </c>
      <c r="I8" s="19">
        <v>3</v>
      </c>
      <c r="J8" s="19">
        <v>3</v>
      </c>
      <c r="K8" s="19">
        <v>1</v>
      </c>
      <c r="L8" s="19">
        <v>2</v>
      </c>
      <c r="M8" s="19">
        <v>2</v>
      </c>
      <c r="N8" s="19">
        <v>1</v>
      </c>
      <c r="O8" s="19"/>
      <c r="P8" s="19">
        <v>1</v>
      </c>
      <c r="Q8" s="19">
        <v>1</v>
      </c>
      <c r="R8" s="19">
        <v>1</v>
      </c>
      <c r="S8" s="19"/>
      <c r="T8" s="19">
        <v>1</v>
      </c>
      <c r="U8" s="19">
        <v>1</v>
      </c>
      <c r="V8" s="19">
        <v>2</v>
      </c>
      <c r="W8" s="19"/>
      <c r="X8" s="19">
        <v>1</v>
      </c>
      <c r="Y8" s="19">
        <v>1</v>
      </c>
      <c r="Z8" s="19">
        <v>1</v>
      </c>
      <c r="AA8" s="19"/>
      <c r="AB8" s="19"/>
      <c r="AC8" s="19">
        <v>1</v>
      </c>
      <c r="AD8" s="19"/>
      <c r="AE8" s="19"/>
      <c r="AF8" s="19">
        <v>2</v>
      </c>
      <c r="AG8" s="19">
        <v>2</v>
      </c>
      <c r="AH8" s="19">
        <v>1</v>
      </c>
      <c r="AI8" s="19"/>
      <c r="AJ8" s="19">
        <v>38</v>
      </c>
    </row>
    <row r="9" spans="1:36" x14ac:dyDescent="0.3">
      <c r="A9" s="18" t="s">
        <v>718</v>
      </c>
      <c r="B9" s="19">
        <v>4</v>
      </c>
      <c r="C9" s="19">
        <v>1</v>
      </c>
      <c r="D9" s="19">
        <v>1</v>
      </c>
      <c r="E9" s="19"/>
      <c r="F9" s="19">
        <v>1</v>
      </c>
      <c r="G9" s="19">
        <v>3</v>
      </c>
      <c r="H9" s="19">
        <v>1</v>
      </c>
      <c r="I9" s="19">
        <v>1</v>
      </c>
      <c r="J9" s="19"/>
      <c r="K9" s="19">
        <v>1</v>
      </c>
      <c r="L9" s="19"/>
      <c r="M9" s="19"/>
      <c r="N9" s="19">
        <v>3</v>
      </c>
      <c r="O9" s="19">
        <v>1</v>
      </c>
      <c r="P9" s="19">
        <v>1</v>
      </c>
      <c r="Q9" s="19"/>
      <c r="R9" s="19"/>
      <c r="S9" s="19">
        <v>2</v>
      </c>
      <c r="T9" s="19"/>
      <c r="U9" s="19">
        <v>1</v>
      </c>
      <c r="V9" s="19"/>
      <c r="W9" s="19">
        <v>1</v>
      </c>
      <c r="X9" s="19">
        <v>2</v>
      </c>
      <c r="Y9" s="19">
        <v>3</v>
      </c>
      <c r="Z9" s="19">
        <v>2</v>
      </c>
      <c r="AA9" s="19"/>
      <c r="AB9" s="19">
        <v>1</v>
      </c>
      <c r="AC9" s="19">
        <v>1</v>
      </c>
      <c r="AD9" s="19"/>
      <c r="AE9" s="19">
        <v>2</v>
      </c>
      <c r="AF9" s="19"/>
      <c r="AG9" s="19">
        <v>1</v>
      </c>
      <c r="AH9" s="19"/>
      <c r="AI9" s="19"/>
      <c r="AJ9" s="19">
        <v>34</v>
      </c>
    </row>
    <row r="10" spans="1:36" x14ac:dyDescent="0.3">
      <c r="A10" s="18" t="s">
        <v>721</v>
      </c>
      <c r="B10" s="19"/>
      <c r="C10" s="19"/>
      <c r="D10" s="19">
        <v>4</v>
      </c>
      <c r="E10" s="19">
        <v>2</v>
      </c>
      <c r="F10" s="19">
        <v>1</v>
      </c>
      <c r="G10" s="19">
        <v>2</v>
      </c>
      <c r="H10" s="19">
        <v>1</v>
      </c>
      <c r="I10" s="19">
        <v>2</v>
      </c>
      <c r="J10" s="19">
        <v>1</v>
      </c>
      <c r="K10" s="19">
        <v>2</v>
      </c>
      <c r="L10" s="19">
        <v>1</v>
      </c>
      <c r="M10" s="19">
        <v>1</v>
      </c>
      <c r="N10" s="19">
        <v>1</v>
      </c>
      <c r="O10" s="19">
        <v>2</v>
      </c>
      <c r="P10" s="19">
        <v>3</v>
      </c>
      <c r="Q10" s="19">
        <v>3</v>
      </c>
      <c r="R10" s="19"/>
      <c r="S10" s="19">
        <v>3</v>
      </c>
      <c r="T10" s="19">
        <v>2</v>
      </c>
      <c r="U10" s="19"/>
      <c r="V10" s="19"/>
      <c r="W10" s="19">
        <v>2</v>
      </c>
      <c r="X10" s="19">
        <v>1</v>
      </c>
      <c r="Y10" s="19">
        <v>2</v>
      </c>
      <c r="Z10" s="19">
        <v>3</v>
      </c>
      <c r="AA10" s="19">
        <v>3</v>
      </c>
      <c r="AB10" s="19">
        <v>1</v>
      </c>
      <c r="AC10" s="19">
        <v>2</v>
      </c>
      <c r="AD10" s="19">
        <v>1</v>
      </c>
      <c r="AE10" s="19">
        <v>3</v>
      </c>
      <c r="AF10" s="19"/>
      <c r="AG10" s="19">
        <v>1</v>
      </c>
      <c r="AH10" s="19">
        <v>1</v>
      </c>
      <c r="AI10" s="19"/>
      <c r="AJ10" s="19">
        <v>51</v>
      </c>
    </row>
    <row r="11" spans="1:36" x14ac:dyDescent="0.3">
      <c r="A11" s="18" t="s">
        <v>715</v>
      </c>
      <c r="B11" s="19">
        <v>1</v>
      </c>
      <c r="C11" s="19"/>
      <c r="D11" s="19">
        <v>2</v>
      </c>
      <c r="E11" s="19">
        <v>1</v>
      </c>
      <c r="F11" s="19"/>
      <c r="G11" s="19"/>
      <c r="H11" s="19"/>
      <c r="I11" s="19">
        <v>1</v>
      </c>
      <c r="J11" s="19"/>
      <c r="K11" s="19">
        <v>1</v>
      </c>
      <c r="L11" s="19"/>
      <c r="M11" s="19">
        <v>2</v>
      </c>
      <c r="N11" s="19">
        <v>2</v>
      </c>
      <c r="O11" s="19">
        <v>1</v>
      </c>
      <c r="P11" s="19">
        <v>1</v>
      </c>
      <c r="Q11" s="19">
        <v>2</v>
      </c>
      <c r="R11" s="19">
        <v>1</v>
      </c>
      <c r="S11" s="19"/>
      <c r="T11" s="19">
        <v>1</v>
      </c>
      <c r="U11" s="19">
        <v>2</v>
      </c>
      <c r="V11" s="19">
        <v>1</v>
      </c>
      <c r="W11" s="19">
        <v>3</v>
      </c>
      <c r="X11" s="19">
        <v>3</v>
      </c>
      <c r="Y11" s="19">
        <v>1</v>
      </c>
      <c r="Z11" s="19">
        <v>1</v>
      </c>
      <c r="AA11" s="19">
        <v>1</v>
      </c>
      <c r="AB11" s="19"/>
      <c r="AC11" s="19">
        <v>1</v>
      </c>
      <c r="AD11" s="19">
        <v>1</v>
      </c>
      <c r="AE11" s="19"/>
      <c r="AF11" s="19"/>
      <c r="AG11" s="19"/>
      <c r="AH11" s="19"/>
      <c r="AI11" s="19"/>
      <c r="AJ11" s="19">
        <v>30</v>
      </c>
    </row>
    <row r="12" spans="1:36" x14ac:dyDescent="0.3">
      <c r="A12" s="18" t="s">
        <v>722</v>
      </c>
      <c r="B12" s="19">
        <v>2</v>
      </c>
      <c r="C12" s="19"/>
      <c r="D12" s="19">
        <v>2</v>
      </c>
      <c r="E12" s="19"/>
      <c r="F12" s="19">
        <v>2</v>
      </c>
      <c r="G12" s="19"/>
      <c r="H12" s="19">
        <v>1</v>
      </c>
      <c r="I12" s="19">
        <v>1</v>
      </c>
      <c r="J12" s="19">
        <v>1</v>
      </c>
      <c r="K12" s="19">
        <v>3</v>
      </c>
      <c r="L12" s="19">
        <v>1</v>
      </c>
      <c r="M12" s="19">
        <v>1</v>
      </c>
      <c r="N12" s="19">
        <v>1</v>
      </c>
      <c r="O12" s="19">
        <v>2</v>
      </c>
      <c r="P12" s="19"/>
      <c r="Q12" s="19">
        <v>1</v>
      </c>
      <c r="R12" s="19">
        <v>2</v>
      </c>
      <c r="S12" s="19">
        <v>1</v>
      </c>
      <c r="T12" s="19">
        <v>2</v>
      </c>
      <c r="U12" s="19">
        <v>2</v>
      </c>
      <c r="V12" s="19"/>
      <c r="W12" s="19">
        <v>1</v>
      </c>
      <c r="X12" s="19">
        <v>4</v>
      </c>
      <c r="Y12" s="19">
        <v>1</v>
      </c>
      <c r="Z12" s="19">
        <v>3</v>
      </c>
      <c r="AA12" s="19">
        <v>3</v>
      </c>
      <c r="AB12" s="19">
        <v>2</v>
      </c>
      <c r="AC12" s="19">
        <v>1</v>
      </c>
      <c r="AD12" s="19">
        <v>1</v>
      </c>
      <c r="AE12" s="19">
        <v>2</v>
      </c>
      <c r="AF12" s="19"/>
      <c r="AG12" s="19">
        <v>2</v>
      </c>
      <c r="AH12" s="19"/>
      <c r="AI12" s="19"/>
      <c r="AJ12" s="19">
        <v>45</v>
      </c>
    </row>
    <row r="13" spans="1:36" x14ac:dyDescent="0.3">
      <c r="A13" s="18" t="s">
        <v>714</v>
      </c>
      <c r="B13" s="19">
        <v>1</v>
      </c>
      <c r="C13" s="19"/>
      <c r="D13" s="19">
        <v>2</v>
      </c>
      <c r="E13" s="19">
        <v>1</v>
      </c>
      <c r="F13" s="19">
        <v>2</v>
      </c>
      <c r="G13" s="19">
        <v>2</v>
      </c>
      <c r="H13" s="19"/>
      <c r="I13" s="19"/>
      <c r="J13" s="19">
        <v>1</v>
      </c>
      <c r="K13" s="19">
        <v>1</v>
      </c>
      <c r="L13" s="19">
        <v>1</v>
      </c>
      <c r="M13" s="19"/>
      <c r="N13" s="19">
        <v>1</v>
      </c>
      <c r="O13" s="19">
        <v>1</v>
      </c>
      <c r="P13" s="19">
        <v>2</v>
      </c>
      <c r="Q13" s="19">
        <v>1</v>
      </c>
      <c r="R13" s="19">
        <v>2</v>
      </c>
      <c r="S13" s="19">
        <v>2</v>
      </c>
      <c r="T13" s="19">
        <v>1</v>
      </c>
      <c r="U13" s="19">
        <v>1</v>
      </c>
      <c r="V13" s="19">
        <v>2</v>
      </c>
      <c r="W13" s="19">
        <v>4</v>
      </c>
      <c r="X13" s="19">
        <v>1</v>
      </c>
      <c r="Y13" s="19"/>
      <c r="Z13" s="19">
        <v>1</v>
      </c>
      <c r="AA13" s="19"/>
      <c r="AB13" s="19"/>
      <c r="AC13" s="19">
        <v>2</v>
      </c>
      <c r="AD13" s="19">
        <v>3</v>
      </c>
      <c r="AE13" s="19">
        <v>1</v>
      </c>
      <c r="AF13" s="19">
        <v>2</v>
      </c>
      <c r="AG13" s="19"/>
      <c r="AH13" s="19"/>
      <c r="AI13" s="19"/>
      <c r="AJ13" s="19">
        <v>38</v>
      </c>
    </row>
    <row r="14" spans="1:36" x14ac:dyDescent="0.3">
      <c r="A14" s="18" t="s">
        <v>713</v>
      </c>
      <c r="B14" s="19">
        <v>1</v>
      </c>
      <c r="C14" s="19"/>
      <c r="D14" s="19">
        <v>1</v>
      </c>
      <c r="E14" s="19">
        <v>3</v>
      </c>
      <c r="F14" s="19">
        <v>2</v>
      </c>
      <c r="G14" s="19">
        <v>1</v>
      </c>
      <c r="H14" s="19">
        <v>1</v>
      </c>
      <c r="I14" s="19">
        <v>2</v>
      </c>
      <c r="J14" s="19"/>
      <c r="K14" s="19"/>
      <c r="L14" s="19"/>
      <c r="M14" s="19"/>
      <c r="N14" s="19">
        <v>1</v>
      </c>
      <c r="O14" s="19">
        <v>1</v>
      </c>
      <c r="P14" s="19">
        <v>1</v>
      </c>
      <c r="Q14" s="19">
        <v>4</v>
      </c>
      <c r="R14" s="19">
        <v>1</v>
      </c>
      <c r="S14" s="19">
        <v>3</v>
      </c>
      <c r="T14" s="19">
        <v>3</v>
      </c>
      <c r="U14" s="19">
        <v>1</v>
      </c>
      <c r="V14" s="19">
        <v>1</v>
      </c>
      <c r="W14" s="19">
        <v>1</v>
      </c>
      <c r="X14" s="19">
        <v>3</v>
      </c>
      <c r="Y14" s="19">
        <v>4</v>
      </c>
      <c r="Z14" s="19"/>
      <c r="AA14" s="19">
        <v>2</v>
      </c>
      <c r="AB14" s="19"/>
      <c r="AC14" s="19">
        <v>1</v>
      </c>
      <c r="AD14" s="19">
        <v>4</v>
      </c>
      <c r="AE14" s="19">
        <v>3</v>
      </c>
      <c r="AF14" s="19">
        <v>3</v>
      </c>
      <c r="AG14" s="19">
        <v>1</v>
      </c>
      <c r="AH14" s="19">
        <v>1</v>
      </c>
      <c r="AI14" s="19"/>
      <c r="AJ14" s="19">
        <v>50</v>
      </c>
    </row>
    <row r="15" spans="1:36" x14ac:dyDescent="0.3">
      <c r="A15" s="18" t="s">
        <v>723</v>
      </c>
      <c r="B15" s="19">
        <v>1</v>
      </c>
      <c r="C15" s="19">
        <v>2</v>
      </c>
      <c r="D15" s="19">
        <v>4</v>
      </c>
      <c r="E15" s="19">
        <v>1</v>
      </c>
      <c r="F15" s="19">
        <v>1</v>
      </c>
      <c r="G15" s="19">
        <v>1</v>
      </c>
      <c r="H15" s="19">
        <v>2</v>
      </c>
      <c r="I15" s="19">
        <v>3</v>
      </c>
      <c r="J15" s="19">
        <v>3</v>
      </c>
      <c r="K15" s="19">
        <v>2</v>
      </c>
      <c r="L15" s="19">
        <v>1</v>
      </c>
      <c r="M15" s="19"/>
      <c r="N15" s="19">
        <v>1</v>
      </c>
      <c r="O15" s="19">
        <v>1</v>
      </c>
      <c r="P15" s="19"/>
      <c r="Q15" s="19"/>
      <c r="R15" s="19">
        <v>1</v>
      </c>
      <c r="S15" s="19">
        <v>2</v>
      </c>
      <c r="T15" s="19">
        <v>1</v>
      </c>
      <c r="U15" s="19"/>
      <c r="V15" s="19">
        <v>1</v>
      </c>
      <c r="W15" s="19">
        <v>2</v>
      </c>
      <c r="X15" s="19">
        <v>1</v>
      </c>
      <c r="Y15" s="19">
        <v>4</v>
      </c>
      <c r="Z15" s="19">
        <v>2</v>
      </c>
      <c r="AA15" s="19">
        <v>1</v>
      </c>
      <c r="AB15" s="19">
        <v>1</v>
      </c>
      <c r="AC15" s="19"/>
      <c r="AD15" s="19">
        <v>1</v>
      </c>
      <c r="AE15" s="19"/>
      <c r="AF15" s="19"/>
      <c r="AG15" s="19">
        <v>3</v>
      </c>
      <c r="AH15" s="19">
        <v>1</v>
      </c>
      <c r="AI15" s="19"/>
      <c r="AJ15" s="19">
        <v>44</v>
      </c>
    </row>
    <row r="16" spans="1:36" x14ac:dyDescent="0.3">
      <c r="A16" s="18" t="s">
        <v>716</v>
      </c>
      <c r="B16" s="19"/>
      <c r="C16" s="19"/>
      <c r="D16" s="19">
        <v>1</v>
      </c>
      <c r="E16" s="19">
        <v>2</v>
      </c>
      <c r="F16" s="19">
        <v>2</v>
      </c>
      <c r="G16" s="19"/>
      <c r="H16" s="19">
        <v>4</v>
      </c>
      <c r="I16" s="19">
        <v>1</v>
      </c>
      <c r="J16" s="19">
        <v>3</v>
      </c>
      <c r="K16" s="19">
        <v>1</v>
      </c>
      <c r="L16" s="19">
        <v>5</v>
      </c>
      <c r="M16" s="19"/>
      <c r="N16" s="19">
        <v>1</v>
      </c>
      <c r="O16" s="19">
        <v>2</v>
      </c>
      <c r="P16" s="19">
        <v>1</v>
      </c>
      <c r="Q16" s="19"/>
      <c r="R16" s="19"/>
      <c r="S16" s="19"/>
      <c r="T16" s="19">
        <v>3</v>
      </c>
      <c r="U16" s="19">
        <v>2</v>
      </c>
      <c r="V16" s="19">
        <v>1</v>
      </c>
      <c r="W16" s="19">
        <v>1</v>
      </c>
      <c r="X16" s="19">
        <v>1</v>
      </c>
      <c r="Y16" s="19">
        <v>2</v>
      </c>
      <c r="Z16" s="19">
        <v>2</v>
      </c>
      <c r="AA16" s="19">
        <v>1</v>
      </c>
      <c r="AB16" s="19">
        <v>3</v>
      </c>
      <c r="AC16" s="19">
        <v>1</v>
      </c>
      <c r="AD16" s="19">
        <v>1</v>
      </c>
      <c r="AE16" s="19">
        <v>1</v>
      </c>
      <c r="AF16" s="19"/>
      <c r="AG16" s="19">
        <v>2</v>
      </c>
      <c r="AH16" s="19">
        <v>2</v>
      </c>
      <c r="AI16" s="19"/>
      <c r="AJ16" s="19">
        <v>46</v>
      </c>
    </row>
    <row r="17" spans="1:36" x14ac:dyDescent="0.3">
      <c r="A17" s="18" t="s">
        <v>724</v>
      </c>
      <c r="B17" s="19">
        <v>5</v>
      </c>
      <c r="C17" s="19"/>
      <c r="D17" s="19">
        <v>1</v>
      </c>
      <c r="E17" s="19">
        <v>1</v>
      </c>
      <c r="F17" s="19">
        <v>1</v>
      </c>
      <c r="G17" s="19">
        <v>3</v>
      </c>
      <c r="H17" s="19">
        <v>1</v>
      </c>
      <c r="I17" s="19">
        <v>2</v>
      </c>
      <c r="J17" s="19">
        <v>3</v>
      </c>
      <c r="K17" s="19"/>
      <c r="L17" s="19"/>
      <c r="M17" s="19">
        <v>2</v>
      </c>
      <c r="N17" s="19"/>
      <c r="O17" s="19"/>
      <c r="P17" s="19">
        <v>2</v>
      </c>
      <c r="Q17" s="19">
        <v>1</v>
      </c>
      <c r="R17" s="19">
        <v>3</v>
      </c>
      <c r="S17" s="19">
        <v>1</v>
      </c>
      <c r="T17" s="19">
        <v>4</v>
      </c>
      <c r="U17" s="19">
        <v>3</v>
      </c>
      <c r="V17" s="19"/>
      <c r="W17" s="19">
        <v>4</v>
      </c>
      <c r="X17" s="19"/>
      <c r="Y17" s="19">
        <v>3</v>
      </c>
      <c r="Z17" s="19">
        <v>1</v>
      </c>
      <c r="AA17" s="19">
        <v>1</v>
      </c>
      <c r="AB17" s="19"/>
      <c r="AC17" s="19">
        <v>2</v>
      </c>
      <c r="AD17" s="19"/>
      <c r="AE17" s="19">
        <v>2</v>
      </c>
      <c r="AF17" s="19"/>
      <c r="AG17" s="19">
        <v>1</v>
      </c>
      <c r="AH17" s="19">
        <v>1</v>
      </c>
      <c r="AI17" s="19"/>
      <c r="AJ17" s="19">
        <v>48</v>
      </c>
    </row>
    <row r="18" spans="1:36" x14ac:dyDescent="0.3">
      <c r="A18" s="18" t="s">
        <v>725</v>
      </c>
      <c r="B18" s="19">
        <v>1</v>
      </c>
      <c r="C18" s="19">
        <v>3</v>
      </c>
      <c r="D18" s="19">
        <v>3</v>
      </c>
      <c r="E18" s="19">
        <v>6</v>
      </c>
      <c r="F18" s="19">
        <v>1</v>
      </c>
      <c r="G18" s="19">
        <v>2</v>
      </c>
      <c r="H18" s="19">
        <v>2</v>
      </c>
      <c r="I18" s="19"/>
      <c r="J18" s="19">
        <v>1</v>
      </c>
      <c r="K18" s="19"/>
      <c r="L18" s="19">
        <v>1</v>
      </c>
      <c r="M18" s="19">
        <v>1</v>
      </c>
      <c r="N18" s="19">
        <v>1</v>
      </c>
      <c r="O18" s="19"/>
      <c r="P18" s="19">
        <v>2</v>
      </c>
      <c r="Q18" s="19"/>
      <c r="R18" s="19"/>
      <c r="S18" s="19">
        <v>1</v>
      </c>
      <c r="T18" s="19"/>
      <c r="U18" s="19">
        <v>2</v>
      </c>
      <c r="V18" s="19"/>
      <c r="W18" s="19"/>
      <c r="X18" s="19"/>
      <c r="Y18" s="19"/>
      <c r="Z18" s="19">
        <v>1</v>
      </c>
      <c r="AA18" s="19"/>
      <c r="AB18" s="19"/>
      <c r="AC18" s="19"/>
      <c r="AD18" s="19"/>
      <c r="AE18" s="19">
        <v>1</v>
      </c>
      <c r="AF18" s="19"/>
      <c r="AG18" s="19">
        <v>2</v>
      </c>
      <c r="AH18" s="19">
        <v>1</v>
      </c>
      <c r="AI18" s="19"/>
      <c r="AJ18" s="19">
        <v>32</v>
      </c>
    </row>
    <row r="19" spans="1:36" x14ac:dyDescent="0.3">
      <c r="A19" s="18" t="s">
        <v>719</v>
      </c>
      <c r="B19" s="19">
        <v>2</v>
      </c>
      <c r="C19" s="19">
        <v>1</v>
      </c>
      <c r="D19" s="19"/>
      <c r="E19" s="19">
        <v>2</v>
      </c>
      <c r="F19" s="19"/>
      <c r="G19" s="19">
        <v>2</v>
      </c>
      <c r="H19" s="19">
        <v>1</v>
      </c>
      <c r="I19" s="19">
        <v>1</v>
      </c>
      <c r="J19" s="19"/>
      <c r="K19" s="19">
        <v>1</v>
      </c>
      <c r="L19" s="19">
        <v>1</v>
      </c>
      <c r="M19" s="19">
        <v>2</v>
      </c>
      <c r="N19" s="19">
        <v>1</v>
      </c>
      <c r="O19" s="19">
        <v>1</v>
      </c>
      <c r="P19" s="19"/>
      <c r="Q19" s="19"/>
      <c r="R19" s="19">
        <v>1</v>
      </c>
      <c r="S19" s="19">
        <v>2</v>
      </c>
      <c r="T19" s="19">
        <v>2</v>
      </c>
      <c r="U19" s="19">
        <v>2</v>
      </c>
      <c r="V19" s="19">
        <v>1</v>
      </c>
      <c r="W19" s="19">
        <v>2</v>
      </c>
      <c r="X19" s="19"/>
      <c r="Y19" s="19">
        <v>1</v>
      </c>
      <c r="Z19" s="19">
        <v>1</v>
      </c>
      <c r="AA19" s="19">
        <v>1</v>
      </c>
      <c r="AB19" s="19"/>
      <c r="AC19" s="19">
        <v>3</v>
      </c>
      <c r="AD19" s="19">
        <v>2</v>
      </c>
      <c r="AE19" s="19">
        <v>2</v>
      </c>
      <c r="AF19" s="19"/>
      <c r="AG19" s="19">
        <v>1</v>
      </c>
      <c r="AH19" s="19">
        <v>1</v>
      </c>
      <c r="AI19" s="19"/>
      <c r="AJ19" s="19">
        <v>37</v>
      </c>
    </row>
    <row r="20" spans="1:36" x14ac:dyDescent="0.3">
      <c r="A20" s="18" t="s">
        <v>1423</v>
      </c>
      <c r="B20" s="19"/>
      <c r="C20" s="19"/>
      <c r="D20" s="19"/>
      <c r="E20" s="19">
        <v>1</v>
      </c>
      <c r="F20" s="19">
        <v>1</v>
      </c>
      <c r="G20" s="19"/>
      <c r="H20" s="19"/>
      <c r="I20" s="19"/>
      <c r="J20" s="19"/>
      <c r="K20" s="19"/>
      <c r="L20" s="19"/>
      <c r="M20" s="19"/>
      <c r="N20" s="19">
        <v>1</v>
      </c>
      <c r="O20" s="19"/>
      <c r="P20" s="19">
        <v>1</v>
      </c>
      <c r="Q20" s="19"/>
      <c r="R20" s="19">
        <v>1</v>
      </c>
      <c r="S20" s="19"/>
      <c r="T20" s="19"/>
      <c r="U20" s="19">
        <v>1</v>
      </c>
      <c r="V20" s="19"/>
      <c r="W20" s="19"/>
      <c r="X20" s="19"/>
      <c r="Y20" s="19"/>
      <c r="Z20" s="19"/>
      <c r="AA20" s="19"/>
      <c r="AB20" s="19">
        <v>1</v>
      </c>
      <c r="AC20" s="19"/>
      <c r="AD20" s="19">
        <v>1</v>
      </c>
      <c r="AE20" s="19"/>
      <c r="AF20" s="19"/>
      <c r="AG20" s="19"/>
      <c r="AH20" s="19"/>
      <c r="AI20" s="19"/>
      <c r="AJ20" s="19">
        <v>8</v>
      </c>
    </row>
    <row r="21" spans="1:36" x14ac:dyDescent="0.3">
      <c r="A21" s="18" t="s">
        <v>1462</v>
      </c>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row>
    <row r="22" spans="1:36" x14ac:dyDescent="0.3">
      <c r="A22" s="18" t="s">
        <v>1463</v>
      </c>
      <c r="B22" s="19">
        <v>24</v>
      </c>
      <c r="C22" s="19">
        <v>14</v>
      </c>
      <c r="D22" s="19">
        <v>25</v>
      </c>
      <c r="E22" s="19">
        <v>24</v>
      </c>
      <c r="F22" s="19">
        <v>20</v>
      </c>
      <c r="G22" s="19">
        <v>21</v>
      </c>
      <c r="H22" s="19">
        <v>21</v>
      </c>
      <c r="I22" s="19">
        <v>21</v>
      </c>
      <c r="J22" s="19">
        <v>17</v>
      </c>
      <c r="K22" s="19">
        <v>18</v>
      </c>
      <c r="L22" s="19">
        <v>16</v>
      </c>
      <c r="M22" s="19">
        <v>15</v>
      </c>
      <c r="N22" s="19">
        <v>23</v>
      </c>
      <c r="O22" s="19">
        <v>16</v>
      </c>
      <c r="P22" s="19">
        <v>23</v>
      </c>
      <c r="Q22" s="19">
        <v>14</v>
      </c>
      <c r="R22" s="19">
        <v>16</v>
      </c>
      <c r="S22" s="19">
        <v>21</v>
      </c>
      <c r="T22" s="19">
        <v>23</v>
      </c>
      <c r="U22" s="19">
        <v>24</v>
      </c>
      <c r="V22" s="19">
        <v>15</v>
      </c>
      <c r="W22" s="19">
        <v>23</v>
      </c>
      <c r="X22" s="19">
        <v>20</v>
      </c>
      <c r="Y22" s="19">
        <v>26</v>
      </c>
      <c r="Z22" s="19">
        <v>23</v>
      </c>
      <c r="AA22" s="19">
        <v>18</v>
      </c>
      <c r="AB22" s="19">
        <v>10</v>
      </c>
      <c r="AC22" s="19">
        <v>20</v>
      </c>
      <c r="AD22" s="19">
        <v>18</v>
      </c>
      <c r="AE22" s="19">
        <v>21</v>
      </c>
      <c r="AF22" s="19">
        <v>12</v>
      </c>
      <c r="AG22" s="19">
        <v>18</v>
      </c>
      <c r="AH22" s="19">
        <v>12</v>
      </c>
      <c r="AI22" s="19"/>
      <c r="AJ22" s="19">
        <v>632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C21"/>
  <sheetViews>
    <sheetView workbookViewId="0">
      <selection activeCell="B28" sqref="B28"/>
    </sheetView>
  </sheetViews>
  <sheetFormatPr defaultRowHeight="14.4" x14ac:dyDescent="0.3"/>
  <cols>
    <col min="1" max="1" width="12.5546875" bestFit="1" customWidth="1"/>
    <col min="2" max="2" width="16.77734375" bestFit="1" customWidth="1"/>
    <col min="3" max="3" width="15.44140625" bestFit="1" customWidth="1"/>
  </cols>
  <sheetData>
    <row r="3" spans="1:3" x14ac:dyDescent="0.3">
      <c r="A3" s="17" t="s">
        <v>1461</v>
      </c>
      <c r="B3" t="s">
        <v>1500</v>
      </c>
      <c r="C3" t="s">
        <v>1499</v>
      </c>
    </row>
    <row r="4" spans="1:3" x14ac:dyDescent="0.3">
      <c r="A4" s="18" t="s">
        <v>720</v>
      </c>
      <c r="B4" s="19">
        <v>282234.27373000002</v>
      </c>
      <c r="C4" s="19">
        <v>46</v>
      </c>
    </row>
    <row r="5" spans="1:3" x14ac:dyDescent="0.3">
      <c r="A5" s="18" t="s">
        <v>717</v>
      </c>
      <c r="B5" s="19">
        <v>315969.97084999998</v>
      </c>
      <c r="C5" s="19">
        <v>48</v>
      </c>
    </row>
    <row r="6" spans="1:3" x14ac:dyDescent="0.3">
      <c r="A6" s="18" t="s">
        <v>712</v>
      </c>
      <c r="B6" s="19">
        <v>230359.52458999999</v>
      </c>
      <c r="C6" s="19">
        <v>37</v>
      </c>
    </row>
    <row r="7" spans="1:3" x14ac:dyDescent="0.3">
      <c r="A7" s="18" t="s">
        <v>726</v>
      </c>
      <c r="B7" s="19">
        <v>180457.18668021279</v>
      </c>
      <c r="C7" s="19">
        <v>38</v>
      </c>
    </row>
    <row r="8" spans="1:3" x14ac:dyDescent="0.3">
      <c r="A8" s="18" t="s">
        <v>718</v>
      </c>
      <c r="B8" s="19">
        <v>204981.34053000004</v>
      </c>
      <c r="C8" s="19">
        <v>34</v>
      </c>
    </row>
    <row r="9" spans="1:3" x14ac:dyDescent="0.3">
      <c r="A9" s="18" t="s">
        <v>721</v>
      </c>
      <c r="B9" s="19">
        <v>251733.01232000004</v>
      </c>
      <c r="C9" s="19">
        <v>51</v>
      </c>
    </row>
    <row r="10" spans="1:3" x14ac:dyDescent="0.3">
      <c r="A10" s="18" t="s">
        <v>715</v>
      </c>
      <c r="B10" s="19">
        <v>172441.87305000005</v>
      </c>
      <c r="C10" s="19">
        <v>30</v>
      </c>
    </row>
    <row r="11" spans="1:3" x14ac:dyDescent="0.3">
      <c r="A11" s="18" t="s">
        <v>722</v>
      </c>
      <c r="B11" s="19">
        <v>202216.09535545448</v>
      </c>
      <c r="C11" s="19">
        <v>45</v>
      </c>
    </row>
    <row r="12" spans="1:3" x14ac:dyDescent="0.3">
      <c r="A12" s="18" t="s">
        <v>714</v>
      </c>
      <c r="B12" s="19">
        <v>154773.26915116273</v>
      </c>
      <c r="C12" s="19">
        <v>38</v>
      </c>
    </row>
    <row r="13" spans="1:3" x14ac:dyDescent="0.3">
      <c r="A13" s="18" t="s">
        <v>713</v>
      </c>
      <c r="B13" s="19">
        <v>273113.11228</v>
      </c>
      <c r="C13" s="19">
        <v>50</v>
      </c>
    </row>
    <row r="14" spans="1:3" x14ac:dyDescent="0.3">
      <c r="A14" s="18" t="s">
        <v>723</v>
      </c>
      <c r="B14" s="19">
        <v>278762.26935999998</v>
      </c>
      <c r="C14" s="19">
        <v>44</v>
      </c>
    </row>
    <row r="15" spans="1:3" x14ac:dyDescent="0.3">
      <c r="A15" s="18" t="s">
        <v>716</v>
      </c>
      <c r="B15" s="19">
        <v>270154.73105000006</v>
      </c>
      <c r="C15" s="19">
        <v>46</v>
      </c>
    </row>
    <row r="16" spans="1:3" x14ac:dyDescent="0.3">
      <c r="A16" s="18" t="s">
        <v>724</v>
      </c>
      <c r="B16" s="19">
        <v>313054.76714999985</v>
      </c>
      <c r="C16" s="19">
        <v>48</v>
      </c>
    </row>
    <row r="17" spans="1:3" x14ac:dyDescent="0.3">
      <c r="A17" s="18" t="s">
        <v>725</v>
      </c>
      <c r="B17" s="19">
        <v>110646.45659</v>
      </c>
      <c r="C17" s="19">
        <v>32</v>
      </c>
    </row>
    <row r="18" spans="1:3" x14ac:dyDescent="0.3">
      <c r="A18" s="18" t="s">
        <v>719</v>
      </c>
      <c r="B18" s="19">
        <v>185219.43694000004</v>
      </c>
      <c r="C18" s="19">
        <v>37</v>
      </c>
    </row>
    <row r="19" spans="1:3" x14ac:dyDescent="0.3">
      <c r="A19" s="18" t="s">
        <v>1423</v>
      </c>
      <c r="B19" s="19">
        <v>100098.00146999997</v>
      </c>
      <c r="C19" s="19">
        <v>8</v>
      </c>
    </row>
    <row r="20" spans="1:3" x14ac:dyDescent="0.3">
      <c r="A20" s="18" t="s">
        <v>1462</v>
      </c>
      <c r="B20" s="19"/>
      <c r="C20" s="19"/>
    </row>
    <row r="21" spans="1:3" x14ac:dyDescent="0.3">
      <c r="A21" s="18" t="s">
        <v>1463</v>
      </c>
      <c r="B21" s="19">
        <v>3526215.3210968291</v>
      </c>
      <c r="C21" s="19">
        <v>632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I10"/>
  <sheetViews>
    <sheetView workbookViewId="0">
      <selection activeCell="E7" sqref="E7"/>
    </sheetView>
  </sheetViews>
  <sheetFormatPr defaultRowHeight="14.4" x14ac:dyDescent="0.3"/>
  <cols>
    <col min="1" max="1" width="19.5546875" customWidth="1"/>
    <col min="2" max="2" width="15.5546875" bestFit="1" customWidth="1"/>
    <col min="3" max="4" width="12" bestFit="1" customWidth="1"/>
    <col min="5" max="6" width="12" customWidth="1"/>
    <col min="7" max="7" width="12" bestFit="1" customWidth="1"/>
    <col min="8" max="8" width="7" customWidth="1"/>
    <col min="9" max="9" width="12" bestFit="1" customWidth="1"/>
  </cols>
  <sheetData>
    <row r="3" spans="1:9" x14ac:dyDescent="0.3">
      <c r="A3" s="17" t="s">
        <v>1498</v>
      </c>
      <c r="B3" s="17" t="s">
        <v>1464</v>
      </c>
    </row>
    <row r="4" spans="1:9" x14ac:dyDescent="0.3">
      <c r="A4" s="17" t="s">
        <v>1461</v>
      </c>
      <c r="B4" t="s">
        <v>711</v>
      </c>
      <c r="C4" t="s">
        <v>710</v>
      </c>
      <c r="D4" t="s">
        <v>709</v>
      </c>
      <c r="E4" t="s">
        <v>708</v>
      </c>
      <c r="F4" t="s">
        <v>707</v>
      </c>
      <c r="G4" t="s">
        <v>1424</v>
      </c>
      <c r="H4" t="s">
        <v>1462</v>
      </c>
      <c r="I4" t="s">
        <v>1463</v>
      </c>
    </row>
    <row r="5" spans="1:9" x14ac:dyDescent="0.3">
      <c r="A5" s="18" t="s">
        <v>646</v>
      </c>
      <c r="B5" s="19">
        <v>462236.49369999988</v>
      </c>
      <c r="C5" s="19">
        <v>634581.62447000004</v>
      </c>
      <c r="D5" s="19">
        <v>527467.87456000003</v>
      </c>
      <c r="E5" s="19">
        <v>433406.33626999997</v>
      </c>
      <c r="F5" s="19">
        <v>533473.21200116281</v>
      </c>
      <c r="G5" s="19">
        <v>32716.924230000001</v>
      </c>
      <c r="H5" s="19"/>
      <c r="I5" s="19">
        <v>2623882.4652311625</v>
      </c>
    </row>
    <row r="6" spans="1:9" x14ac:dyDescent="0.3">
      <c r="A6" s="18" t="s">
        <v>648</v>
      </c>
      <c r="B6" s="19">
        <v>751887.68591000012</v>
      </c>
      <c r="C6" s="19">
        <v>568863.4119200001</v>
      </c>
      <c r="D6" s="19">
        <v>366375.92751999997</v>
      </c>
      <c r="E6" s="19">
        <v>689951.45437000017</v>
      </c>
      <c r="F6" s="19">
        <v>302853.57922000001</v>
      </c>
      <c r="G6" s="19">
        <v>9256.14</v>
      </c>
      <c r="H6" s="19"/>
      <c r="I6" s="19">
        <v>2689188.1989400005</v>
      </c>
    </row>
    <row r="7" spans="1:9" x14ac:dyDescent="0.3">
      <c r="A7" s="18" t="s">
        <v>647</v>
      </c>
      <c r="B7" s="19">
        <v>642753.25636</v>
      </c>
      <c r="C7" s="19">
        <v>509418.80598999996</v>
      </c>
      <c r="D7" s="19">
        <v>546106.24272999994</v>
      </c>
      <c r="E7" s="19">
        <v>413661.50969000004</v>
      </c>
      <c r="F7" s="19">
        <v>693141.67984</v>
      </c>
      <c r="G7" s="19">
        <v>41379.395489999995</v>
      </c>
      <c r="H7" s="19"/>
      <c r="I7" s="19">
        <v>2846460.8901</v>
      </c>
    </row>
    <row r="8" spans="1:9" x14ac:dyDescent="0.3">
      <c r="A8" s="18" t="s">
        <v>649</v>
      </c>
      <c r="B8" s="19">
        <v>842614.45203999989</v>
      </c>
      <c r="C8" s="19">
        <v>318736.67219999997</v>
      </c>
      <c r="D8" s="19">
        <v>633739.81529545446</v>
      </c>
      <c r="E8" s="19">
        <v>585406.72276999988</v>
      </c>
      <c r="F8" s="19">
        <v>495883.36806021282</v>
      </c>
      <c r="G8" s="19">
        <v>18050.446459999999</v>
      </c>
      <c r="H8" s="19"/>
      <c r="I8" s="19">
        <v>2894431.4768256671</v>
      </c>
    </row>
    <row r="9" spans="1:9" x14ac:dyDescent="0.3">
      <c r="A9" s="18" t="s">
        <v>1462</v>
      </c>
      <c r="B9" s="19"/>
      <c r="C9" s="19"/>
      <c r="D9" s="19"/>
      <c r="E9" s="19"/>
      <c r="F9" s="19"/>
      <c r="G9" s="19"/>
      <c r="H9" s="19"/>
      <c r="I9" s="19"/>
    </row>
    <row r="10" spans="1:9" x14ac:dyDescent="0.3">
      <c r="A10" s="18" t="s">
        <v>1463</v>
      </c>
      <c r="B10" s="19">
        <v>2699491.8880099999</v>
      </c>
      <c r="C10" s="19">
        <v>2031600.51458</v>
      </c>
      <c r="D10" s="19">
        <v>2073689.8601054545</v>
      </c>
      <c r="E10" s="19">
        <v>2122426.0230999999</v>
      </c>
      <c r="F10" s="19">
        <v>2025351.8391213755</v>
      </c>
      <c r="G10" s="19">
        <v>101402.90617999999</v>
      </c>
      <c r="H10" s="19"/>
      <c r="I10" s="19">
        <v>11053963.031096831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D102"/>
  <sheetViews>
    <sheetView workbookViewId="0">
      <selection activeCell="D3" sqref="D3"/>
    </sheetView>
  </sheetViews>
  <sheetFormatPr defaultRowHeight="14.4" x14ac:dyDescent="0.3"/>
  <cols>
    <col min="1" max="1" width="16.77734375" customWidth="1"/>
    <col min="2" max="2" width="21.6640625" bestFit="1" customWidth="1"/>
    <col min="3" max="3" width="15.44140625" customWidth="1"/>
    <col min="4" max="632" width="16.109375" bestFit="1" customWidth="1"/>
    <col min="633" max="633" width="7" bestFit="1" customWidth="1"/>
    <col min="634" max="634" width="10.77734375" bestFit="1" customWidth="1"/>
  </cols>
  <sheetData>
    <row r="3" spans="1:4" x14ac:dyDescent="0.3">
      <c r="A3" s="17" t="s">
        <v>1461</v>
      </c>
      <c r="B3" t="s">
        <v>1504</v>
      </c>
      <c r="C3" t="s">
        <v>1499</v>
      </c>
      <c r="D3" s="10" t="s">
        <v>1511</v>
      </c>
    </row>
    <row r="4" spans="1:4" x14ac:dyDescent="0.3">
      <c r="A4" s="18" t="s">
        <v>655</v>
      </c>
      <c r="B4" s="19">
        <v>62</v>
      </c>
      <c r="C4" s="19">
        <v>62</v>
      </c>
    </row>
    <row r="5" spans="1:4" x14ac:dyDescent="0.3">
      <c r="A5" s="21" t="s">
        <v>733</v>
      </c>
      <c r="B5" s="19">
        <v>10</v>
      </c>
      <c r="C5" s="19">
        <v>10</v>
      </c>
      <c r="D5">
        <f>(C5/62)*100</f>
        <v>16.129032258064516</v>
      </c>
    </row>
    <row r="6" spans="1:4" x14ac:dyDescent="0.3">
      <c r="A6" s="21" t="s">
        <v>727</v>
      </c>
      <c r="B6" s="19">
        <v>7</v>
      </c>
      <c r="C6" s="19">
        <v>7</v>
      </c>
      <c r="D6">
        <f t="shared" ref="D6:D11" si="0">(C6/62)*100</f>
        <v>11.29032258064516</v>
      </c>
    </row>
    <row r="7" spans="1:4" x14ac:dyDescent="0.3">
      <c r="A7" s="21" t="s">
        <v>731</v>
      </c>
      <c r="B7" s="19">
        <v>5</v>
      </c>
      <c r="C7" s="19">
        <v>5</v>
      </c>
      <c r="D7">
        <f t="shared" si="0"/>
        <v>8.064516129032258</v>
      </c>
    </row>
    <row r="8" spans="1:4" x14ac:dyDescent="0.3">
      <c r="A8" s="21" t="s">
        <v>732</v>
      </c>
      <c r="B8" s="19">
        <v>12</v>
      </c>
      <c r="C8" s="19">
        <v>12</v>
      </c>
      <c r="D8">
        <f t="shared" si="0"/>
        <v>19.35483870967742</v>
      </c>
    </row>
    <row r="9" spans="1:4" x14ac:dyDescent="0.3">
      <c r="A9" s="21" t="s">
        <v>729</v>
      </c>
      <c r="B9" s="19">
        <v>12</v>
      </c>
      <c r="C9" s="19">
        <v>12</v>
      </c>
      <c r="D9">
        <f t="shared" si="0"/>
        <v>19.35483870967742</v>
      </c>
    </row>
    <row r="10" spans="1:4" x14ac:dyDescent="0.3">
      <c r="A10" s="21" t="s">
        <v>730</v>
      </c>
      <c r="B10" s="19">
        <v>9</v>
      </c>
      <c r="C10" s="19">
        <v>9</v>
      </c>
      <c r="D10">
        <f t="shared" si="0"/>
        <v>14.516129032258066</v>
      </c>
    </row>
    <row r="11" spans="1:4" x14ac:dyDescent="0.3">
      <c r="A11" s="21" t="s">
        <v>728</v>
      </c>
      <c r="B11" s="19">
        <v>7</v>
      </c>
      <c r="C11" s="19">
        <v>7</v>
      </c>
      <c r="D11">
        <f t="shared" si="0"/>
        <v>11.29032258064516</v>
      </c>
    </row>
    <row r="12" spans="1:4" x14ac:dyDescent="0.3">
      <c r="A12" s="18" t="s">
        <v>653</v>
      </c>
      <c r="B12" s="19">
        <v>44</v>
      </c>
      <c r="C12" s="19">
        <v>44</v>
      </c>
    </row>
    <row r="13" spans="1:4" x14ac:dyDescent="0.3">
      <c r="A13" s="21" t="s">
        <v>733</v>
      </c>
      <c r="B13" s="19">
        <v>6</v>
      </c>
      <c r="C13" s="19">
        <v>6</v>
      </c>
    </row>
    <row r="14" spans="1:4" x14ac:dyDescent="0.3">
      <c r="A14" s="21" t="s">
        <v>727</v>
      </c>
      <c r="B14" s="19">
        <v>6</v>
      </c>
      <c r="C14" s="19">
        <v>6</v>
      </c>
    </row>
    <row r="15" spans="1:4" x14ac:dyDescent="0.3">
      <c r="A15" s="21" t="s">
        <v>731</v>
      </c>
      <c r="B15" s="19">
        <v>6</v>
      </c>
      <c r="C15" s="19">
        <v>6</v>
      </c>
    </row>
    <row r="16" spans="1:4" x14ac:dyDescent="0.3">
      <c r="A16" s="21" t="s">
        <v>732</v>
      </c>
      <c r="B16" s="19">
        <v>7</v>
      </c>
      <c r="C16" s="19">
        <v>7</v>
      </c>
    </row>
    <row r="17" spans="1:3" x14ac:dyDescent="0.3">
      <c r="A17" s="21" t="s">
        <v>729</v>
      </c>
      <c r="B17" s="19">
        <v>3</v>
      </c>
      <c r="C17" s="19">
        <v>3</v>
      </c>
    </row>
    <row r="18" spans="1:3" x14ac:dyDescent="0.3">
      <c r="A18" s="21" t="s">
        <v>730</v>
      </c>
      <c r="B18" s="19">
        <v>3</v>
      </c>
      <c r="C18" s="19">
        <v>3</v>
      </c>
    </row>
    <row r="19" spans="1:3" x14ac:dyDescent="0.3">
      <c r="A19" s="21" t="s">
        <v>728</v>
      </c>
      <c r="B19" s="19">
        <v>13</v>
      </c>
      <c r="C19" s="19">
        <v>13</v>
      </c>
    </row>
    <row r="20" spans="1:3" x14ac:dyDescent="0.3">
      <c r="A20" s="18" t="s">
        <v>659</v>
      </c>
      <c r="B20" s="19">
        <v>51</v>
      </c>
      <c r="C20" s="19">
        <v>51</v>
      </c>
    </row>
    <row r="21" spans="1:3" x14ac:dyDescent="0.3">
      <c r="A21" s="21" t="s">
        <v>733</v>
      </c>
      <c r="B21" s="19">
        <v>4</v>
      </c>
      <c r="C21" s="19">
        <v>4</v>
      </c>
    </row>
    <row r="22" spans="1:3" x14ac:dyDescent="0.3">
      <c r="A22" s="21" t="s">
        <v>727</v>
      </c>
      <c r="B22" s="19">
        <v>10</v>
      </c>
      <c r="C22" s="19">
        <v>10</v>
      </c>
    </row>
    <row r="23" spans="1:3" x14ac:dyDescent="0.3">
      <c r="A23" s="21" t="s">
        <v>731</v>
      </c>
      <c r="B23" s="19">
        <v>5</v>
      </c>
      <c r="C23" s="19">
        <v>5</v>
      </c>
    </row>
    <row r="24" spans="1:3" x14ac:dyDescent="0.3">
      <c r="A24" s="21" t="s">
        <v>732</v>
      </c>
      <c r="B24" s="19">
        <v>6</v>
      </c>
      <c r="C24" s="19">
        <v>6</v>
      </c>
    </row>
    <row r="25" spans="1:3" x14ac:dyDescent="0.3">
      <c r="A25" s="21" t="s">
        <v>729</v>
      </c>
      <c r="B25" s="19">
        <v>8</v>
      </c>
      <c r="C25" s="19">
        <v>8</v>
      </c>
    </row>
    <row r="26" spans="1:3" x14ac:dyDescent="0.3">
      <c r="A26" s="21" t="s">
        <v>730</v>
      </c>
      <c r="B26" s="19">
        <v>7</v>
      </c>
      <c r="C26" s="19">
        <v>7</v>
      </c>
    </row>
    <row r="27" spans="1:3" x14ac:dyDescent="0.3">
      <c r="A27" s="21" t="s">
        <v>728</v>
      </c>
      <c r="B27" s="19">
        <v>11</v>
      </c>
      <c r="C27" s="19">
        <v>11</v>
      </c>
    </row>
    <row r="28" spans="1:3" x14ac:dyDescent="0.3">
      <c r="A28" s="18" t="s">
        <v>657</v>
      </c>
      <c r="B28" s="19">
        <v>54</v>
      </c>
      <c r="C28" s="19">
        <v>54</v>
      </c>
    </row>
    <row r="29" spans="1:3" x14ac:dyDescent="0.3">
      <c r="A29" s="21" t="s">
        <v>733</v>
      </c>
      <c r="B29" s="19">
        <v>7</v>
      </c>
      <c r="C29" s="19">
        <v>7</v>
      </c>
    </row>
    <row r="30" spans="1:3" x14ac:dyDescent="0.3">
      <c r="A30" s="21" t="s">
        <v>727</v>
      </c>
      <c r="B30" s="19">
        <v>10</v>
      </c>
      <c r="C30" s="19">
        <v>10</v>
      </c>
    </row>
    <row r="31" spans="1:3" x14ac:dyDescent="0.3">
      <c r="A31" s="21" t="s">
        <v>731</v>
      </c>
      <c r="B31" s="19">
        <v>6</v>
      </c>
      <c r="C31" s="19">
        <v>6</v>
      </c>
    </row>
    <row r="32" spans="1:3" x14ac:dyDescent="0.3">
      <c r="A32" s="21" t="s">
        <v>732</v>
      </c>
      <c r="B32" s="19">
        <v>10</v>
      </c>
      <c r="C32" s="19">
        <v>10</v>
      </c>
    </row>
    <row r="33" spans="1:3" x14ac:dyDescent="0.3">
      <c r="A33" s="21" t="s">
        <v>729</v>
      </c>
      <c r="B33" s="19">
        <v>6</v>
      </c>
      <c r="C33" s="19">
        <v>6</v>
      </c>
    </row>
    <row r="34" spans="1:3" x14ac:dyDescent="0.3">
      <c r="A34" s="21" t="s">
        <v>730</v>
      </c>
      <c r="B34" s="19">
        <v>3</v>
      </c>
      <c r="C34" s="19">
        <v>3</v>
      </c>
    </row>
    <row r="35" spans="1:3" x14ac:dyDescent="0.3">
      <c r="A35" s="21" t="s">
        <v>728</v>
      </c>
      <c r="B35" s="19">
        <v>12</v>
      </c>
      <c r="C35" s="19">
        <v>12</v>
      </c>
    </row>
    <row r="36" spans="1:3" x14ac:dyDescent="0.3">
      <c r="A36" s="18" t="s">
        <v>656</v>
      </c>
      <c r="B36" s="19">
        <v>51</v>
      </c>
      <c r="C36" s="19">
        <v>51</v>
      </c>
    </row>
    <row r="37" spans="1:3" x14ac:dyDescent="0.3">
      <c r="A37" s="21" t="s">
        <v>733</v>
      </c>
      <c r="B37" s="19">
        <v>9</v>
      </c>
      <c r="C37" s="19">
        <v>9</v>
      </c>
    </row>
    <row r="38" spans="1:3" x14ac:dyDescent="0.3">
      <c r="A38" s="21" t="s">
        <v>727</v>
      </c>
      <c r="B38" s="19">
        <v>6</v>
      </c>
      <c r="C38" s="19">
        <v>6</v>
      </c>
    </row>
    <row r="39" spans="1:3" x14ac:dyDescent="0.3">
      <c r="A39" s="21" t="s">
        <v>731</v>
      </c>
      <c r="B39" s="19">
        <v>7</v>
      </c>
      <c r="C39" s="19">
        <v>7</v>
      </c>
    </row>
    <row r="40" spans="1:3" x14ac:dyDescent="0.3">
      <c r="A40" s="21" t="s">
        <v>732</v>
      </c>
      <c r="B40" s="19">
        <v>10</v>
      </c>
      <c r="C40" s="19">
        <v>10</v>
      </c>
    </row>
    <row r="41" spans="1:3" x14ac:dyDescent="0.3">
      <c r="A41" s="21" t="s">
        <v>729</v>
      </c>
      <c r="B41" s="19">
        <v>4</v>
      </c>
      <c r="C41" s="19">
        <v>4</v>
      </c>
    </row>
    <row r="42" spans="1:3" x14ac:dyDescent="0.3">
      <c r="A42" s="21" t="s">
        <v>730</v>
      </c>
      <c r="B42" s="19">
        <v>7</v>
      </c>
      <c r="C42" s="19">
        <v>7</v>
      </c>
    </row>
    <row r="43" spans="1:3" x14ac:dyDescent="0.3">
      <c r="A43" s="21" t="s">
        <v>728</v>
      </c>
      <c r="B43" s="19">
        <v>8</v>
      </c>
      <c r="C43" s="19">
        <v>8</v>
      </c>
    </row>
    <row r="44" spans="1:3" x14ac:dyDescent="0.3">
      <c r="A44" s="18" t="s">
        <v>654</v>
      </c>
      <c r="B44" s="19">
        <v>61</v>
      </c>
      <c r="C44" s="19">
        <v>61</v>
      </c>
    </row>
    <row r="45" spans="1:3" x14ac:dyDescent="0.3">
      <c r="A45" s="21" t="s">
        <v>733</v>
      </c>
      <c r="B45" s="19">
        <v>8</v>
      </c>
      <c r="C45" s="19">
        <v>8</v>
      </c>
    </row>
    <row r="46" spans="1:3" x14ac:dyDescent="0.3">
      <c r="A46" s="21" t="s">
        <v>727</v>
      </c>
      <c r="B46" s="19">
        <v>10</v>
      </c>
      <c r="C46" s="19">
        <v>10</v>
      </c>
    </row>
    <row r="47" spans="1:3" x14ac:dyDescent="0.3">
      <c r="A47" s="21" t="s">
        <v>731</v>
      </c>
      <c r="B47" s="19">
        <v>9</v>
      </c>
      <c r="C47" s="19">
        <v>9</v>
      </c>
    </row>
    <row r="48" spans="1:3" x14ac:dyDescent="0.3">
      <c r="A48" s="21" t="s">
        <v>732</v>
      </c>
      <c r="B48" s="19">
        <v>12</v>
      </c>
      <c r="C48" s="19">
        <v>12</v>
      </c>
    </row>
    <row r="49" spans="1:3" x14ac:dyDescent="0.3">
      <c r="A49" s="21" t="s">
        <v>729</v>
      </c>
      <c r="B49" s="19">
        <v>7</v>
      </c>
      <c r="C49" s="19">
        <v>7</v>
      </c>
    </row>
    <row r="50" spans="1:3" x14ac:dyDescent="0.3">
      <c r="A50" s="21" t="s">
        <v>730</v>
      </c>
      <c r="B50" s="19">
        <v>9</v>
      </c>
      <c r="C50" s="19">
        <v>9</v>
      </c>
    </row>
    <row r="51" spans="1:3" x14ac:dyDescent="0.3">
      <c r="A51" s="21" t="s">
        <v>728</v>
      </c>
      <c r="B51" s="19">
        <v>6</v>
      </c>
      <c r="C51" s="19">
        <v>6</v>
      </c>
    </row>
    <row r="52" spans="1:3" x14ac:dyDescent="0.3">
      <c r="A52" s="18" t="s">
        <v>652</v>
      </c>
      <c r="B52" s="19">
        <v>59</v>
      </c>
      <c r="C52" s="19">
        <v>59</v>
      </c>
    </row>
    <row r="53" spans="1:3" x14ac:dyDescent="0.3">
      <c r="A53" s="21" t="s">
        <v>733</v>
      </c>
      <c r="B53" s="19">
        <v>5</v>
      </c>
      <c r="C53" s="19">
        <v>5</v>
      </c>
    </row>
    <row r="54" spans="1:3" x14ac:dyDescent="0.3">
      <c r="A54" s="21" t="s">
        <v>727</v>
      </c>
      <c r="B54" s="19">
        <v>8</v>
      </c>
      <c r="C54" s="19">
        <v>8</v>
      </c>
    </row>
    <row r="55" spans="1:3" x14ac:dyDescent="0.3">
      <c r="A55" s="21" t="s">
        <v>731</v>
      </c>
      <c r="B55" s="19">
        <v>7</v>
      </c>
      <c r="C55" s="19">
        <v>7</v>
      </c>
    </row>
    <row r="56" spans="1:3" x14ac:dyDescent="0.3">
      <c r="A56" s="21" t="s">
        <v>732</v>
      </c>
      <c r="B56" s="19">
        <v>7</v>
      </c>
      <c r="C56" s="19">
        <v>7</v>
      </c>
    </row>
    <row r="57" spans="1:3" x14ac:dyDescent="0.3">
      <c r="A57" s="21" t="s">
        <v>729</v>
      </c>
      <c r="B57" s="19">
        <v>12</v>
      </c>
      <c r="C57" s="19">
        <v>12</v>
      </c>
    </row>
    <row r="58" spans="1:3" x14ac:dyDescent="0.3">
      <c r="A58" s="21" t="s">
        <v>730</v>
      </c>
      <c r="B58" s="19">
        <v>11</v>
      </c>
      <c r="C58" s="19">
        <v>11</v>
      </c>
    </row>
    <row r="59" spans="1:3" x14ac:dyDescent="0.3">
      <c r="A59" s="21" t="s">
        <v>728</v>
      </c>
      <c r="B59" s="19">
        <v>9</v>
      </c>
      <c r="C59" s="19">
        <v>9</v>
      </c>
    </row>
    <row r="60" spans="1:3" x14ac:dyDescent="0.3">
      <c r="A60" s="18" t="s">
        <v>650</v>
      </c>
      <c r="B60" s="19">
        <v>56</v>
      </c>
      <c r="C60" s="19">
        <v>56</v>
      </c>
    </row>
    <row r="61" spans="1:3" x14ac:dyDescent="0.3">
      <c r="A61" s="21" t="s">
        <v>733</v>
      </c>
      <c r="B61" s="19">
        <v>10</v>
      </c>
      <c r="C61" s="19">
        <v>10</v>
      </c>
    </row>
    <row r="62" spans="1:3" x14ac:dyDescent="0.3">
      <c r="A62" s="21" t="s">
        <v>727</v>
      </c>
      <c r="B62" s="19">
        <v>5</v>
      </c>
      <c r="C62" s="19">
        <v>5</v>
      </c>
    </row>
    <row r="63" spans="1:3" x14ac:dyDescent="0.3">
      <c r="A63" s="21" t="s">
        <v>731</v>
      </c>
      <c r="B63" s="19">
        <v>10</v>
      </c>
      <c r="C63" s="19">
        <v>10</v>
      </c>
    </row>
    <row r="64" spans="1:3" x14ac:dyDescent="0.3">
      <c r="A64" s="21" t="s">
        <v>732</v>
      </c>
      <c r="B64" s="19">
        <v>2</v>
      </c>
      <c r="C64" s="19">
        <v>2</v>
      </c>
    </row>
    <row r="65" spans="1:3" x14ac:dyDescent="0.3">
      <c r="A65" s="21" t="s">
        <v>729</v>
      </c>
      <c r="B65" s="19">
        <v>6</v>
      </c>
      <c r="C65" s="19">
        <v>6</v>
      </c>
    </row>
    <row r="66" spans="1:3" x14ac:dyDescent="0.3">
      <c r="A66" s="21" t="s">
        <v>730</v>
      </c>
      <c r="B66" s="19">
        <v>15</v>
      </c>
      <c r="C66" s="19">
        <v>15</v>
      </c>
    </row>
    <row r="67" spans="1:3" x14ac:dyDescent="0.3">
      <c r="A67" s="21" t="s">
        <v>728</v>
      </c>
      <c r="B67" s="19">
        <v>8</v>
      </c>
      <c r="C67" s="19">
        <v>8</v>
      </c>
    </row>
    <row r="68" spans="1:3" x14ac:dyDescent="0.3">
      <c r="A68" s="18" t="s">
        <v>651</v>
      </c>
      <c r="B68" s="19">
        <v>44</v>
      </c>
      <c r="C68" s="19">
        <v>44</v>
      </c>
    </row>
    <row r="69" spans="1:3" x14ac:dyDescent="0.3">
      <c r="A69" s="21" t="s">
        <v>733</v>
      </c>
      <c r="B69" s="19">
        <v>13</v>
      </c>
      <c r="C69" s="19">
        <v>13</v>
      </c>
    </row>
    <row r="70" spans="1:3" x14ac:dyDescent="0.3">
      <c r="A70" s="21" t="s">
        <v>727</v>
      </c>
      <c r="B70" s="19">
        <v>6</v>
      </c>
      <c r="C70" s="19">
        <v>6</v>
      </c>
    </row>
    <row r="71" spans="1:3" x14ac:dyDescent="0.3">
      <c r="A71" s="21" t="s">
        <v>731</v>
      </c>
      <c r="B71" s="19">
        <v>6</v>
      </c>
      <c r="C71" s="19">
        <v>6</v>
      </c>
    </row>
    <row r="72" spans="1:3" x14ac:dyDescent="0.3">
      <c r="A72" s="21" t="s">
        <v>732</v>
      </c>
      <c r="B72" s="19">
        <v>5</v>
      </c>
      <c r="C72" s="19">
        <v>5</v>
      </c>
    </row>
    <row r="73" spans="1:3" x14ac:dyDescent="0.3">
      <c r="A73" s="21" t="s">
        <v>729</v>
      </c>
      <c r="B73" s="19">
        <v>2</v>
      </c>
      <c r="C73" s="19">
        <v>2</v>
      </c>
    </row>
    <row r="74" spans="1:3" x14ac:dyDescent="0.3">
      <c r="A74" s="21" t="s">
        <v>730</v>
      </c>
      <c r="B74" s="19">
        <v>6</v>
      </c>
      <c r="C74" s="19">
        <v>6</v>
      </c>
    </row>
    <row r="75" spans="1:3" x14ac:dyDescent="0.3">
      <c r="A75" s="21" t="s">
        <v>728</v>
      </c>
      <c r="B75" s="19">
        <v>6</v>
      </c>
      <c r="C75" s="19">
        <v>6</v>
      </c>
    </row>
    <row r="76" spans="1:3" x14ac:dyDescent="0.3">
      <c r="A76" s="18" t="s">
        <v>661</v>
      </c>
      <c r="B76" s="19">
        <v>45</v>
      </c>
      <c r="C76" s="19">
        <v>45</v>
      </c>
    </row>
    <row r="77" spans="1:3" x14ac:dyDescent="0.3">
      <c r="A77" s="21" t="s">
        <v>733</v>
      </c>
      <c r="B77" s="19">
        <v>4</v>
      </c>
      <c r="C77" s="19">
        <v>4</v>
      </c>
    </row>
    <row r="78" spans="1:3" x14ac:dyDescent="0.3">
      <c r="A78" s="21" t="s">
        <v>727</v>
      </c>
      <c r="B78" s="19">
        <v>11</v>
      </c>
      <c r="C78" s="19">
        <v>11</v>
      </c>
    </row>
    <row r="79" spans="1:3" x14ac:dyDescent="0.3">
      <c r="A79" s="21" t="s">
        <v>731</v>
      </c>
      <c r="B79" s="19">
        <v>7</v>
      </c>
      <c r="C79" s="19">
        <v>7</v>
      </c>
    </row>
    <row r="80" spans="1:3" x14ac:dyDescent="0.3">
      <c r="A80" s="21" t="s">
        <v>732</v>
      </c>
      <c r="B80" s="19">
        <v>7</v>
      </c>
      <c r="C80" s="19">
        <v>7</v>
      </c>
    </row>
    <row r="81" spans="1:3" x14ac:dyDescent="0.3">
      <c r="A81" s="21" t="s">
        <v>729</v>
      </c>
      <c r="B81" s="19">
        <v>7</v>
      </c>
      <c r="C81" s="19">
        <v>7</v>
      </c>
    </row>
    <row r="82" spans="1:3" x14ac:dyDescent="0.3">
      <c r="A82" s="21" t="s">
        <v>730</v>
      </c>
      <c r="B82" s="19">
        <v>4</v>
      </c>
      <c r="C82" s="19">
        <v>4</v>
      </c>
    </row>
    <row r="83" spans="1:3" x14ac:dyDescent="0.3">
      <c r="A83" s="21" t="s">
        <v>728</v>
      </c>
      <c r="B83" s="19">
        <v>5</v>
      </c>
      <c r="C83" s="19">
        <v>5</v>
      </c>
    </row>
    <row r="84" spans="1:3" x14ac:dyDescent="0.3">
      <c r="A84" s="18" t="s">
        <v>658</v>
      </c>
      <c r="B84" s="19">
        <v>54</v>
      </c>
      <c r="C84" s="19">
        <v>54</v>
      </c>
    </row>
    <row r="85" spans="1:3" x14ac:dyDescent="0.3">
      <c r="A85" s="21" t="s">
        <v>733</v>
      </c>
      <c r="B85" s="19">
        <v>8</v>
      </c>
      <c r="C85" s="19">
        <v>8</v>
      </c>
    </row>
    <row r="86" spans="1:3" x14ac:dyDescent="0.3">
      <c r="A86" s="21" t="s">
        <v>727</v>
      </c>
      <c r="B86" s="19">
        <v>7</v>
      </c>
      <c r="C86" s="19">
        <v>7</v>
      </c>
    </row>
    <row r="87" spans="1:3" x14ac:dyDescent="0.3">
      <c r="A87" s="21" t="s">
        <v>731</v>
      </c>
      <c r="B87" s="19">
        <v>9</v>
      </c>
      <c r="C87" s="19">
        <v>9</v>
      </c>
    </row>
    <row r="88" spans="1:3" x14ac:dyDescent="0.3">
      <c r="A88" s="21" t="s">
        <v>732</v>
      </c>
      <c r="B88" s="19">
        <v>7</v>
      </c>
      <c r="C88" s="19">
        <v>7</v>
      </c>
    </row>
    <row r="89" spans="1:3" x14ac:dyDescent="0.3">
      <c r="A89" s="21" t="s">
        <v>729</v>
      </c>
      <c r="B89" s="19">
        <v>9</v>
      </c>
      <c r="C89" s="19">
        <v>9</v>
      </c>
    </row>
    <row r="90" spans="1:3" x14ac:dyDescent="0.3">
      <c r="A90" s="21" t="s">
        <v>730</v>
      </c>
      <c r="B90" s="19">
        <v>4</v>
      </c>
      <c r="C90" s="19">
        <v>4</v>
      </c>
    </row>
    <row r="91" spans="1:3" x14ac:dyDescent="0.3">
      <c r="A91" s="21" t="s">
        <v>728</v>
      </c>
      <c r="B91" s="19">
        <v>10</v>
      </c>
      <c r="C91" s="19">
        <v>10</v>
      </c>
    </row>
    <row r="92" spans="1:3" x14ac:dyDescent="0.3">
      <c r="A92" s="18" t="s">
        <v>660</v>
      </c>
      <c r="B92" s="19">
        <v>51</v>
      </c>
      <c r="C92" s="19">
        <v>51</v>
      </c>
    </row>
    <row r="93" spans="1:3" x14ac:dyDescent="0.3">
      <c r="A93" s="21" t="s">
        <v>733</v>
      </c>
      <c r="B93" s="19">
        <v>4</v>
      </c>
      <c r="C93" s="19">
        <v>4</v>
      </c>
    </row>
    <row r="94" spans="1:3" x14ac:dyDescent="0.3">
      <c r="A94" s="21" t="s">
        <v>727</v>
      </c>
      <c r="B94" s="19">
        <v>5</v>
      </c>
      <c r="C94" s="19">
        <v>5</v>
      </c>
    </row>
    <row r="95" spans="1:3" x14ac:dyDescent="0.3">
      <c r="A95" s="21" t="s">
        <v>731</v>
      </c>
      <c r="B95" s="19">
        <v>5</v>
      </c>
      <c r="C95" s="19">
        <v>5</v>
      </c>
    </row>
    <row r="96" spans="1:3" x14ac:dyDescent="0.3">
      <c r="A96" s="21" t="s">
        <v>732</v>
      </c>
      <c r="B96" s="19">
        <v>9</v>
      </c>
      <c r="C96" s="19">
        <v>9</v>
      </c>
    </row>
    <row r="97" spans="1:3" x14ac:dyDescent="0.3">
      <c r="A97" s="21" t="s">
        <v>729</v>
      </c>
      <c r="B97" s="19">
        <v>10</v>
      </c>
      <c r="C97" s="19">
        <v>10</v>
      </c>
    </row>
    <row r="98" spans="1:3" x14ac:dyDescent="0.3">
      <c r="A98" s="21" t="s">
        <v>730</v>
      </c>
      <c r="B98" s="19">
        <v>10</v>
      </c>
      <c r="C98" s="19">
        <v>10</v>
      </c>
    </row>
    <row r="99" spans="1:3" x14ac:dyDescent="0.3">
      <c r="A99" s="21" t="s">
        <v>728</v>
      </c>
      <c r="B99" s="19">
        <v>8</v>
      </c>
      <c r="C99" s="19">
        <v>8</v>
      </c>
    </row>
    <row r="100" spans="1:3" x14ac:dyDescent="0.3">
      <c r="A100" s="18" t="s">
        <v>1462</v>
      </c>
      <c r="B100" s="19"/>
      <c r="C100" s="19"/>
    </row>
    <row r="101" spans="1:3" x14ac:dyDescent="0.3">
      <c r="A101" s="21" t="s">
        <v>1462</v>
      </c>
      <c r="B101" s="19"/>
      <c r="C101" s="19"/>
    </row>
    <row r="102" spans="1:3" x14ac:dyDescent="0.3">
      <c r="A102" s="18" t="s">
        <v>1463</v>
      </c>
      <c r="B102" s="19">
        <v>632</v>
      </c>
      <c r="C102" s="19">
        <v>632</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6"/>
  <sheetViews>
    <sheetView workbookViewId="0">
      <selection activeCell="B7" sqref="B7"/>
    </sheetView>
  </sheetViews>
  <sheetFormatPr defaultRowHeight="14.4" x14ac:dyDescent="0.3"/>
  <cols>
    <col min="2" max="2" width="19.44140625" customWidth="1"/>
  </cols>
  <sheetData>
    <row r="1" spans="1:2" x14ac:dyDescent="0.3">
      <c r="A1" s="10" t="s">
        <v>1515</v>
      </c>
    </row>
    <row r="2" spans="1:2" ht="43.2" x14ac:dyDescent="0.3">
      <c r="A2" s="7" t="s">
        <v>1512</v>
      </c>
      <c r="B2" s="28">
        <v>0.05</v>
      </c>
    </row>
    <row r="3" spans="1:2" ht="28.8" x14ac:dyDescent="0.3">
      <c r="A3" s="7" t="s">
        <v>1513</v>
      </c>
      <c r="B3" s="28">
        <v>0.1</v>
      </c>
    </row>
    <row r="4" spans="1:2" ht="28.8" x14ac:dyDescent="0.3">
      <c r="A4" s="7" t="s">
        <v>1514</v>
      </c>
      <c r="B4" s="28">
        <v>0.2</v>
      </c>
    </row>
    <row r="5" spans="1:2" ht="28.8" x14ac:dyDescent="0.3">
      <c r="A5" s="7" t="s">
        <v>1516</v>
      </c>
      <c r="B5" s="29">
        <f>SUM(Data!AC:AC)</f>
        <v>7527747.7100000018</v>
      </c>
    </row>
    <row r="6" spans="1:2" ht="57" customHeight="1" x14ac:dyDescent="0.3">
      <c r="A6" s="7" t="s">
        <v>1517</v>
      </c>
      <c r="B6" s="5">
        <f>SUM(Data!AD:AD)</f>
        <v>7052430.6421936639</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C74"/>
  <sheetViews>
    <sheetView workbookViewId="0">
      <selection activeCell="A3" sqref="A3"/>
    </sheetView>
  </sheetViews>
  <sheetFormatPr defaultRowHeight="14.4" x14ac:dyDescent="0.3"/>
  <cols>
    <col min="1" max="1" width="14.21875" bestFit="1" customWidth="1"/>
    <col min="2" max="2" width="24.21875" style="22" bestFit="1" customWidth="1"/>
  </cols>
  <sheetData>
    <row r="3" spans="1:3" x14ac:dyDescent="0.3">
      <c r="A3" s="17" t="s">
        <v>1461</v>
      </c>
      <c r="B3" s="22" t="s">
        <v>1506</v>
      </c>
    </row>
    <row r="4" spans="1:3" x14ac:dyDescent="0.3">
      <c r="A4" s="18" t="s">
        <v>648</v>
      </c>
      <c r="B4" s="22">
        <v>0.17197452229299362</v>
      </c>
    </row>
    <row r="5" spans="1:3" x14ac:dyDescent="0.3">
      <c r="A5" s="21" t="s">
        <v>726</v>
      </c>
      <c r="B5" s="22">
        <v>0.5</v>
      </c>
      <c r="C5" s="24" t="str">
        <f>IF(B5&gt;0.3,"HIGH",IF(B5&gt;0.15,"MEDIUM","LOW"))</f>
        <v>HIGH</v>
      </c>
    </row>
    <row r="6" spans="1:3" x14ac:dyDescent="0.3">
      <c r="A6" s="21" t="s">
        <v>720</v>
      </c>
      <c r="B6" s="22">
        <v>0.5</v>
      </c>
      <c r="C6" s="24" t="str">
        <f t="shared" ref="C6:C69" si="0">IF(B6&gt;0.3,"HIGH",IF(B6&gt;0.15,"MEDIUM","LOW"))</f>
        <v>HIGH</v>
      </c>
    </row>
    <row r="7" spans="1:3" x14ac:dyDescent="0.3">
      <c r="A7" s="21" t="s">
        <v>714</v>
      </c>
      <c r="B7" s="22">
        <v>0.35714285714285715</v>
      </c>
      <c r="C7" s="24" t="str">
        <f t="shared" si="0"/>
        <v>HIGH</v>
      </c>
    </row>
    <row r="8" spans="1:3" x14ac:dyDescent="0.3">
      <c r="A8" s="21" t="s">
        <v>1423</v>
      </c>
      <c r="B8" s="22">
        <v>0.33333333333333331</v>
      </c>
      <c r="C8" s="24" t="str">
        <f t="shared" si="0"/>
        <v>HIGH</v>
      </c>
    </row>
    <row r="9" spans="1:3" x14ac:dyDescent="0.3">
      <c r="A9" s="21" t="s">
        <v>716</v>
      </c>
      <c r="B9" s="22">
        <v>0.25</v>
      </c>
      <c r="C9" t="str">
        <f t="shared" si="0"/>
        <v>MEDIUM</v>
      </c>
    </row>
    <row r="10" spans="1:3" x14ac:dyDescent="0.3">
      <c r="A10" s="21" t="s">
        <v>724</v>
      </c>
      <c r="B10" s="22">
        <v>0.16666666666666666</v>
      </c>
      <c r="C10" t="str">
        <f t="shared" si="0"/>
        <v>MEDIUM</v>
      </c>
    </row>
    <row r="11" spans="1:3" x14ac:dyDescent="0.3">
      <c r="A11" s="21" t="s">
        <v>725</v>
      </c>
      <c r="B11" s="22">
        <v>0.14285714285714285</v>
      </c>
      <c r="C11" t="str">
        <f t="shared" si="0"/>
        <v>LOW</v>
      </c>
    </row>
    <row r="12" spans="1:3" x14ac:dyDescent="0.3">
      <c r="A12" s="21" t="s">
        <v>712</v>
      </c>
      <c r="B12" s="22">
        <v>0.14285714285714285</v>
      </c>
      <c r="C12" t="str">
        <f t="shared" si="0"/>
        <v>LOW</v>
      </c>
    </row>
    <row r="13" spans="1:3" x14ac:dyDescent="0.3">
      <c r="A13" s="21" t="s">
        <v>715</v>
      </c>
      <c r="B13" s="22">
        <v>0.125</v>
      </c>
      <c r="C13" t="str">
        <f t="shared" si="0"/>
        <v>LOW</v>
      </c>
    </row>
    <row r="14" spans="1:3" x14ac:dyDescent="0.3">
      <c r="A14" s="21" t="s">
        <v>717</v>
      </c>
      <c r="B14" s="22">
        <v>0.125</v>
      </c>
      <c r="C14" t="str">
        <f t="shared" si="0"/>
        <v>LOW</v>
      </c>
    </row>
    <row r="15" spans="1:3" x14ac:dyDescent="0.3">
      <c r="A15" s="21" t="s">
        <v>723</v>
      </c>
      <c r="B15" s="22">
        <v>0.1</v>
      </c>
      <c r="C15" t="str">
        <f t="shared" si="0"/>
        <v>LOW</v>
      </c>
    </row>
    <row r="16" spans="1:3" x14ac:dyDescent="0.3">
      <c r="A16" s="21" t="s">
        <v>721</v>
      </c>
      <c r="B16" s="22">
        <v>6.6666666666666666E-2</v>
      </c>
      <c r="C16" t="str">
        <f t="shared" si="0"/>
        <v>LOW</v>
      </c>
    </row>
    <row r="17" spans="1:3" x14ac:dyDescent="0.3">
      <c r="A17" s="21" t="s">
        <v>713</v>
      </c>
      <c r="B17" s="22">
        <v>0</v>
      </c>
      <c r="C17" t="str">
        <f t="shared" si="0"/>
        <v>LOW</v>
      </c>
    </row>
    <row r="18" spans="1:3" x14ac:dyDescent="0.3">
      <c r="A18" s="21" t="s">
        <v>719</v>
      </c>
      <c r="B18" s="22">
        <v>0</v>
      </c>
      <c r="C18" t="str">
        <f t="shared" si="0"/>
        <v>LOW</v>
      </c>
    </row>
    <row r="19" spans="1:3" x14ac:dyDescent="0.3">
      <c r="A19" s="21" t="s">
        <v>718</v>
      </c>
      <c r="B19" s="22">
        <v>0</v>
      </c>
      <c r="C19" t="str">
        <f t="shared" si="0"/>
        <v>LOW</v>
      </c>
    </row>
    <row r="20" spans="1:3" x14ac:dyDescent="0.3">
      <c r="A20" s="21" t="s">
        <v>722</v>
      </c>
      <c r="B20" s="22">
        <v>0</v>
      </c>
      <c r="C20" t="str">
        <f t="shared" si="0"/>
        <v>LOW</v>
      </c>
    </row>
    <row r="21" spans="1:3" x14ac:dyDescent="0.3">
      <c r="A21" s="18" t="s">
        <v>646</v>
      </c>
      <c r="B21" s="22">
        <v>0.15172413793103448</v>
      </c>
      <c r="C21" t="str">
        <f>IF(B21&gt;0.3,"HIGH",IF(B21&gt;0.15,"MEDIUM","LOW"))</f>
        <v>MEDIUM</v>
      </c>
    </row>
    <row r="22" spans="1:3" x14ac:dyDescent="0.3">
      <c r="A22" s="21" t="s">
        <v>1423</v>
      </c>
      <c r="B22" s="22">
        <v>0.5</v>
      </c>
      <c r="C22" s="25" t="str">
        <f t="shared" si="0"/>
        <v>HIGH</v>
      </c>
    </row>
    <row r="23" spans="1:3" x14ac:dyDescent="0.3">
      <c r="A23" s="21" t="s">
        <v>724</v>
      </c>
      <c r="B23" s="22">
        <v>0.3125</v>
      </c>
      <c r="C23" s="25" t="str">
        <f t="shared" si="0"/>
        <v>HIGH</v>
      </c>
    </row>
    <row r="24" spans="1:3" x14ac:dyDescent="0.3">
      <c r="A24" s="21" t="s">
        <v>714</v>
      </c>
      <c r="B24" s="22">
        <v>0.25</v>
      </c>
      <c r="C24" s="25" t="str">
        <f t="shared" si="0"/>
        <v>MEDIUM</v>
      </c>
    </row>
    <row r="25" spans="1:3" x14ac:dyDescent="0.3">
      <c r="A25" s="21" t="s">
        <v>713</v>
      </c>
      <c r="B25" s="22">
        <v>0.25</v>
      </c>
      <c r="C25" t="str">
        <f t="shared" si="0"/>
        <v>MEDIUM</v>
      </c>
    </row>
    <row r="26" spans="1:3" x14ac:dyDescent="0.3">
      <c r="A26" s="21" t="s">
        <v>712</v>
      </c>
      <c r="B26" s="22">
        <v>0.25</v>
      </c>
      <c r="C26" t="str">
        <f t="shared" si="0"/>
        <v>MEDIUM</v>
      </c>
    </row>
    <row r="27" spans="1:3" x14ac:dyDescent="0.3">
      <c r="A27" s="21" t="s">
        <v>726</v>
      </c>
      <c r="B27" s="22">
        <v>0.2</v>
      </c>
      <c r="C27" t="str">
        <f t="shared" si="0"/>
        <v>MEDIUM</v>
      </c>
    </row>
    <row r="28" spans="1:3" x14ac:dyDescent="0.3">
      <c r="A28" s="21" t="s">
        <v>716</v>
      </c>
      <c r="B28" s="22">
        <v>0.2</v>
      </c>
      <c r="C28" t="str">
        <f t="shared" si="0"/>
        <v>MEDIUM</v>
      </c>
    </row>
    <row r="29" spans="1:3" x14ac:dyDescent="0.3">
      <c r="A29" s="21" t="s">
        <v>718</v>
      </c>
      <c r="B29" s="22">
        <v>0.2</v>
      </c>
      <c r="C29" t="str">
        <f t="shared" si="0"/>
        <v>MEDIUM</v>
      </c>
    </row>
    <row r="30" spans="1:3" x14ac:dyDescent="0.3">
      <c r="A30" s="21" t="s">
        <v>720</v>
      </c>
      <c r="B30" s="22">
        <v>0.1875</v>
      </c>
      <c r="C30" t="str">
        <f t="shared" si="0"/>
        <v>MEDIUM</v>
      </c>
    </row>
    <row r="31" spans="1:3" x14ac:dyDescent="0.3">
      <c r="A31" s="21" t="s">
        <v>722</v>
      </c>
      <c r="B31" s="22">
        <v>0.14285714285714285</v>
      </c>
      <c r="C31" t="str">
        <f t="shared" si="0"/>
        <v>LOW</v>
      </c>
    </row>
    <row r="32" spans="1:3" x14ac:dyDescent="0.3">
      <c r="A32" s="21" t="s">
        <v>725</v>
      </c>
      <c r="B32" s="22">
        <v>0</v>
      </c>
      <c r="C32" t="str">
        <f t="shared" si="0"/>
        <v>LOW</v>
      </c>
    </row>
    <row r="33" spans="1:3" x14ac:dyDescent="0.3">
      <c r="A33" s="21" t="s">
        <v>715</v>
      </c>
      <c r="B33" s="22">
        <v>0</v>
      </c>
      <c r="C33" t="str">
        <f t="shared" si="0"/>
        <v>LOW</v>
      </c>
    </row>
    <row r="34" spans="1:3" x14ac:dyDescent="0.3">
      <c r="A34" s="21" t="s">
        <v>719</v>
      </c>
      <c r="B34" s="22">
        <v>0</v>
      </c>
      <c r="C34" t="str">
        <f t="shared" si="0"/>
        <v>LOW</v>
      </c>
    </row>
    <row r="35" spans="1:3" x14ac:dyDescent="0.3">
      <c r="A35" s="21" t="s">
        <v>717</v>
      </c>
      <c r="B35" s="22">
        <v>0</v>
      </c>
      <c r="C35" t="str">
        <f t="shared" si="0"/>
        <v>LOW</v>
      </c>
    </row>
    <row r="36" spans="1:3" x14ac:dyDescent="0.3">
      <c r="A36" s="21" t="s">
        <v>723</v>
      </c>
      <c r="B36" s="22">
        <v>0</v>
      </c>
      <c r="C36" t="str">
        <f t="shared" si="0"/>
        <v>LOW</v>
      </c>
    </row>
    <row r="37" spans="1:3" x14ac:dyDescent="0.3">
      <c r="A37" s="21" t="s">
        <v>721</v>
      </c>
      <c r="B37" s="22">
        <v>0</v>
      </c>
      <c r="C37" t="str">
        <f t="shared" si="0"/>
        <v>LOW</v>
      </c>
    </row>
    <row r="38" spans="1:3" x14ac:dyDescent="0.3">
      <c r="A38" s="18" t="s">
        <v>647</v>
      </c>
      <c r="B38" s="22">
        <v>0.14035087719298245</v>
      </c>
      <c r="C38" t="str">
        <f t="shared" si="0"/>
        <v>LOW</v>
      </c>
    </row>
    <row r="39" spans="1:3" x14ac:dyDescent="0.3">
      <c r="A39" s="21" t="s">
        <v>719</v>
      </c>
      <c r="B39" s="22">
        <v>0.5</v>
      </c>
      <c r="C39" s="25" t="str">
        <f t="shared" si="0"/>
        <v>HIGH</v>
      </c>
    </row>
    <row r="40" spans="1:3" x14ac:dyDescent="0.3">
      <c r="A40" s="21" t="s">
        <v>712</v>
      </c>
      <c r="B40" s="22">
        <v>0.3</v>
      </c>
      <c r="C40" s="25" t="str">
        <f t="shared" si="0"/>
        <v>MEDIUM</v>
      </c>
    </row>
    <row r="41" spans="1:3" x14ac:dyDescent="0.3">
      <c r="A41" s="21" t="s">
        <v>721</v>
      </c>
      <c r="B41" s="22">
        <v>0.25</v>
      </c>
      <c r="C41" s="25" t="str">
        <f t="shared" si="0"/>
        <v>MEDIUM</v>
      </c>
    </row>
    <row r="42" spans="1:3" x14ac:dyDescent="0.3">
      <c r="A42" s="21" t="s">
        <v>716</v>
      </c>
      <c r="B42" s="22">
        <v>0.21428571428571427</v>
      </c>
      <c r="C42" s="25" t="str">
        <f t="shared" si="0"/>
        <v>MEDIUM</v>
      </c>
    </row>
    <row r="43" spans="1:3" x14ac:dyDescent="0.3">
      <c r="A43" s="21" t="s">
        <v>723</v>
      </c>
      <c r="B43" s="22">
        <v>0.14285714285714285</v>
      </c>
      <c r="C43" t="str">
        <f t="shared" si="0"/>
        <v>LOW</v>
      </c>
    </row>
    <row r="44" spans="1:3" x14ac:dyDescent="0.3">
      <c r="A44" s="21" t="s">
        <v>714</v>
      </c>
      <c r="B44" s="22">
        <v>0.125</v>
      </c>
      <c r="C44" t="str">
        <f t="shared" si="0"/>
        <v>LOW</v>
      </c>
    </row>
    <row r="45" spans="1:3" x14ac:dyDescent="0.3">
      <c r="A45" s="21" t="s">
        <v>722</v>
      </c>
      <c r="B45" s="22">
        <v>0.125</v>
      </c>
      <c r="C45" t="str">
        <f t="shared" si="0"/>
        <v>LOW</v>
      </c>
    </row>
    <row r="46" spans="1:3" x14ac:dyDescent="0.3">
      <c r="A46" s="21" t="s">
        <v>717</v>
      </c>
      <c r="B46" s="22">
        <v>0.11764705882352941</v>
      </c>
      <c r="C46" t="str">
        <f t="shared" si="0"/>
        <v>LOW</v>
      </c>
    </row>
    <row r="47" spans="1:3" x14ac:dyDescent="0.3">
      <c r="A47" s="21" t="s">
        <v>726</v>
      </c>
      <c r="B47" s="22">
        <v>0.1111111111111111</v>
      </c>
      <c r="C47" t="str">
        <f t="shared" si="0"/>
        <v>LOW</v>
      </c>
    </row>
    <row r="48" spans="1:3" x14ac:dyDescent="0.3">
      <c r="A48" s="21" t="s">
        <v>713</v>
      </c>
      <c r="B48" s="22">
        <v>0.10526315789473684</v>
      </c>
      <c r="C48" t="str">
        <f t="shared" si="0"/>
        <v>LOW</v>
      </c>
    </row>
    <row r="49" spans="1:3" x14ac:dyDescent="0.3">
      <c r="A49" s="21" t="s">
        <v>725</v>
      </c>
      <c r="B49" s="22">
        <v>0.1</v>
      </c>
      <c r="C49" t="str">
        <f t="shared" si="0"/>
        <v>LOW</v>
      </c>
    </row>
    <row r="50" spans="1:3" x14ac:dyDescent="0.3">
      <c r="A50" s="21" t="s">
        <v>715</v>
      </c>
      <c r="B50" s="22">
        <v>9.0909090909090912E-2</v>
      </c>
      <c r="C50" t="str">
        <f t="shared" si="0"/>
        <v>LOW</v>
      </c>
    </row>
    <row r="51" spans="1:3" x14ac:dyDescent="0.3">
      <c r="A51" s="21" t="s">
        <v>718</v>
      </c>
      <c r="B51" s="22">
        <v>0</v>
      </c>
      <c r="C51" t="str">
        <f t="shared" si="0"/>
        <v>LOW</v>
      </c>
    </row>
    <row r="52" spans="1:3" x14ac:dyDescent="0.3">
      <c r="A52" s="21" t="s">
        <v>724</v>
      </c>
      <c r="B52" s="22">
        <v>0</v>
      </c>
      <c r="C52" t="str">
        <f t="shared" si="0"/>
        <v>LOW</v>
      </c>
    </row>
    <row r="53" spans="1:3" x14ac:dyDescent="0.3">
      <c r="A53" s="21" t="s">
        <v>1423</v>
      </c>
      <c r="B53" s="22">
        <v>0</v>
      </c>
      <c r="C53" t="str">
        <f t="shared" si="0"/>
        <v>LOW</v>
      </c>
    </row>
    <row r="54" spans="1:3" x14ac:dyDescent="0.3">
      <c r="A54" s="21" t="s">
        <v>720</v>
      </c>
      <c r="B54" s="22">
        <v>0</v>
      </c>
      <c r="C54" t="str">
        <f t="shared" si="0"/>
        <v>LOW</v>
      </c>
    </row>
    <row r="55" spans="1:3" x14ac:dyDescent="0.3">
      <c r="A55" s="18" t="s">
        <v>649</v>
      </c>
      <c r="B55" s="22">
        <v>0.1069182389937107</v>
      </c>
      <c r="C55" t="str">
        <f t="shared" si="0"/>
        <v>LOW</v>
      </c>
    </row>
    <row r="56" spans="1:3" x14ac:dyDescent="0.3">
      <c r="A56" s="21" t="s">
        <v>725</v>
      </c>
      <c r="B56" s="22">
        <v>0.27272727272727271</v>
      </c>
      <c r="C56" t="str">
        <f t="shared" si="0"/>
        <v>MEDIUM</v>
      </c>
    </row>
    <row r="57" spans="1:3" x14ac:dyDescent="0.3">
      <c r="A57" s="21" t="s">
        <v>712</v>
      </c>
      <c r="B57" s="22">
        <v>0.2</v>
      </c>
      <c r="C57" t="str">
        <f t="shared" si="0"/>
        <v>MEDIUM</v>
      </c>
    </row>
    <row r="58" spans="1:3" x14ac:dyDescent="0.3">
      <c r="A58" s="21" t="s">
        <v>723</v>
      </c>
      <c r="B58" s="22">
        <v>0.15384615384615385</v>
      </c>
      <c r="C58" t="str">
        <f t="shared" si="0"/>
        <v>MEDIUM</v>
      </c>
    </row>
    <row r="59" spans="1:3" x14ac:dyDescent="0.3">
      <c r="A59" s="21" t="s">
        <v>717</v>
      </c>
      <c r="B59" s="22">
        <v>0.13333333333333333</v>
      </c>
      <c r="C59" t="str">
        <f t="shared" si="0"/>
        <v>LOW</v>
      </c>
    </row>
    <row r="60" spans="1:3" x14ac:dyDescent="0.3">
      <c r="A60" s="21" t="s">
        <v>714</v>
      </c>
      <c r="B60" s="22">
        <v>0.125</v>
      </c>
      <c r="C60" t="str">
        <f t="shared" si="0"/>
        <v>LOW</v>
      </c>
    </row>
    <row r="61" spans="1:3" x14ac:dyDescent="0.3">
      <c r="A61" s="21" t="s">
        <v>718</v>
      </c>
      <c r="B61" s="22">
        <v>0.125</v>
      </c>
      <c r="C61" t="str">
        <f t="shared" si="0"/>
        <v>LOW</v>
      </c>
    </row>
    <row r="62" spans="1:3" x14ac:dyDescent="0.3">
      <c r="A62" s="21" t="s">
        <v>715</v>
      </c>
      <c r="B62" s="22">
        <v>0.125</v>
      </c>
      <c r="C62" t="str">
        <f t="shared" si="0"/>
        <v>LOW</v>
      </c>
    </row>
    <row r="63" spans="1:3" x14ac:dyDescent="0.3">
      <c r="A63" s="21" t="s">
        <v>713</v>
      </c>
      <c r="B63" s="22">
        <v>0.1111111111111111</v>
      </c>
      <c r="C63" t="str">
        <f t="shared" si="0"/>
        <v>LOW</v>
      </c>
    </row>
    <row r="64" spans="1:3" x14ac:dyDescent="0.3">
      <c r="A64" s="21" t="s">
        <v>724</v>
      </c>
      <c r="B64" s="22">
        <v>0.1</v>
      </c>
      <c r="C64" t="str">
        <f t="shared" si="0"/>
        <v>LOW</v>
      </c>
    </row>
    <row r="65" spans="1:3" x14ac:dyDescent="0.3">
      <c r="A65" s="21" t="s">
        <v>720</v>
      </c>
      <c r="B65" s="22">
        <v>0.1</v>
      </c>
      <c r="C65" t="str">
        <f t="shared" si="0"/>
        <v>LOW</v>
      </c>
    </row>
    <row r="66" spans="1:3" x14ac:dyDescent="0.3">
      <c r="A66" s="21" t="s">
        <v>726</v>
      </c>
      <c r="B66" s="22">
        <v>9.0909090909090912E-2</v>
      </c>
      <c r="C66" t="str">
        <f t="shared" si="0"/>
        <v>LOW</v>
      </c>
    </row>
    <row r="67" spans="1:3" x14ac:dyDescent="0.3">
      <c r="A67" s="21" t="s">
        <v>722</v>
      </c>
      <c r="B67" s="22">
        <v>7.6923076923076927E-2</v>
      </c>
      <c r="C67" t="str">
        <f t="shared" si="0"/>
        <v>LOW</v>
      </c>
    </row>
    <row r="68" spans="1:3" x14ac:dyDescent="0.3">
      <c r="A68" s="21" t="s">
        <v>1423</v>
      </c>
      <c r="B68" s="22">
        <v>0</v>
      </c>
      <c r="C68" t="str">
        <f t="shared" si="0"/>
        <v>LOW</v>
      </c>
    </row>
    <row r="69" spans="1:3" x14ac:dyDescent="0.3">
      <c r="A69" s="21" t="s">
        <v>719</v>
      </c>
      <c r="B69" s="22">
        <v>0</v>
      </c>
      <c r="C69" t="str">
        <f t="shared" si="0"/>
        <v>LOW</v>
      </c>
    </row>
    <row r="70" spans="1:3" x14ac:dyDescent="0.3">
      <c r="A70" s="21" t="s">
        <v>721</v>
      </c>
      <c r="B70" s="22">
        <v>0</v>
      </c>
      <c r="C70" t="str">
        <f t="shared" ref="C70:C74" si="1">IF(B70&gt;0.3,"HIGH",IF(B70&gt;0.15,"MEDIUM","LOW"))</f>
        <v>LOW</v>
      </c>
    </row>
    <row r="71" spans="1:3" x14ac:dyDescent="0.3">
      <c r="A71" s="21" t="s">
        <v>716</v>
      </c>
      <c r="B71" s="22">
        <v>0</v>
      </c>
      <c r="C71" t="str">
        <f t="shared" si="1"/>
        <v>LOW</v>
      </c>
    </row>
    <row r="72" spans="1:3" x14ac:dyDescent="0.3">
      <c r="A72" s="18" t="s">
        <v>1462</v>
      </c>
      <c r="C72" t="str">
        <f t="shared" si="1"/>
        <v>LOW</v>
      </c>
    </row>
    <row r="73" spans="1:3" x14ac:dyDescent="0.3">
      <c r="A73" s="21" t="s">
        <v>1462</v>
      </c>
      <c r="C73" t="str">
        <f t="shared" si="1"/>
        <v>LOW</v>
      </c>
    </row>
    <row r="74" spans="1:3" x14ac:dyDescent="0.3">
      <c r="A74" s="18" t="s">
        <v>1463</v>
      </c>
      <c r="B74" s="22">
        <v>0.14240506329113925</v>
      </c>
      <c r="C74" t="str">
        <f t="shared" si="1"/>
        <v>LOW</v>
      </c>
    </row>
  </sheetData>
  <autoFilter ref="A3:B74"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B38"/>
  <sheetViews>
    <sheetView topLeftCell="A12" workbookViewId="0">
      <selection activeCell="A3" sqref="A3"/>
    </sheetView>
  </sheetViews>
  <sheetFormatPr defaultRowHeight="14.4" x14ac:dyDescent="0.3"/>
  <cols>
    <col min="1" max="1" width="12.5546875" bestFit="1" customWidth="1"/>
    <col min="2" max="2" width="15.44140625" bestFit="1" customWidth="1"/>
  </cols>
  <sheetData>
    <row r="3" spans="1:2" x14ac:dyDescent="0.3">
      <c r="A3" s="17" t="s">
        <v>1461</v>
      </c>
      <c r="B3" t="s">
        <v>1499</v>
      </c>
    </row>
    <row r="4" spans="1:2" x14ac:dyDescent="0.3">
      <c r="A4" s="18" t="s">
        <v>1465</v>
      </c>
      <c r="B4" s="19">
        <v>24</v>
      </c>
    </row>
    <row r="5" spans="1:2" x14ac:dyDescent="0.3">
      <c r="A5" s="18" t="s">
        <v>1466</v>
      </c>
      <c r="B5" s="19">
        <v>14</v>
      </c>
    </row>
    <row r="6" spans="1:2" x14ac:dyDescent="0.3">
      <c r="A6" s="18" t="s">
        <v>1467</v>
      </c>
      <c r="B6" s="19">
        <v>25</v>
      </c>
    </row>
    <row r="7" spans="1:2" x14ac:dyDescent="0.3">
      <c r="A7" s="18" t="s">
        <v>1468</v>
      </c>
      <c r="B7" s="19">
        <v>24</v>
      </c>
    </row>
    <row r="8" spans="1:2" x14ac:dyDescent="0.3">
      <c r="A8" s="18" t="s">
        <v>1469</v>
      </c>
      <c r="B8" s="19">
        <v>20</v>
      </c>
    </row>
    <row r="9" spans="1:2" x14ac:dyDescent="0.3">
      <c r="A9" s="18" t="s">
        <v>1470</v>
      </c>
      <c r="B9" s="19">
        <v>21</v>
      </c>
    </row>
    <row r="10" spans="1:2" x14ac:dyDescent="0.3">
      <c r="A10" s="18" t="s">
        <v>1471</v>
      </c>
      <c r="B10" s="19">
        <v>21</v>
      </c>
    </row>
    <row r="11" spans="1:2" x14ac:dyDescent="0.3">
      <c r="A11" s="18" t="s">
        <v>1472</v>
      </c>
      <c r="B11" s="19">
        <v>21</v>
      </c>
    </row>
    <row r="12" spans="1:2" x14ac:dyDescent="0.3">
      <c r="A12" s="18" t="s">
        <v>1473</v>
      </c>
      <c r="B12" s="19">
        <v>17</v>
      </c>
    </row>
    <row r="13" spans="1:2" x14ac:dyDescent="0.3">
      <c r="A13" s="18" t="s">
        <v>1474</v>
      </c>
      <c r="B13" s="19">
        <v>18</v>
      </c>
    </row>
    <row r="14" spans="1:2" x14ac:dyDescent="0.3">
      <c r="A14" s="18" t="s">
        <v>1475</v>
      </c>
      <c r="B14" s="19">
        <v>16</v>
      </c>
    </row>
    <row r="15" spans="1:2" x14ac:dyDescent="0.3">
      <c r="A15" s="18" t="s">
        <v>1476</v>
      </c>
      <c r="B15" s="19">
        <v>15</v>
      </c>
    </row>
    <row r="16" spans="1:2" x14ac:dyDescent="0.3">
      <c r="A16" s="18" t="s">
        <v>1477</v>
      </c>
      <c r="B16" s="19">
        <v>23</v>
      </c>
    </row>
    <row r="17" spans="1:2" x14ac:dyDescent="0.3">
      <c r="A17" s="18" t="s">
        <v>1478</v>
      </c>
      <c r="B17" s="19">
        <v>16</v>
      </c>
    </row>
    <row r="18" spans="1:2" x14ac:dyDescent="0.3">
      <c r="A18" s="18" t="s">
        <v>1479</v>
      </c>
      <c r="B18" s="19">
        <v>23</v>
      </c>
    </row>
    <row r="19" spans="1:2" x14ac:dyDescent="0.3">
      <c r="A19" s="18" t="s">
        <v>1480</v>
      </c>
      <c r="B19" s="19">
        <v>14</v>
      </c>
    </row>
    <row r="20" spans="1:2" x14ac:dyDescent="0.3">
      <c r="A20" s="18" t="s">
        <v>1481</v>
      </c>
      <c r="B20" s="19">
        <v>16</v>
      </c>
    </row>
    <row r="21" spans="1:2" x14ac:dyDescent="0.3">
      <c r="A21" s="18" t="s">
        <v>1482</v>
      </c>
      <c r="B21" s="19">
        <v>21</v>
      </c>
    </row>
    <row r="22" spans="1:2" x14ac:dyDescent="0.3">
      <c r="A22" s="18" t="s">
        <v>1483</v>
      </c>
      <c r="B22" s="19">
        <v>23</v>
      </c>
    </row>
    <row r="23" spans="1:2" x14ac:dyDescent="0.3">
      <c r="A23" s="18" t="s">
        <v>1484</v>
      </c>
      <c r="B23" s="19">
        <v>24</v>
      </c>
    </row>
    <row r="24" spans="1:2" x14ac:dyDescent="0.3">
      <c r="A24" s="18" t="s">
        <v>1485</v>
      </c>
      <c r="B24" s="19">
        <v>15</v>
      </c>
    </row>
    <row r="25" spans="1:2" x14ac:dyDescent="0.3">
      <c r="A25" s="18" t="s">
        <v>1486</v>
      </c>
      <c r="B25" s="19">
        <v>23</v>
      </c>
    </row>
    <row r="26" spans="1:2" x14ac:dyDescent="0.3">
      <c r="A26" s="18" t="s">
        <v>1487</v>
      </c>
      <c r="B26" s="19">
        <v>20</v>
      </c>
    </row>
    <row r="27" spans="1:2" x14ac:dyDescent="0.3">
      <c r="A27" s="18" t="s">
        <v>1488</v>
      </c>
      <c r="B27" s="19">
        <v>26</v>
      </c>
    </row>
    <row r="28" spans="1:2" x14ac:dyDescent="0.3">
      <c r="A28" s="18" t="s">
        <v>1489</v>
      </c>
      <c r="B28" s="19">
        <v>23</v>
      </c>
    </row>
    <row r="29" spans="1:2" x14ac:dyDescent="0.3">
      <c r="A29" s="18" t="s">
        <v>1490</v>
      </c>
      <c r="B29" s="19">
        <v>18</v>
      </c>
    </row>
    <row r="30" spans="1:2" x14ac:dyDescent="0.3">
      <c r="A30" s="18" t="s">
        <v>1491</v>
      </c>
      <c r="B30" s="19">
        <v>10</v>
      </c>
    </row>
    <row r="31" spans="1:2" x14ac:dyDescent="0.3">
      <c r="A31" s="18" t="s">
        <v>1492</v>
      </c>
      <c r="B31" s="19">
        <v>20</v>
      </c>
    </row>
    <row r="32" spans="1:2" x14ac:dyDescent="0.3">
      <c r="A32" s="18" t="s">
        <v>1493</v>
      </c>
      <c r="B32" s="19">
        <v>18</v>
      </c>
    </row>
    <row r="33" spans="1:2" x14ac:dyDescent="0.3">
      <c r="A33" s="18" t="s">
        <v>1494</v>
      </c>
      <c r="B33" s="19">
        <v>21</v>
      </c>
    </row>
    <row r="34" spans="1:2" x14ac:dyDescent="0.3">
      <c r="A34" s="18" t="s">
        <v>1495</v>
      </c>
      <c r="B34" s="19">
        <v>12</v>
      </c>
    </row>
    <row r="35" spans="1:2" x14ac:dyDescent="0.3">
      <c r="A35" s="18" t="s">
        <v>1496</v>
      </c>
      <c r="B35" s="19">
        <v>18</v>
      </c>
    </row>
    <row r="36" spans="1:2" x14ac:dyDescent="0.3">
      <c r="A36" s="18" t="s">
        <v>1497</v>
      </c>
      <c r="B36" s="19">
        <v>12</v>
      </c>
    </row>
    <row r="37" spans="1:2" x14ac:dyDescent="0.3">
      <c r="A37" s="18" t="s">
        <v>1462</v>
      </c>
      <c r="B37" s="19"/>
    </row>
    <row r="38" spans="1:2" x14ac:dyDescent="0.3">
      <c r="A38" s="18" t="s">
        <v>1463</v>
      </c>
      <c r="B38" s="19">
        <v>632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B5"/>
  <sheetViews>
    <sheetView topLeftCell="A2" zoomScale="76" workbookViewId="0">
      <selection activeCell="B3" sqref="B3"/>
    </sheetView>
  </sheetViews>
  <sheetFormatPr defaultRowHeight="14.4" x14ac:dyDescent="0.3"/>
  <cols>
    <col min="1" max="1" width="13.5546875" bestFit="1" customWidth="1"/>
    <col min="2" max="2" width="20.33203125" bestFit="1" customWidth="1"/>
  </cols>
  <sheetData>
    <row r="3" spans="1:2" x14ac:dyDescent="0.3">
      <c r="A3" s="17" t="s">
        <v>1461</v>
      </c>
      <c r="B3" t="s">
        <v>1498</v>
      </c>
    </row>
    <row r="4" spans="1:2" x14ac:dyDescent="0.3">
      <c r="A4" s="18" t="s">
        <v>1496</v>
      </c>
      <c r="B4" s="19">
        <v>347613.18767000007</v>
      </c>
    </row>
    <row r="5" spans="1:2" x14ac:dyDescent="0.3">
      <c r="A5" s="18" t="s">
        <v>1463</v>
      </c>
      <c r="B5" s="19">
        <v>347613.18767000007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zoomScale="58" workbookViewId="0">
      <selection activeCell="J49" sqref="J49"/>
    </sheetView>
  </sheetViews>
  <sheetFormatPr defaultRowHeight="14.4" x14ac:dyDescent="0.3"/>
  <cols>
    <col min="1" max="16384" width="8.88671875" style="32"/>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67"/>
  <sheetViews>
    <sheetView tabSelected="1" topLeftCell="A39" zoomScale="85" zoomScaleNormal="85" workbookViewId="0">
      <selection activeCell="D71" sqref="D71"/>
    </sheetView>
  </sheetViews>
  <sheetFormatPr defaultRowHeight="14.4" x14ac:dyDescent="0.3"/>
  <sheetData>
    <row r="1" spans="1:1" x14ac:dyDescent="0.3">
      <c r="A1" s="1" t="s">
        <v>1364</v>
      </c>
    </row>
    <row r="2" spans="1:1" x14ac:dyDescent="0.3">
      <c r="A2" t="s">
        <v>1365</v>
      </c>
    </row>
    <row r="4" spans="1:1" x14ac:dyDescent="0.3">
      <c r="A4" t="s">
        <v>1366</v>
      </c>
    </row>
    <row r="5" spans="1:1" x14ac:dyDescent="0.3">
      <c r="A5" t="s">
        <v>1367</v>
      </c>
    </row>
    <row r="6" spans="1:1" x14ac:dyDescent="0.3">
      <c r="A6" t="s">
        <v>1368</v>
      </c>
    </row>
    <row r="8" spans="1:1" x14ac:dyDescent="0.3">
      <c r="A8" t="s">
        <v>1369</v>
      </c>
    </row>
    <row r="9" spans="1:1" x14ac:dyDescent="0.3">
      <c r="A9" t="s">
        <v>1370</v>
      </c>
    </row>
    <row r="10" spans="1:1" x14ac:dyDescent="0.3">
      <c r="A10" t="s">
        <v>1371</v>
      </c>
    </row>
    <row r="11" spans="1:1" x14ac:dyDescent="0.3">
      <c r="A11" t="s">
        <v>1372</v>
      </c>
    </row>
    <row r="12" spans="1:1" x14ac:dyDescent="0.3">
      <c r="A12" t="s">
        <v>1373</v>
      </c>
    </row>
    <row r="13" spans="1:1" x14ac:dyDescent="0.3">
      <c r="A13" t="s">
        <v>1374</v>
      </c>
    </row>
    <row r="14" spans="1:1" x14ac:dyDescent="0.3">
      <c r="A14" t="s">
        <v>1375</v>
      </c>
    </row>
    <row r="15" spans="1:1" x14ac:dyDescent="0.3">
      <c r="A15" t="s">
        <v>1376</v>
      </c>
    </row>
    <row r="17" spans="1:1" x14ac:dyDescent="0.3">
      <c r="A17" t="s">
        <v>1377</v>
      </c>
    </row>
    <row r="18" spans="1:1" x14ac:dyDescent="0.3">
      <c r="A18" t="s">
        <v>1378</v>
      </c>
    </row>
    <row r="19" spans="1:1" x14ac:dyDescent="0.3">
      <c r="A19" t="s">
        <v>1379</v>
      </c>
    </row>
    <row r="20" spans="1:1" x14ac:dyDescent="0.3">
      <c r="A20" t="s">
        <v>1380</v>
      </c>
    </row>
    <row r="21" spans="1:1" x14ac:dyDescent="0.3">
      <c r="A21" t="s">
        <v>1381</v>
      </c>
    </row>
    <row r="23" spans="1:1" x14ac:dyDescent="0.3">
      <c r="A23" t="s">
        <v>1382</v>
      </c>
    </row>
    <row r="24" spans="1:1" x14ac:dyDescent="0.3">
      <c r="A24" t="s">
        <v>1383</v>
      </c>
    </row>
    <row r="25" spans="1:1" x14ac:dyDescent="0.3">
      <c r="A25" t="s">
        <v>1384</v>
      </c>
    </row>
    <row r="26" spans="1:1" x14ac:dyDescent="0.3">
      <c r="A26" t="s">
        <v>1385</v>
      </c>
    </row>
    <row r="27" spans="1:1" x14ac:dyDescent="0.3">
      <c r="A27" t="s">
        <v>1386</v>
      </c>
    </row>
    <row r="29" spans="1:1" x14ac:dyDescent="0.3">
      <c r="A29" t="s">
        <v>1387</v>
      </c>
    </row>
    <row r="30" spans="1:1" x14ac:dyDescent="0.3">
      <c r="A30" t="s">
        <v>1388</v>
      </c>
    </row>
    <row r="31" spans="1:1" s="20" customFormat="1" x14ac:dyDescent="0.3">
      <c r="A31" s="20" t="s">
        <v>1389</v>
      </c>
    </row>
    <row r="32" spans="1:1" x14ac:dyDescent="0.3">
      <c r="A32" t="s">
        <v>1390</v>
      </c>
    </row>
    <row r="33" spans="1:1" x14ac:dyDescent="0.3">
      <c r="A33" t="s">
        <v>1391</v>
      </c>
    </row>
    <row r="34" spans="1:1" x14ac:dyDescent="0.3">
      <c r="A34" t="s">
        <v>1392</v>
      </c>
    </row>
    <row r="35" spans="1:1" x14ac:dyDescent="0.3">
      <c r="A35" t="s">
        <v>1393</v>
      </c>
    </row>
    <row r="36" spans="1:1" x14ac:dyDescent="0.3">
      <c r="A36" t="s">
        <v>1394</v>
      </c>
    </row>
    <row r="37" spans="1:1" x14ac:dyDescent="0.3">
      <c r="A37" t="s">
        <v>1395</v>
      </c>
    </row>
    <row r="38" spans="1:1" x14ac:dyDescent="0.3">
      <c r="A38" t="s">
        <v>1396</v>
      </c>
    </row>
    <row r="39" spans="1:1" x14ac:dyDescent="0.3">
      <c r="A39" t="s">
        <v>1397</v>
      </c>
    </row>
    <row r="40" spans="1:1" x14ac:dyDescent="0.3">
      <c r="A40" t="s">
        <v>1398</v>
      </c>
    </row>
    <row r="41" spans="1:1" x14ac:dyDescent="0.3">
      <c r="A41" t="s">
        <v>1399</v>
      </c>
    </row>
    <row r="43" spans="1:1" x14ac:dyDescent="0.3">
      <c r="A43" t="s">
        <v>1400</v>
      </c>
    </row>
    <row r="44" spans="1:1" x14ac:dyDescent="0.3">
      <c r="A44" t="s">
        <v>1401</v>
      </c>
    </row>
    <row r="45" spans="1:1" x14ac:dyDescent="0.3">
      <c r="A45" t="s">
        <v>1402</v>
      </c>
    </row>
    <row r="46" spans="1:1" x14ac:dyDescent="0.3">
      <c r="A46" t="s">
        <v>1403</v>
      </c>
    </row>
    <row r="47" spans="1:1" x14ac:dyDescent="0.3">
      <c r="A47" t="s">
        <v>1404</v>
      </c>
    </row>
    <row r="48" spans="1:1" x14ac:dyDescent="0.3">
      <c r="A48" t="s">
        <v>1405</v>
      </c>
    </row>
    <row r="50" spans="1:1" x14ac:dyDescent="0.3">
      <c r="A50" t="s">
        <v>1406</v>
      </c>
    </row>
    <row r="51" spans="1:1" x14ac:dyDescent="0.3">
      <c r="A51" t="s">
        <v>1407</v>
      </c>
    </row>
    <row r="52" spans="1:1" x14ac:dyDescent="0.3">
      <c r="A52" t="s">
        <v>1408</v>
      </c>
    </row>
    <row r="53" spans="1:1" x14ac:dyDescent="0.3">
      <c r="A53" t="s">
        <v>1409</v>
      </c>
    </row>
    <row r="54" spans="1:1" x14ac:dyDescent="0.3">
      <c r="A54" t="s">
        <v>1410</v>
      </c>
    </row>
    <row r="55" spans="1:1" x14ac:dyDescent="0.3">
      <c r="A55" t="s">
        <v>1411</v>
      </c>
    </row>
    <row r="56" spans="1:1" x14ac:dyDescent="0.3">
      <c r="A56" t="s">
        <v>1412</v>
      </c>
    </row>
    <row r="57" spans="1:1" x14ac:dyDescent="0.3">
      <c r="A57" t="s">
        <v>1413</v>
      </c>
    </row>
    <row r="58" spans="1:1" x14ac:dyDescent="0.3">
      <c r="A58" t="s">
        <v>1414</v>
      </c>
    </row>
    <row r="59" spans="1:1" x14ac:dyDescent="0.3">
      <c r="A59" t="s">
        <v>1415</v>
      </c>
    </row>
    <row r="61" spans="1:1" x14ac:dyDescent="0.3">
      <c r="A61" t="s">
        <v>1416</v>
      </c>
    </row>
    <row r="62" spans="1:1" x14ac:dyDescent="0.3">
      <c r="A62" t="s">
        <v>1417</v>
      </c>
    </row>
    <row r="64" spans="1:1" x14ac:dyDescent="0.3">
      <c r="A64" t="s">
        <v>1418</v>
      </c>
    </row>
    <row r="65" spans="1:1" x14ac:dyDescent="0.3">
      <c r="A65" t="s">
        <v>1419</v>
      </c>
    </row>
    <row r="66" spans="1:1" x14ac:dyDescent="0.3">
      <c r="A66" t="s">
        <v>1420</v>
      </c>
    </row>
    <row r="67" spans="1:1" x14ac:dyDescent="0.3">
      <c r="A67" t="s">
        <v>1421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workbookViewId="0"/>
  </sheetViews>
  <sheetFormatPr defaultRowHeight="14.4" x14ac:dyDescent="0.3"/>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3:B5"/>
  <sheetViews>
    <sheetView workbookViewId="0">
      <selection activeCell="B1" sqref="B1:B1048576"/>
    </sheetView>
  </sheetViews>
  <sheetFormatPr defaultRowHeight="14.4" x14ac:dyDescent="0.3"/>
  <cols>
    <col min="1" max="1" width="12.5546875" bestFit="1" customWidth="1"/>
    <col min="2" max="2" width="19.5546875" bestFit="1" customWidth="1"/>
  </cols>
  <sheetData>
    <row r="3" spans="1:2" x14ac:dyDescent="0.3">
      <c r="A3" s="17" t="s">
        <v>1461</v>
      </c>
      <c r="B3" t="s">
        <v>1498</v>
      </c>
    </row>
    <row r="4" spans="1:2" x14ac:dyDescent="0.3">
      <c r="A4" s="18" t="s">
        <v>1496</v>
      </c>
      <c r="B4" s="19">
        <v>347613.18767000007</v>
      </c>
    </row>
    <row r="5" spans="1:2" x14ac:dyDescent="0.3">
      <c r="A5" s="18" t="s">
        <v>1463</v>
      </c>
      <c r="B5" s="19">
        <v>347613.18767000007</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3:G9"/>
  <sheetViews>
    <sheetView zoomScale="57" workbookViewId="0">
      <selection activeCell="A3" sqref="A3:I10"/>
    </sheetView>
  </sheetViews>
  <sheetFormatPr defaultRowHeight="14.4" x14ac:dyDescent="0.3"/>
  <cols>
    <col min="1" max="1" width="22.109375" bestFit="1" customWidth="1"/>
    <col min="2" max="2" width="21.5546875" bestFit="1" customWidth="1"/>
    <col min="3" max="3" width="16.88671875" customWidth="1"/>
    <col min="4" max="4" width="16.6640625" customWidth="1"/>
    <col min="5" max="7" width="16.88671875" customWidth="1"/>
    <col min="8" max="8" width="15.33203125" customWidth="1"/>
    <col min="9" max="9" width="16.88671875" bestFit="1" customWidth="1"/>
  </cols>
  <sheetData>
    <row r="3" spans="1:7" x14ac:dyDescent="0.3">
      <c r="A3" s="17" t="s">
        <v>1500</v>
      </c>
      <c r="B3" s="17" t="s">
        <v>1464</v>
      </c>
    </row>
    <row r="4" spans="1:7" x14ac:dyDescent="0.3">
      <c r="A4" s="17" t="s">
        <v>1461</v>
      </c>
      <c r="B4" t="s">
        <v>711</v>
      </c>
      <c r="C4" t="s">
        <v>710</v>
      </c>
      <c r="D4" t="s">
        <v>709</v>
      </c>
      <c r="E4" t="s">
        <v>708</v>
      </c>
      <c r="F4" t="s">
        <v>707</v>
      </c>
      <c r="G4" t="s">
        <v>1463</v>
      </c>
    </row>
    <row r="5" spans="1:7" x14ac:dyDescent="0.3">
      <c r="A5" s="18" t="s">
        <v>646</v>
      </c>
      <c r="B5" s="19">
        <v>903.68360000000007</v>
      </c>
      <c r="C5" s="19"/>
      <c r="D5" s="19">
        <v>2404.4722199999997</v>
      </c>
      <c r="E5" s="19"/>
      <c r="F5" s="19">
        <v>6995.9311299999954</v>
      </c>
      <c r="G5" s="19">
        <v>10304.086949999995</v>
      </c>
    </row>
    <row r="6" spans="1:7" x14ac:dyDescent="0.3">
      <c r="A6" s="18" t="s">
        <v>648</v>
      </c>
      <c r="B6" s="19">
        <v>20607.028059999997</v>
      </c>
      <c r="C6" s="19"/>
      <c r="D6" s="19"/>
      <c r="E6" s="19">
        <v>34086.702599999997</v>
      </c>
      <c r="F6" s="19">
        <v>12346.561240000001</v>
      </c>
      <c r="G6" s="19">
        <v>67040.291899999997</v>
      </c>
    </row>
    <row r="7" spans="1:7" x14ac:dyDescent="0.3">
      <c r="A7" s="18" t="s">
        <v>647</v>
      </c>
      <c r="B7" s="19">
        <v>11819.496389999997</v>
      </c>
      <c r="C7" s="19">
        <v>14529.414360000001</v>
      </c>
      <c r="D7" s="19"/>
      <c r="E7" s="19">
        <v>5307.8548499999997</v>
      </c>
      <c r="F7" s="19"/>
      <c r="G7" s="19">
        <v>31656.765599999995</v>
      </c>
    </row>
    <row r="8" spans="1:7" x14ac:dyDescent="0.3">
      <c r="A8" s="18" t="s">
        <v>649</v>
      </c>
      <c r="B8" s="19"/>
      <c r="C8" s="19"/>
      <c r="D8" s="19">
        <v>-5343.5467799999969</v>
      </c>
      <c r="E8" s="19"/>
      <c r="F8" s="19"/>
      <c r="G8" s="19">
        <v>-5343.5467799999969</v>
      </c>
    </row>
    <row r="9" spans="1:7" x14ac:dyDescent="0.3">
      <c r="A9" s="18" t="s">
        <v>1463</v>
      </c>
      <c r="B9" s="19">
        <v>33330.208049999994</v>
      </c>
      <c r="C9" s="19">
        <v>14529.414360000001</v>
      </c>
      <c r="D9" s="19">
        <v>-2939.0745599999973</v>
      </c>
      <c r="E9" s="19">
        <v>39394.557449999993</v>
      </c>
      <c r="F9" s="19">
        <v>19342.492369999996</v>
      </c>
      <c r="G9" s="19">
        <v>103657.59766999999</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3:B14"/>
  <sheetViews>
    <sheetView topLeftCell="C1" workbookViewId="0">
      <selection activeCell="A3" sqref="A3"/>
    </sheetView>
  </sheetViews>
  <sheetFormatPr defaultRowHeight="14.4" x14ac:dyDescent="0.3"/>
  <cols>
    <col min="1" max="1" width="12.5546875" bestFit="1" customWidth="1"/>
    <col min="2" max="2" width="19.5546875" bestFit="1" customWidth="1"/>
  </cols>
  <sheetData>
    <row r="3" spans="1:2" x14ac:dyDescent="0.3">
      <c r="A3" s="17" t="s">
        <v>1461</v>
      </c>
      <c r="B3" t="s">
        <v>1498</v>
      </c>
    </row>
    <row r="4" spans="1:2" x14ac:dyDescent="0.3">
      <c r="A4" s="18" t="s">
        <v>1058</v>
      </c>
      <c r="B4" s="19">
        <v>26015.449459999996</v>
      </c>
    </row>
    <row r="5" spans="1:2" x14ac:dyDescent="0.3">
      <c r="A5" s="18" t="s">
        <v>1315</v>
      </c>
      <c r="B5" s="19">
        <v>40563.321749999996</v>
      </c>
    </row>
    <row r="6" spans="1:2" x14ac:dyDescent="0.3">
      <c r="A6" s="18" t="s">
        <v>929</v>
      </c>
      <c r="B6" s="19">
        <v>31191.64716</v>
      </c>
    </row>
    <row r="7" spans="1:2" x14ac:dyDescent="0.3">
      <c r="A7" s="18" t="s">
        <v>1230</v>
      </c>
      <c r="B7" s="19">
        <v>25249.613219999999</v>
      </c>
    </row>
    <row r="8" spans="1:2" x14ac:dyDescent="0.3">
      <c r="A8" s="18" t="s">
        <v>1021</v>
      </c>
      <c r="B8" s="19">
        <v>20028.787380000002</v>
      </c>
    </row>
    <row r="9" spans="1:2" x14ac:dyDescent="0.3">
      <c r="A9" s="18" t="s">
        <v>883</v>
      </c>
      <c r="B9" s="19">
        <v>42495.805439999996</v>
      </c>
    </row>
    <row r="10" spans="1:2" x14ac:dyDescent="0.3">
      <c r="A10" s="18" t="s">
        <v>970</v>
      </c>
      <c r="B10" s="19">
        <v>37038.581760000001</v>
      </c>
    </row>
    <row r="11" spans="1:2" x14ac:dyDescent="0.3">
      <c r="A11" s="18" t="s">
        <v>953</v>
      </c>
      <c r="B11" s="19">
        <v>28211.92124</v>
      </c>
    </row>
    <row r="12" spans="1:2" x14ac:dyDescent="0.3">
      <c r="A12" s="18" t="s">
        <v>942</v>
      </c>
      <c r="B12" s="19">
        <v>15825.399369999997</v>
      </c>
    </row>
    <row r="13" spans="1:2" x14ac:dyDescent="0.3">
      <c r="A13" s="18" t="s">
        <v>1177</v>
      </c>
      <c r="B13" s="19">
        <v>21664.440000000002</v>
      </c>
    </row>
    <row r="14" spans="1:2" x14ac:dyDescent="0.3">
      <c r="A14" s="18" t="s">
        <v>1463</v>
      </c>
      <c r="B14" s="19">
        <v>288284.96677999996</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3:B22"/>
  <sheetViews>
    <sheetView zoomScale="78" workbookViewId="0">
      <selection activeCell="B1" sqref="B1:B1048576"/>
    </sheetView>
  </sheetViews>
  <sheetFormatPr defaultRowHeight="14.4" x14ac:dyDescent="0.3"/>
  <cols>
    <col min="1" max="1" width="13.21875" bestFit="1" customWidth="1"/>
    <col min="2" max="2" width="26.6640625" bestFit="1" customWidth="1"/>
  </cols>
  <sheetData>
    <row r="3" spans="1:2" x14ac:dyDescent="0.3">
      <c r="A3" s="17" t="s">
        <v>1461</v>
      </c>
      <c r="B3" t="s">
        <v>1539</v>
      </c>
    </row>
    <row r="4" spans="1:2" x14ac:dyDescent="0.3">
      <c r="A4" s="18" t="s">
        <v>1058</v>
      </c>
      <c r="B4" s="19">
        <v>5.0999999999999997E-2</v>
      </c>
    </row>
    <row r="5" spans="1:2" x14ac:dyDescent="0.3">
      <c r="A5" s="18" t="s">
        <v>984</v>
      </c>
      <c r="B5" s="19">
        <v>0.14299999999999999</v>
      </c>
    </row>
    <row r="6" spans="1:2" x14ac:dyDescent="0.3">
      <c r="A6" s="18" t="s">
        <v>1315</v>
      </c>
      <c r="B6" s="19">
        <v>0.16300000000000001</v>
      </c>
    </row>
    <row r="7" spans="1:2" x14ac:dyDescent="0.3">
      <c r="A7" s="18" t="s">
        <v>838</v>
      </c>
      <c r="B7" s="19">
        <v>0.16900000000000001</v>
      </c>
    </row>
    <row r="8" spans="1:2" x14ac:dyDescent="0.3">
      <c r="A8" s="18" t="s">
        <v>1132</v>
      </c>
      <c r="B8" s="19">
        <v>0.122</v>
      </c>
    </row>
    <row r="9" spans="1:2" x14ac:dyDescent="0.3">
      <c r="A9" s="18" t="s">
        <v>967</v>
      </c>
      <c r="B9" s="19">
        <v>0.187</v>
      </c>
    </row>
    <row r="10" spans="1:2" x14ac:dyDescent="0.3">
      <c r="A10" s="18" t="s">
        <v>929</v>
      </c>
      <c r="B10" s="19">
        <v>0.159</v>
      </c>
    </row>
    <row r="11" spans="1:2" x14ac:dyDescent="0.3">
      <c r="A11" s="18" t="s">
        <v>1230</v>
      </c>
      <c r="B11" s="19">
        <v>4.2000000000000003E-2</v>
      </c>
    </row>
    <row r="12" spans="1:2" x14ac:dyDescent="0.3">
      <c r="A12" s="18" t="s">
        <v>1167</v>
      </c>
      <c r="B12" s="19">
        <v>0.214</v>
      </c>
    </row>
    <row r="13" spans="1:2" x14ac:dyDescent="0.3">
      <c r="A13" s="18" t="s">
        <v>1021</v>
      </c>
      <c r="B13" s="19">
        <v>0.13400000000000001</v>
      </c>
    </row>
    <row r="14" spans="1:2" x14ac:dyDescent="0.3">
      <c r="A14" s="18" t="s">
        <v>883</v>
      </c>
      <c r="B14" s="19">
        <v>2.1000000000000001E-2</v>
      </c>
    </row>
    <row r="15" spans="1:2" x14ac:dyDescent="0.3">
      <c r="A15" s="18" t="s">
        <v>970</v>
      </c>
      <c r="B15" s="19">
        <v>0.126</v>
      </c>
    </row>
    <row r="16" spans="1:2" x14ac:dyDescent="0.3">
      <c r="A16" s="18" t="s">
        <v>966</v>
      </c>
      <c r="B16" s="19">
        <v>0.11600000000000001</v>
      </c>
    </row>
    <row r="17" spans="1:2" x14ac:dyDescent="0.3">
      <c r="A17" s="18" t="s">
        <v>953</v>
      </c>
      <c r="B17" s="19">
        <v>0.26600000000000001</v>
      </c>
    </row>
    <row r="18" spans="1:2" x14ac:dyDescent="0.3">
      <c r="A18" s="18" t="s">
        <v>946</v>
      </c>
      <c r="B18" s="19">
        <v>0.128</v>
      </c>
    </row>
    <row r="19" spans="1:2" x14ac:dyDescent="0.3">
      <c r="A19" s="18" t="s">
        <v>1214</v>
      </c>
      <c r="B19" s="19">
        <v>9.0999999999999998E-2</v>
      </c>
    </row>
    <row r="20" spans="1:2" x14ac:dyDescent="0.3">
      <c r="A20" s="18" t="s">
        <v>942</v>
      </c>
      <c r="B20" s="19">
        <v>0.20300000000000001</v>
      </c>
    </row>
    <row r="21" spans="1:2" x14ac:dyDescent="0.3">
      <c r="A21" s="18" t="s">
        <v>1177</v>
      </c>
      <c r="B21" s="19">
        <v>0</v>
      </c>
    </row>
    <row r="22" spans="1:2" x14ac:dyDescent="0.3">
      <c r="A22" s="18" t="s">
        <v>1463</v>
      </c>
      <c r="B22" s="19">
        <v>0.12972222222222221</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8"/>
  <sheetViews>
    <sheetView workbookViewId="0">
      <selection activeCell="H20" sqref="H20"/>
    </sheetView>
  </sheetViews>
  <sheetFormatPr defaultRowHeight="14.4" x14ac:dyDescent="0.3"/>
  <sheetData>
    <row r="1" spans="1:1" ht="18" x14ac:dyDescent="0.3">
      <c r="A1" s="9" t="s">
        <v>1540</v>
      </c>
    </row>
    <row r="2" spans="1:1" x14ac:dyDescent="0.3">
      <c r="A2" s="13"/>
    </row>
    <row r="3" spans="1:1" x14ac:dyDescent="0.3">
      <c r="A3" s="14" t="s">
        <v>1541</v>
      </c>
    </row>
    <row r="4" spans="1:1" x14ac:dyDescent="0.3">
      <c r="A4" s="14" t="s">
        <v>1542</v>
      </c>
    </row>
    <row r="5" spans="1:1" x14ac:dyDescent="0.3">
      <c r="A5" s="14" t="s">
        <v>1543</v>
      </c>
    </row>
    <row r="6" spans="1:1" x14ac:dyDescent="0.3">
      <c r="A6" s="14" t="s">
        <v>1544</v>
      </c>
    </row>
    <row r="7" spans="1:1" x14ac:dyDescent="0.3">
      <c r="A7" s="14" t="s">
        <v>1545</v>
      </c>
    </row>
    <row r="8" spans="1:1" x14ac:dyDescent="0.3">
      <c r="A8" s="14" t="s">
        <v>1546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20"/>
  <sheetViews>
    <sheetView workbookViewId="0"/>
  </sheetViews>
  <sheetFormatPr defaultRowHeight="14.4" x14ac:dyDescent="0.3"/>
  <cols>
    <col min="1" max="1" width="12.5546875" bestFit="1" customWidth="1"/>
    <col min="2" max="2" width="26.6640625" bestFit="1" customWidth="1"/>
  </cols>
  <sheetData>
    <row r="1" spans="1:2" x14ac:dyDescent="0.3">
      <c r="A1" s="17" t="s">
        <v>1461</v>
      </c>
      <c r="B1" t="s">
        <v>1539</v>
      </c>
    </row>
    <row r="2" spans="1:2" x14ac:dyDescent="0.3">
      <c r="A2" s="18" t="s">
        <v>1058</v>
      </c>
      <c r="B2" s="19">
        <v>5.0999999999999997E-2</v>
      </c>
    </row>
    <row r="3" spans="1:2" x14ac:dyDescent="0.3">
      <c r="A3" s="18" t="s">
        <v>984</v>
      </c>
      <c r="B3" s="19">
        <v>0.14299999999999999</v>
      </c>
    </row>
    <row r="4" spans="1:2" x14ac:dyDescent="0.3">
      <c r="A4" s="18" t="s">
        <v>1315</v>
      </c>
      <c r="B4" s="19">
        <v>0.16300000000000001</v>
      </c>
    </row>
    <row r="5" spans="1:2" x14ac:dyDescent="0.3">
      <c r="A5" s="18" t="s">
        <v>838</v>
      </c>
      <c r="B5" s="19">
        <v>0.16900000000000001</v>
      </c>
    </row>
    <row r="6" spans="1:2" x14ac:dyDescent="0.3">
      <c r="A6" s="18" t="s">
        <v>1132</v>
      </c>
      <c r="B6" s="19">
        <v>0.122</v>
      </c>
    </row>
    <row r="7" spans="1:2" x14ac:dyDescent="0.3">
      <c r="A7" s="18" t="s">
        <v>967</v>
      </c>
      <c r="B7" s="19">
        <v>0.187</v>
      </c>
    </row>
    <row r="8" spans="1:2" x14ac:dyDescent="0.3">
      <c r="A8" s="18" t="s">
        <v>929</v>
      </c>
      <c r="B8" s="19">
        <v>0.159</v>
      </c>
    </row>
    <row r="9" spans="1:2" x14ac:dyDescent="0.3">
      <c r="A9" s="18" t="s">
        <v>1230</v>
      </c>
      <c r="B9" s="19">
        <v>4.2000000000000003E-2</v>
      </c>
    </row>
    <row r="10" spans="1:2" x14ac:dyDescent="0.3">
      <c r="A10" s="18" t="s">
        <v>1167</v>
      </c>
      <c r="B10" s="19">
        <v>0.214</v>
      </c>
    </row>
    <row r="11" spans="1:2" x14ac:dyDescent="0.3">
      <c r="A11" s="18" t="s">
        <v>1021</v>
      </c>
      <c r="B11" s="19">
        <v>0.13400000000000001</v>
      </c>
    </row>
    <row r="12" spans="1:2" x14ac:dyDescent="0.3">
      <c r="A12" s="18" t="s">
        <v>883</v>
      </c>
      <c r="B12" s="19">
        <v>2.1000000000000001E-2</v>
      </c>
    </row>
    <row r="13" spans="1:2" x14ac:dyDescent="0.3">
      <c r="A13" s="18" t="s">
        <v>970</v>
      </c>
      <c r="B13" s="19">
        <v>0.126</v>
      </c>
    </row>
    <row r="14" spans="1:2" x14ac:dyDescent="0.3">
      <c r="A14" s="18" t="s">
        <v>966</v>
      </c>
      <c r="B14" s="19">
        <v>0.11600000000000001</v>
      </c>
    </row>
    <row r="15" spans="1:2" x14ac:dyDescent="0.3">
      <c r="A15" s="18" t="s">
        <v>953</v>
      </c>
      <c r="B15" s="19">
        <v>0.26600000000000001</v>
      </c>
    </row>
    <row r="16" spans="1:2" x14ac:dyDescent="0.3">
      <c r="A16" s="18" t="s">
        <v>946</v>
      </c>
      <c r="B16" s="19">
        <v>0.128</v>
      </c>
    </row>
    <row r="17" spans="1:2" x14ac:dyDescent="0.3">
      <c r="A17" s="18" t="s">
        <v>1214</v>
      </c>
      <c r="B17" s="19">
        <v>9.0999999999999998E-2</v>
      </c>
    </row>
    <row r="18" spans="1:2" x14ac:dyDescent="0.3">
      <c r="A18" s="18" t="s">
        <v>942</v>
      </c>
      <c r="B18" s="19">
        <v>0.20300000000000001</v>
      </c>
    </row>
    <row r="19" spans="1:2" x14ac:dyDescent="0.3">
      <c r="A19" s="18" t="s">
        <v>1177</v>
      </c>
      <c r="B19" s="19">
        <v>0</v>
      </c>
    </row>
    <row r="20" spans="1:2" x14ac:dyDescent="0.3">
      <c r="A20" s="18" t="s">
        <v>1463</v>
      </c>
      <c r="B20" s="19">
        <v>0.12972222222222221</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N634"/>
  <sheetViews>
    <sheetView zoomScale="53" zoomScaleNormal="55" workbookViewId="0">
      <selection activeCell="T8" sqref="T8"/>
    </sheetView>
  </sheetViews>
  <sheetFormatPr defaultColWidth="27.109375" defaultRowHeight="14.4" x14ac:dyDescent="0.3"/>
  <cols>
    <col min="2" max="6" width="27.109375" style="3"/>
    <col min="7" max="8" width="27.109375" style="12"/>
    <col min="19" max="27" width="27.109375" style="5"/>
    <col min="37" max="37" width="34" customWidth="1"/>
  </cols>
  <sheetData>
    <row r="1" spans="1:40" x14ac:dyDescent="0.3">
      <c r="A1" s="1" t="s">
        <v>0</v>
      </c>
      <c r="B1" s="2" t="s">
        <v>1</v>
      </c>
      <c r="C1" s="10" t="s">
        <v>1453</v>
      </c>
      <c r="D1" s="10" t="s">
        <v>1454</v>
      </c>
      <c r="E1" s="2" t="s">
        <v>2</v>
      </c>
      <c r="F1" s="2" t="s">
        <v>1440</v>
      </c>
      <c r="G1" s="11" t="s">
        <v>1449</v>
      </c>
      <c r="H1" s="11" t="s">
        <v>1459</v>
      </c>
      <c r="I1" s="1" t="s">
        <v>3</v>
      </c>
      <c r="J1" s="1" t="s">
        <v>1455</v>
      </c>
      <c r="K1" s="1" t="s">
        <v>1460</v>
      </c>
      <c r="L1" s="1" t="s">
        <v>4</v>
      </c>
      <c r="M1" s="1" t="s">
        <v>5</v>
      </c>
      <c r="N1" s="1" t="s">
        <v>6</v>
      </c>
      <c r="O1" s="1" t="s">
        <v>7</v>
      </c>
      <c r="P1" s="1" t="s">
        <v>8</v>
      </c>
      <c r="Q1" s="1" t="s">
        <v>9</v>
      </c>
      <c r="R1" s="1" t="s">
        <v>10</v>
      </c>
      <c r="S1" s="4" t="s">
        <v>11</v>
      </c>
      <c r="T1" s="4" t="s">
        <v>12</v>
      </c>
      <c r="U1" s="4" t="s">
        <v>1456</v>
      </c>
      <c r="V1" s="4" t="s">
        <v>1509</v>
      </c>
      <c r="W1" s="4" t="s">
        <v>1457</v>
      </c>
      <c r="X1" s="4" t="s">
        <v>13</v>
      </c>
      <c r="Y1" s="4" t="s">
        <v>1438</v>
      </c>
      <c r="Z1" s="4" t="s">
        <v>1439</v>
      </c>
      <c r="AA1" s="4" t="s">
        <v>14</v>
      </c>
      <c r="AB1" s="8" t="s">
        <v>1450</v>
      </c>
      <c r="AC1" s="8" t="s">
        <v>1451</v>
      </c>
      <c r="AD1" s="8" t="s">
        <v>1452</v>
      </c>
      <c r="AE1" s="8" t="s">
        <v>1510</v>
      </c>
      <c r="AF1" s="10" t="s">
        <v>1503</v>
      </c>
      <c r="AG1" s="10" t="s">
        <v>1505</v>
      </c>
      <c r="AK1" s="10" t="s">
        <v>1518</v>
      </c>
      <c r="AL1" s="10" t="s">
        <v>1519</v>
      </c>
      <c r="AM1" s="10" t="s">
        <v>1520</v>
      </c>
      <c r="AN1" s="10" t="s">
        <v>1521</v>
      </c>
    </row>
    <row r="2" spans="1:40" x14ac:dyDescent="0.3">
      <c r="A2" t="s">
        <v>15</v>
      </c>
      <c r="B2" s="3">
        <v>45362</v>
      </c>
      <c r="C2" s="3" t="str">
        <f>TEXT(B2,"mmm-yyyy")</f>
        <v>Mar-2024</v>
      </c>
      <c r="D2" s="3" t="str">
        <f>"Q" &amp; ROUNDUP(MONTH(B2)/3,0) &amp; "-" &amp; YEAR(B2)</f>
        <v>Q1-2024</v>
      </c>
      <c r="E2" s="3">
        <v>45388</v>
      </c>
      <c r="F2" s="3" t="str">
        <f>IF(E2&lt;B2,"Invalid RequiredDate","Valid")</f>
        <v>Valid</v>
      </c>
      <c r="G2" s="12">
        <f>MEDIAN($E$2:$E$633-$B$2:$B$633)</f>
        <v>26</v>
      </c>
      <c r="H2" s="3">
        <f>IF(E2&lt;B2,B2+$G$2,E2)</f>
        <v>45388</v>
      </c>
      <c r="I2" t="s">
        <v>646</v>
      </c>
      <c r="J2" t="str">
        <f>I2 &amp; " → " &amp; L2 &amp; " → " &amp; M2</f>
        <v>Africa → Kenya → Kisumu</v>
      </c>
      <c r="K2" s="3" t="str">
        <f>L2 &amp; "-" &amp; TEXT(C2,"YYYY-MM")</f>
        <v>Kenya-2024-03</v>
      </c>
      <c r="L2" t="s">
        <v>650</v>
      </c>
      <c r="M2" t="s">
        <v>662</v>
      </c>
      <c r="N2" t="s">
        <v>701</v>
      </c>
      <c r="O2" t="s">
        <v>707</v>
      </c>
      <c r="P2" t="s">
        <v>712</v>
      </c>
      <c r="Q2" t="s">
        <v>727</v>
      </c>
      <c r="R2" t="s">
        <v>734</v>
      </c>
      <c r="S2" s="5">
        <v>279.24</v>
      </c>
      <c r="T2" s="5">
        <v>608.9</v>
      </c>
      <c r="U2" s="5" t="str">
        <f>IF(T2&lt;0,"Invalid Price","Valid")</f>
        <v>Valid</v>
      </c>
      <c r="V2" s="5">
        <f t="shared" ref="V2:V65" si="0">IF(T2&lt;0,AVERAGEIF($Q$2:$Q$633,Q2,$T$2:$T$633),T2)</f>
        <v>608.9</v>
      </c>
      <c r="W2" s="5" t="str">
        <f>IF(V2&lt;=616.86,"Low",IF(V2&lt;1912.05,"Medium","High"))</f>
        <v>Low</v>
      </c>
      <c r="X2" s="5">
        <v>0.112</v>
      </c>
      <c r="Y2" s="5" t="str">
        <f>IF(X2&gt;30%,"High Discount","Valid")</f>
        <v>Valid</v>
      </c>
      <c r="Z2" s="5">
        <f>IF(X2&gt;30%,30%,X2)</f>
        <v>0.112</v>
      </c>
      <c r="AA2" s="5">
        <v>9</v>
      </c>
      <c r="AB2">
        <f>V2 * AA2 * (1 - Z2)</f>
        <v>4866.3287999999993</v>
      </c>
      <c r="AC2">
        <f t="shared" ref="AC2:AC65" si="1">S2*AA2</f>
        <v>2513.16</v>
      </c>
      <c r="AD2">
        <f>AB2-AC2</f>
        <v>2353.1687999999995</v>
      </c>
      <c r="AE2">
        <f>IF(AB2=0, 0, AD2 / AB2)</f>
        <v>0.48356140670149533</v>
      </c>
      <c r="AF2">
        <f>IF(G2&lt;=7,1,0)</f>
        <v>0</v>
      </c>
      <c r="AG2">
        <f>IF(Z2&gt;20%,1,0)</f>
        <v>0</v>
      </c>
      <c r="AK2">
        <f>AA2*(1+What_if_Analysis!$B$4)</f>
        <v>10.799999999999999</v>
      </c>
      <c r="AL2" s="5">
        <f>MIN(Z2,What_if_Analysis!$B$2)</f>
        <v>0.05</v>
      </c>
      <c r="AM2">
        <f>AK2*V2*(1-AL2)</f>
        <v>6247.3139999999985</v>
      </c>
      <c r="AN2">
        <f>AM2-(AK2*(T2*(1+What_if_Analysis!$B$3)))</f>
        <v>-986.41800000000148</v>
      </c>
    </row>
    <row r="3" spans="1:40" x14ac:dyDescent="0.3">
      <c r="A3" t="s">
        <v>16</v>
      </c>
      <c r="B3" s="3">
        <v>45588</v>
      </c>
      <c r="C3" s="3" t="str">
        <f t="shared" ref="C3:C66" si="2">TEXT(B3,"mmm-yyyy")</f>
        <v>Oct-2024</v>
      </c>
      <c r="D3" s="3" t="str">
        <f t="shared" ref="D3:D66" si="3">"Q" &amp; ROUNDUP(MONTH(B3)/3,0) &amp; "-" &amp; YEAR(B3)</f>
        <v>Q4-2024</v>
      </c>
      <c r="E3" s="3">
        <v>45587</v>
      </c>
      <c r="F3" s="3" t="str">
        <f t="shared" ref="F3:F66" si="4">IF(E3&lt;B3,"Invalid RequiredDate","Valid")</f>
        <v>Invalid RequiredDate</v>
      </c>
      <c r="G3" s="12">
        <f t="shared" ref="G3:G66" si="5">MEDIAN($E$2:$E$633-$B$2:$B$633)</f>
        <v>-1</v>
      </c>
      <c r="H3" s="3">
        <f t="shared" ref="H3:H66" si="6">IF(E3&lt;B3,B3+$G$2,E3)</f>
        <v>45614</v>
      </c>
      <c r="I3" t="s">
        <v>646</v>
      </c>
      <c r="J3" t="str">
        <f t="shared" ref="J3:J66" si="7">I3 &amp; " → " &amp; L3 &amp; " → " &amp; M3</f>
        <v>Africa → Nigeria → Port Harcourt</v>
      </c>
      <c r="K3" s="3" t="str">
        <f t="shared" ref="K3:K66" si="8">L3 &amp; "-" &amp; TEXT(C3,"YYYY-MM")</f>
        <v>Nigeria-2024-10</v>
      </c>
      <c r="L3" t="s">
        <v>651</v>
      </c>
      <c r="M3" t="s">
        <v>663</v>
      </c>
      <c r="N3" t="s">
        <v>702</v>
      </c>
      <c r="O3" t="s">
        <v>708</v>
      </c>
      <c r="P3" t="s">
        <v>713</v>
      </c>
      <c r="Q3" t="s">
        <v>728</v>
      </c>
      <c r="R3" t="s">
        <v>735</v>
      </c>
      <c r="S3" s="5">
        <v>1084.3900000000001</v>
      </c>
      <c r="T3" s="5">
        <v>759.33</v>
      </c>
      <c r="U3" s="5" t="str">
        <f t="shared" ref="U3:U66" si="9">IF(T3&lt;0,"Invalid Price","Valid")</f>
        <v>Valid</v>
      </c>
      <c r="V3" s="5">
        <f t="shared" si="0"/>
        <v>759.33</v>
      </c>
      <c r="W3" s="5" t="str">
        <f t="shared" ref="W3:W66" si="10">IF(V3&lt;=616.86,"Low",IF(V3&lt;1912.05,"Medium","High"))</f>
        <v>Medium</v>
      </c>
      <c r="X3" s="5">
        <v>0.23699999999999999</v>
      </c>
      <c r="Y3" s="5" t="str">
        <f t="shared" ref="Y3:Y66" si="11">IF(X3&gt;30%,"High Discount","Valid")</f>
        <v>Valid</v>
      </c>
      <c r="Z3" s="5">
        <f t="shared" ref="Z3:Z66" si="12">IF(X3&gt;30%,30%,X3)</f>
        <v>0.23699999999999999</v>
      </c>
      <c r="AA3" s="5">
        <v>31</v>
      </c>
      <c r="AB3">
        <f t="shared" ref="AB3:AB66" si="13">V3 * AA3 * (1 - Z3)</f>
        <v>17960.432489999999</v>
      </c>
      <c r="AC3">
        <f t="shared" si="1"/>
        <v>33616.090000000004</v>
      </c>
      <c r="AD3">
        <f t="shared" ref="AD3:AD66" si="14">AB3-AC3</f>
        <v>-15655.657510000005</v>
      </c>
      <c r="AE3">
        <f t="shared" ref="AE3:AE66" si="15">IF(AB3=0, 0, AD3 / AB3)</f>
        <v>-0.87167486187856302</v>
      </c>
      <c r="AF3">
        <f t="shared" ref="AF3:AF66" si="16">IF(G3&lt;=7,1,0)</f>
        <v>1</v>
      </c>
      <c r="AG3">
        <f t="shared" ref="AG3:AG66" si="17">IF(Z3&gt;20%,1,0)</f>
        <v>1</v>
      </c>
      <c r="AK3">
        <f>AA3*(1+What_if_Analysis!$B$4)</f>
        <v>37.199999999999996</v>
      </c>
      <c r="AL3" s="5">
        <f>MIN(Z3,What_if_Analysis!$B$2)</f>
        <v>0.05</v>
      </c>
      <c r="AM3">
        <f t="shared" ref="AM3:AM66" si="18">AK3*V3*(1-AL3)</f>
        <v>26834.722199999997</v>
      </c>
      <c r="AN3">
        <f>AM3-(AK3*(T3*(1+What_if_Analysis!$B$3)))</f>
        <v>-4237.061400000006</v>
      </c>
    </row>
    <row r="4" spans="1:40" x14ac:dyDescent="0.3">
      <c r="A4" t="s">
        <v>17</v>
      </c>
      <c r="B4" s="3">
        <v>44985</v>
      </c>
      <c r="C4" s="3" t="str">
        <f t="shared" si="2"/>
        <v>Feb-2023</v>
      </c>
      <c r="D4" s="3" t="str">
        <f t="shared" si="3"/>
        <v>Q1-2023</v>
      </c>
      <c r="E4" s="3">
        <v>45010</v>
      </c>
      <c r="F4" s="3" t="str">
        <f t="shared" si="4"/>
        <v>Valid</v>
      </c>
      <c r="G4" s="12">
        <f t="shared" si="5"/>
        <v>25</v>
      </c>
      <c r="H4" s="3">
        <f t="shared" si="6"/>
        <v>45010</v>
      </c>
      <c r="I4" t="s">
        <v>646</v>
      </c>
      <c r="J4" t="str">
        <f t="shared" si="7"/>
        <v>Africa → Kenya → Nairobi</v>
      </c>
      <c r="K4" s="3" t="str">
        <f t="shared" si="8"/>
        <v>Kenya-2023-02</v>
      </c>
      <c r="L4" t="s">
        <v>650</v>
      </c>
      <c r="M4" t="s">
        <v>664</v>
      </c>
      <c r="N4" t="s">
        <v>701</v>
      </c>
      <c r="O4" t="s">
        <v>707</v>
      </c>
      <c r="P4" t="s">
        <v>714</v>
      </c>
      <c r="Q4" t="s">
        <v>729</v>
      </c>
      <c r="R4" t="s">
        <v>736</v>
      </c>
      <c r="S4" s="5">
        <v>1460.76</v>
      </c>
      <c r="T4" s="5">
        <v>-30.66</v>
      </c>
      <c r="U4" s="5" t="str">
        <f t="shared" si="9"/>
        <v>Invalid Price</v>
      </c>
      <c r="V4" s="5">
        <f t="shared" si="0"/>
        <v>1445.2723255813949</v>
      </c>
      <c r="W4" s="5" t="str">
        <f t="shared" si="10"/>
        <v>Medium</v>
      </c>
      <c r="X4" s="5">
        <v>0.13100000000000001</v>
      </c>
      <c r="Y4" s="5" t="str">
        <f t="shared" si="11"/>
        <v>Valid</v>
      </c>
      <c r="Z4" s="5">
        <f t="shared" si="12"/>
        <v>0.13100000000000001</v>
      </c>
      <c r="AA4" s="5">
        <v>12</v>
      </c>
      <c r="AB4">
        <f t="shared" si="13"/>
        <v>15071.299811162788</v>
      </c>
      <c r="AC4">
        <f t="shared" si="1"/>
        <v>17529.12</v>
      </c>
      <c r="AD4">
        <f t="shared" si="14"/>
        <v>-2457.8201888372114</v>
      </c>
      <c r="AE4">
        <f t="shared" si="15"/>
        <v>-0.16307951003779975</v>
      </c>
      <c r="AF4">
        <f t="shared" si="16"/>
        <v>0</v>
      </c>
      <c r="AG4">
        <f t="shared" si="17"/>
        <v>0</v>
      </c>
      <c r="AK4">
        <f>AA4*(1+What_if_Analysis!$B$4)</f>
        <v>14.399999999999999</v>
      </c>
      <c r="AL4" s="5">
        <f>MIN(Z4,What_if_Analysis!$B$2)</f>
        <v>0.05</v>
      </c>
      <c r="AM4">
        <f t="shared" si="18"/>
        <v>19771.32541395348</v>
      </c>
      <c r="AN4">
        <f>AM4-(AK4*(T4*(1+What_if_Analysis!$B$3)))</f>
        <v>20256.97981395348</v>
      </c>
    </row>
    <row r="5" spans="1:40" x14ac:dyDescent="0.3">
      <c r="A5" t="s">
        <v>18</v>
      </c>
      <c r="B5" s="3">
        <v>45745</v>
      </c>
      <c r="C5" s="3" t="str">
        <f t="shared" si="2"/>
        <v>Mar-2025</v>
      </c>
      <c r="D5" s="3" t="str">
        <f t="shared" si="3"/>
        <v>Q1-2025</v>
      </c>
      <c r="E5" s="3">
        <v>45749</v>
      </c>
      <c r="F5" s="3" t="str">
        <f t="shared" si="4"/>
        <v>Valid</v>
      </c>
      <c r="G5" s="12">
        <f t="shared" si="5"/>
        <v>4</v>
      </c>
      <c r="H5" s="3">
        <f t="shared" si="6"/>
        <v>45749</v>
      </c>
      <c r="I5" t="s">
        <v>646</v>
      </c>
      <c r="J5" t="str">
        <f t="shared" si="7"/>
        <v>Africa → Nigeria → Lagos</v>
      </c>
      <c r="K5" s="3" t="str">
        <f t="shared" si="8"/>
        <v>Nigeria-2025-03</v>
      </c>
      <c r="L5" t="s">
        <v>651</v>
      </c>
      <c r="M5" t="s">
        <v>665</v>
      </c>
      <c r="N5" t="s">
        <v>703</v>
      </c>
      <c r="O5" t="s">
        <v>709</v>
      </c>
      <c r="P5" t="s">
        <v>715</v>
      </c>
      <c r="Q5" t="s">
        <v>730</v>
      </c>
      <c r="R5" t="s">
        <v>737</v>
      </c>
      <c r="S5" s="5">
        <v>259.93</v>
      </c>
      <c r="T5" s="5">
        <v>255.94</v>
      </c>
      <c r="U5" s="5" t="str">
        <f t="shared" si="9"/>
        <v>Valid</v>
      </c>
      <c r="V5" s="5">
        <f t="shared" si="0"/>
        <v>255.94</v>
      </c>
      <c r="W5" s="5" t="str">
        <f t="shared" si="10"/>
        <v>Low</v>
      </c>
      <c r="X5" s="5">
        <v>7.1999999999999995E-2</v>
      </c>
      <c r="Y5" s="5" t="str">
        <f t="shared" si="11"/>
        <v>Valid</v>
      </c>
      <c r="Z5" s="5">
        <f t="shared" si="12"/>
        <v>7.1999999999999995E-2</v>
      </c>
      <c r="AA5" s="5">
        <v>22</v>
      </c>
      <c r="AB5">
        <f t="shared" si="13"/>
        <v>5225.2710400000005</v>
      </c>
      <c r="AC5">
        <f t="shared" si="1"/>
        <v>5718.46</v>
      </c>
      <c r="AD5">
        <f t="shared" si="14"/>
        <v>-493.1889599999995</v>
      </c>
      <c r="AE5">
        <f t="shared" si="15"/>
        <v>-9.4385335463861311E-2</v>
      </c>
      <c r="AF5">
        <f t="shared" si="16"/>
        <v>1</v>
      </c>
      <c r="AG5">
        <f t="shared" si="17"/>
        <v>0</v>
      </c>
      <c r="AK5">
        <f>AA5*(1+What_if_Analysis!$B$4)</f>
        <v>26.4</v>
      </c>
      <c r="AL5" s="5">
        <f>MIN(Z5,What_if_Analysis!$B$2)</f>
        <v>0.05</v>
      </c>
      <c r="AM5">
        <f t="shared" si="18"/>
        <v>6418.9751999999999</v>
      </c>
      <c r="AN5">
        <f>AM5-(AK5*(T5*(1+What_if_Analysis!$B$3)))</f>
        <v>-1013.5223999999998</v>
      </c>
    </row>
    <row r="6" spans="1:40" x14ac:dyDescent="0.3">
      <c r="A6" t="s">
        <v>19</v>
      </c>
      <c r="B6" s="3">
        <v>45266</v>
      </c>
      <c r="C6" s="3" t="str">
        <f t="shared" si="2"/>
        <v>Dec-2023</v>
      </c>
      <c r="D6" s="3" t="str">
        <f t="shared" si="3"/>
        <v>Q4-2023</v>
      </c>
      <c r="E6" s="3">
        <v>45291</v>
      </c>
      <c r="F6" s="3" t="str">
        <f t="shared" si="4"/>
        <v>Valid</v>
      </c>
      <c r="G6" s="12">
        <f t="shared" si="5"/>
        <v>25</v>
      </c>
      <c r="H6" s="3">
        <f t="shared" si="6"/>
        <v>45291</v>
      </c>
      <c r="I6" t="s">
        <v>647</v>
      </c>
      <c r="J6" t="str">
        <f t="shared" si="7"/>
        <v>Asia → Japan → Osaka</v>
      </c>
      <c r="K6" s="3" t="str">
        <f t="shared" si="8"/>
        <v>Japan-2023-12</v>
      </c>
      <c r="L6" t="s">
        <v>652</v>
      </c>
      <c r="M6" t="s">
        <v>666</v>
      </c>
      <c r="N6" t="s">
        <v>704</v>
      </c>
      <c r="O6" t="s">
        <v>707</v>
      </c>
      <c r="P6" t="s">
        <v>716</v>
      </c>
      <c r="Q6" t="s">
        <v>728</v>
      </c>
      <c r="R6" t="s">
        <v>738</v>
      </c>
      <c r="S6" s="5">
        <v>663.03</v>
      </c>
      <c r="T6" s="5">
        <v>813.51</v>
      </c>
      <c r="U6" s="5" t="str">
        <f t="shared" si="9"/>
        <v>Valid</v>
      </c>
      <c r="V6" s="5">
        <f t="shared" si="0"/>
        <v>813.51</v>
      </c>
      <c r="W6" s="5" t="str">
        <f>IF(V6&lt;=616.86,"Low",IF(V6&lt;1912.05,"Medium","High"))</f>
        <v>Medium</v>
      </c>
      <c r="X6" s="5">
        <v>0.10199999999999999</v>
      </c>
      <c r="Y6" s="5" t="str">
        <f t="shared" si="11"/>
        <v>Valid</v>
      </c>
      <c r="Z6" s="5">
        <f t="shared" si="12"/>
        <v>0.10199999999999999</v>
      </c>
      <c r="AA6" s="5">
        <v>15</v>
      </c>
      <c r="AB6">
        <f t="shared" si="13"/>
        <v>10957.9797</v>
      </c>
      <c r="AC6">
        <f t="shared" si="1"/>
        <v>9945.4499999999989</v>
      </c>
      <c r="AD6">
        <f t="shared" si="14"/>
        <v>1012.529700000001</v>
      </c>
      <c r="AE6">
        <f t="shared" si="15"/>
        <v>9.2401129379715952E-2</v>
      </c>
      <c r="AF6">
        <f t="shared" si="16"/>
        <v>0</v>
      </c>
      <c r="AG6">
        <f t="shared" si="17"/>
        <v>0</v>
      </c>
      <c r="AK6">
        <f>AA6*(1+What_if_Analysis!$B$4)</f>
        <v>18</v>
      </c>
      <c r="AL6" s="5">
        <f>MIN(Z6,What_if_Analysis!$B$2)</f>
        <v>0.05</v>
      </c>
      <c r="AM6">
        <f t="shared" si="18"/>
        <v>13911.020999999999</v>
      </c>
      <c r="AN6">
        <f>AM6-(AK6*(T6*(1+What_if_Analysis!$B$3)))</f>
        <v>-2196.4770000000026</v>
      </c>
    </row>
    <row r="7" spans="1:40" x14ac:dyDescent="0.3">
      <c r="A7" t="s">
        <v>20</v>
      </c>
      <c r="B7" s="3">
        <v>44928</v>
      </c>
      <c r="C7" s="3" t="str">
        <f t="shared" si="2"/>
        <v>Jan-2023</v>
      </c>
      <c r="D7" s="3" t="str">
        <f t="shared" si="3"/>
        <v>Q1-2023</v>
      </c>
      <c r="E7" s="3">
        <v>44931</v>
      </c>
      <c r="F7" s="3" t="str">
        <f t="shared" si="4"/>
        <v>Valid</v>
      </c>
      <c r="G7" s="12">
        <f t="shared" si="5"/>
        <v>3</v>
      </c>
      <c r="H7" s="3">
        <f t="shared" si="6"/>
        <v>44931</v>
      </c>
      <c r="I7" t="s">
        <v>648</v>
      </c>
      <c r="J7" t="str">
        <f t="shared" si="7"/>
        <v>Americas → Canada → Toronto</v>
      </c>
      <c r="K7" s="3" t="str">
        <f t="shared" si="8"/>
        <v>Canada-2023-01</v>
      </c>
      <c r="L7" t="s">
        <v>653</v>
      </c>
      <c r="M7" t="s">
        <v>667</v>
      </c>
      <c r="N7" t="s">
        <v>701</v>
      </c>
      <c r="O7" t="s">
        <v>710</v>
      </c>
      <c r="P7" t="s">
        <v>717</v>
      </c>
      <c r="Q7" t="s">
        <v>731</v>
      </c>
      <c r="R7" t="s">
        <v>739</v>
      </c>
      <c r="S7" s="5">
        <v>315.87</v>
      </c>
      <c r="T7" s="5">
        <v>591.67999999999995</v>
      </c>
      <c r="U7" s="5" t="str">
        <f t="shared" si="9"/>
        <v>Valid</v>
      </c>
      <c r="V7" s="5">
        <f t="shared" si="0"/>
        <v>591.67999999999995</v>
      </c>
      <c r="W7" s="5" t="str">
        <f t="shared" si="10"/>
        <v>Low</v>
      </c>
      <c r="X7" s="5">
        <v>0</v>
      </c>
      <c r="Y7" s="5" t="str">
        <f t="shared" si="11"/>
        <v>Valid</v>
      </c>
      <c r="Z7" s="5">
        <f t="shared" si="12"/>
        <v>0</v>
      </c>
      <c r="AA7" s="5">
        <v>7</v>
      </c>
      <c r="AB7">
        <f t="shared" si="13"/>
        <v>4141.7599999999993</v>
      </c>
      <c r="AC7">
        <f t="shared" si="1"/>
        <v>2211.09</v>
      </c>
      <c r="AD7">
        <f t="shared" si="14"/>
        <v>1930.6699999999992</v>
      </c>
      <c r="AE7">
        <f t="shared" si="15"/>
        <v>0.46614724175229844</v>
      </c>
      <c r="AF7">
        <f t="shared" si="16"/>
        <v>1</v>
      </c>
      <c r="AG7">
        <f t="shared" si="17"/>
        <v>0</v>
      </c>
      <c r="AK7">
        <f>AA7*(1+What_if_Analysis!$B$4)</f>
        <v>8.4</v>
      </c>
      <c r="AL7" s="5">
        <f>MIN(Z7,What_if_Analysis!$B$2)</f>
        <v>0</v>
      </c>
      <c r="AM7">
        <f t="shared" si="18"/>
        <v>4970.1120000000001</v>
      </c>
      <c r="AN7">
        <f>AM7-(AK7*(T7*(1+What_if_Analysis!$B$3)))</f>
        <v>-497.01119999999992</v>
      </c>
    </row>
    <row r="8" spans="1:40" x14ac:dyDescent="0.3">
      <c r="A8" t="s">
        <v>21</v>
      </c>
      <c r="B8" s="3">
        <v>45653</v>
      </c>
      <c r="C8" s="3" t="str">
        <f t="shared" si="2"/>
        <v>Dec-2024</v>
      </c>
      <c r="D8" s="3" t="str">
        <f t="shared" si="3"/>
        <v>Q4-2024</v>
      </c>
      <c r="E8" s="3">
        <v>45671</v>
      </c>
      <c r="F8" s="3" t="str">
        <f t="shared" si="4"/>
        <v>Valid</v>
      </c>
      <c r="G8" s="12">
        <f t="shared" si="5"/>
        <v>18</v>
      </c>
      <c r="H8" s="3">
        <f t="shared" si="6"/>
        <v>45671</v>
      </c>
      <c r="I8" t="s">
        <v>647</v>
      </c>
      <c r="J8" t="str">
        <f t="shared" si="7"/>
        <v>Asia → India → Bengaluru</v>
      </c>
      <c r="K8" s="3" t="str">
        <f t="shared" si="8"/>
        <v>India-2024-12</v>
      </c>
      <c r="L8" t="s">
        <v>654</v>
      </c>
      <c r="M8" t="s">
        <v>668</v>
      </c>
      <c r="N8" t="s">
        <v>705</v>
      </c>
      <c r="O8" t="s">
        <v>709</v>
      </c>
      <c r="P8" t="s">
        <v>718</v>
      </c>
      <c r="Q8" t="s">
        <v>732</v>
      </c>
      <c r="R8" t="s">
        <v>740</v>
      </c>
      <c r="S8" s="5">
        <v>586.07000000000005</v>
      </c>
      <c r="T8" s="5">
        <v>845.97</v>
      </c>
      <c r="U8" s="5" t="str">
        <f t="shared" si="9"/>
        <v>Valid</v>
      </c>
      <c r="V8" s="5">
        <f t="shared" si="0"/>
        <v>845.97</v>
      </c>
      <c r="W8" s="5" t="str">
        <f t="shared" si="10"/>
        <v>Medium</v>
      </c>
      <c r="X8" s="5">
        <v>0.14699999999999999</v>
      </c>
      <c r="Y8" s="5" t="str">
        <f t="shared" si="11"/>
        <v>Valid</v>
      </c>
      <c r="Z8" s="5">
        <f t="shared" si="12"/>
        <v>0.14699999999999999</v>
      </c>
      <c r="AA8" s="5">
        <v>4</v>
      </c>
      <c r="AB8">
        <f t="shared" si="13"/>
        <v>2886.4496399999998</v>
      </c>
      <c r="AC8">
        <f t="shared" si="1"/>
        <v>2344.2800000000002</v>
      </c>
      <c r="AD8">
        <f t="shared" si="14"/>
        <v>542.16963999999962</v>
      </c>
      <c r="AE8">
        <f t="shared" si="15"/>
        <v>0.18783270370862928</v>
      </c>
      <c r="AF8">
        <f t="shared" si="16"/>
        <v>0</v>
      </c>
      <c r="AG8">
        <f t="shared" si="17"/>
        <v>0</v>
      </c>
      <c r="AK8">
        <f>AA8*(1+What_if_Analysis!$B$4)</f>
        <v>4.8</v>
      </c>
      <c r="AL8" s="5">
        <f>MIN(Z8,What_if_Analysis!$B$2)</f>
        <v>0.05</v>
      </c>
      <c r="AM8">
        <f t="shared" si="18"/>
        <v>3857.6232</v>
      </c>
      <c r="AN8">
        <f>AM8-(AK8*(T8*(1+What_if_Analysis!$B$3)))</f>
        <v>-609.09840000000077</v>
      </c>
    </row>
    <row r="9" spans="1:40" x14ac:dyDescent="0.3">
      <c r="A9" t="s">
        <v>22</v>
      </c>
      <c r="B9" s="3">
        <v>44941</v>
      </c>
      <c r="C9" s="3" t="str">
        <f t="shared" si="2"/>
        <v>Jan-2023</v>
      </c>
      <c r="D9" s="3" t="str">
        <f t="shared" si="3"/>
        <v>Q1-2023</v>
      </c>
      <c r="E9" s="3">
        <v>44939</v>
      </c>
      <c r="F9" s="3" t="str">
        <f t="shared" si="4"/>
        <v>Invalid RequiredDate</v>
      </c>
      <c r="G9" s="12">
        <f t="shared" si="5"/>
        <v>-2</v>
      </c>
      <c r="H9" s="3">
        <f t="shared" si="6"/>
        <v>44967</v>
      </c>
      <c r="I9" t="s">
        <v>646</v>
      </c>
      <c r="J9" t="str">
        <f t="shared" si="7"/>
        <v>Africa → Nigeria → Abuja</v>
      </c>
      <c r="K9" s="3" t="str">
        <f t="shared" si="8"/>
        <v>Nigeria-2023-01</v>
      </c>
      <c r="L9" t="s">
        <v>651</v>
      </c>
      <c r="M9" t="s">
        <v>669</v>
      </c>
      <c r="N9" t="s">
        <v>702</v>
      </c>
      <c r="O9" t="s">
        <v>708</v>
      </c>
      <c r="P9" t="s">
        <v>719</v>
      </c>
      <c r="Q9" t="s">
        <v>728</v>
      </c>
      <c r="R9" t="s">
        <v>741</v>
      </c>
      <c r="S9" s="5">
        <v>28.38</v>
      </c>
      <c r="T9" s="5">
        <v>47.22</v>
      </c>
      <c r="U9" s="5" t="str">
        <f t="shared" si="9"/>
        <v>Valid</v>
      </c>
      <c r="V9" s="5">
        <f t="shared" si="0"/>
        <v>47.22</v>
      </c>
      <c r="W9" s="5" t="str">
        <f t="shared" si="10"/>
        <v>Low</v>
      </c>
      <c r="X9" s="5">
        <v>0.19400000000000001</v>
      </c>
      <c r="Y9" s="5" t="str">
        <f t="shared" si="11"/>
        <v>Valid</v>
      </c>
      <c r="Z9" s="5">
        <f t="shared" si="12"/>
        <v>0.19400000000000001</v>
      </c>
      <c r="AA9" s="5">
        <v>18</v>
      </c>
      <c r="AB9">
        <f t="shared" si="13"/>
        <v>685.06776000000002</v>
      </c>
      <c r="AC9">
        <f t="shared" si="1"/>
        <v>510.84</v>
      </c>
      <c r="AD9">
        <f t="shared" si="14"/>
        <v>174.22776000000005</v>
      </c>
      <c r="AE9">
        <f t="shared" si="15"/>
        <v>0.25432193743871417</v>
      </c>
      <c r="AF9">
        <f t="shared" si="16"/>
        <v>1</v>
      </c>
      <c r="AG9">
        <f t="shared" si="17"/>
        <v>0</v>
      </c>
      <c r="AK9">
        <f>AA9*(1+What_if_Analysis!$B$4)</f>
        <v>21.599999999999998</v>
      </c>
      <c r="AL9" s="5">
        <f>MIN(Z9,What_if_Analysis!$B$2)</f>
        <v>0.05</v>
      </c>
      <c r="AM9">
        <f t="shared" si="18"/>
        <v>968.95439999999985</v>
      </c>
      <c r="AN9">
        <f>AM9-(AK9*(T9*(1+What_if_Analysis!$B$3)))</f>
        <v>-152.99279999999999</v>
      </c>
    </row>
    <row r="10" spans="1:40" x14ac:dyDescent="0.3">
      <c r="A10" t="s">
        <v>23</v>
      </c>
      <c r="B10" s="3">
        <v>45416</v>
      </c>
      <c r="C10" s="3" t="str">
        <f t="shared" si="2"/>
        <v>May-2024</v>
      </c>
      <c r="D10" s="3" t="str">
        <f t="shared" si="3"/>
        <v>Q2-2024</v>
      </c>
      <c r="E10" s="3">
        <v>45441</v>
      </c>
      <c r="F10" s="3" t="str">
        <f t="shared" si="4"/>
        <v>Valid</v>
      </c>
      <c r="G10" s="12">
        <f t="shared" si="5"/>
        <v>25</v>
      </c>
      <c r="H10" s="3">
        <f t="shared" si="6"/>
        <v>45441</v>
      </c>
      <c r="I10" t="s">
        <v>646</v>
      </c>
      <c r="J10" t="str">
        <f t="shared" si="7"/>
        <v>Africa → Nigeria → Abuja</v>
      </c>
      <c r="K10" s="3" t="str">
        <f t="shared" si="8"/>
        <v>Nigeria-2024-05</v>
      </c>
      <c r="L10" t="s">
        <v>651</v>
      </c>
      <c r="M10" t="s">
        <v>669</v>
      </c>
      <c r="N10" t="s">
        <v>703</v>
      </c>
      <c r="O10" t="s">
        <v>709</v>
      </c>
      <c r="P10" t="s">
        <v>719</v>
      </c>
      <c r="Q10" t="s">
        <v>732</v>
      </c>
      <c r="R10" t="s">
        <v>742</v>
      </c>
      <c r="S10" s="5">
        <v>1295.3399999999999</v>
      </c>
      <c r="T10" s="5">
        <v>2530.81</v>
      </c>
      <c r="U10" s="5" t="str">
        <f t="shared" si="9"/>
        <v>Valid</v>
      </c>
      <c r="V10" s="5">
        <f t="shared" si="0"/>
        <v>2530.81</v>
      </c>
      <c r="W10" s="5" t="str">
        <f t="shared" si="10"/>
        <v>High</v>
      </c>
      <c r="X10" s="5">
        <v>3.1E-2</v>
      </c>
      <c r="Y10" s="5" t="str">
        <f t="shared" si="11"/>
        <v>Valid</v>
      </c>
      <c r="Z10" s="5">
        <f t="shared" si="12"/>
        <v>3.1E-2</v>
      </c>
      <c r="AA10" s="5">
        <v>6</v>
      </c>
      <c r="AB10">
        <f t="shared" si="13"/>
        <v>14714.12934</v>
      </c>
      <c r="AC10">
        <f t="shared" si="1"/>
        <v>7772.0399999999991</v>
      </c>
      <c r="AD10">
        <f t="shared" si="14"/>
        <v>6942.0893400000004</v>
      </c>
      <c r="AE10">
        <f t="shared" si="15"/>
        <v>0.4717974933880798</v>
      </c>
      <c r="AF10">
        <f t="shared" si="16"/>
        <v>0</v>
      </c>
      <c r="AG10">
        <f t="shared" si="17"/>
        <v>0</v>
      </c>
      <c r="AK10">
        <f>AA10*(1+What_if_Analysis!$B$4)</f>
        <v>7.1999999999999993</v>
      </c>
      <c r="AL10" s="5">
        <f>MIN(Z10,What_if_Analysis!$B$2)</f>
        <v>3.1E-2</v>
      </c>
      <c r="AM10">
        <f t="shared" si="18"/>
        <v>17656.955207999999</v>
      </c>
      <c r="AN10">
        <f>AM10-(AK10*(T10*(1+What_if_Analysis!$B$3)))</f>
        <v>-2387.0599919999986</v>
      </c>
    </row>
    <row r="11" spans="1:40" x14ac:dyDescent="0.3">
      <c r="A11" t="s">
        <v>24</v>
      </c>
      <c r="B11" s="3">
        <v>45798</v>
      </c>
      <c r="C11" s="3" t="str">
        <f t="shared" si="2"/>
        <v>May-2025</v>
      </c>
      <c r="D11" s="3" t="str">
        <f t="shared" si="3"/>
        <v>Q2-2025</v>
      </c>
      <c r="E11" s="3">
        <v>45817</v>
      </c>
      <c r="F11" s="3" t="str">
        <f t="shared" si="4"/>
        <v>Valid</v>
      </c>
      <c r="G11" s="12">
        <f t="shared" si="5"/>
        <v>19</v>
      </c>
      <c r="H11" s="3">
        <f t="shared" si="6"/>
        <v>45817</v>
      </c>
      <c r="I11" t="s">
        <v>648</v>
      </c>
      <c r="J11" t="str">
        <f t="shared" si="7"/>
        <v>Americas → Brazil → São Paulo</v>
      </c>
      <c r="K11" s="3" t="str">
        <f t="shared" si="8"/>
        <v>Brazil-2025-05</v>
      </c>
      <c r="L11" t="s">
        <v>655</v>
      </c>
      <c r="M11" t="s">
        <v>670</v>
      </c>
      <c r="N11" t="s">
        <v>703</v>
      </c>
      <c r="O11" t="s">
        <v>708</v>
      </c>
      <c r="P11" t="s">
        <v>720</v>
      </c>
      <c r="Q11" t="s">
        <v>727</v>
      </c>
      <c r="R11" t="s">
        <v>743</v>
      </c>
      <c r="S11" s="5">
        <v>1331.38</v>
      </c>
      <c r="T11" s="5">
        <v>2309.56</v>
      </c>
      <c r="U11" s="5" t="str">
        <f t="shared" si="9"/>
        <v>Valid</v>
      </c>
      <c r="V11" s="5">
        <f t="shared" si="0"/>
        <v>2309.56</v>
      </c>
      <c r="W11" s="5" t="str">
        <f t="shared" si="10"/>
        <v>High</v>
      </c>
      <c r="X11" s="5">
        <v>0.14899999999999999</v>
      </c>
      <c r="Y11" s="5" t="str">
        <f t="shared" si="11"/>
        <v>Valid</v>
      </c>
      <c r="Z11" s="5">
        <f t="shared" si="12"/>
        <v>0.14899999999999999</v>
      </c>
      <c r="AA11" s="5">
        <v>31</v>
      </c>
      <c r="AB11">
        <f t="shared" si="13"/>
        <v>60928.502359999999</v>
      </c>
      <c r="AC11">
        <f t="shared" si="1"/>
        <v>41272.780000000006</v>
      </c>
      <c r="AD11">
        <f t="shared" si="14"/>
        <v>19655.722359999992</v>
      </c>
      <c r="AE11">
        <f t="shared" si="15"/>
        <v>0.32260307735553528</v>
      </c>
      <c r="AF11">
        <f t="shared" si="16"/>
        <v>0</v>
      </c>
      <c r="AG11">
        <f t="shared" si="17"/>
        <v>0</v>
      </c>
      <c r="AH11" s="5"/>
      <c r="AK11">
        <f>AA11*(1+What_if_Analysis!$B$4)</f>
        <v>37.199999999999996</v>
      </c>
      <c r="AL11" s="5">
        <f>MIN(Z11,What_if_Analysis!$B$2)</f>
        <v>0.05</v>
      </c>
      <c r="AM11">
        <f t="shared" si="18"/>
        <v>81619.850399999981</v>
      </c>
      <c r="AN11">
        <f>AM11-(AK11*(T11*(1+What_if_Analysis!$B$3)))</f>
        <v>-12887.344800000006</v>
      </c>
    </row>
    <row r="12" spans="1:40" x14ac:dyDescent="0.3">
      <c r="A12" t="s">
        <v>25</v>
      </c>
      <c r="B12" s="3">
        <v>45319</v>
      </c>
      <c r="C12" s="3" t="str">
        <f t="shared" si="2"/>
        <v>Jan-2024</v>
      </c>
      <c r="D12" s="3" t="str">
        <f t="shared" si="3"/>
        <v>Q1-2024</v>
      </c>
      <c r="E12" s="3">
        <v>45331</v>
      </c>
      <c r="F12" s="3" t="str">
        <f t="shared" si="4"/>
        <v>Valid</v>
      </c>
      <c r="G12" s="12">
        <f t="shared" si="5"/>
        <v>12</v>
      </c>
      <c r="H12" s="3">
        <f t="shared" si="6"/>
        <v>45331</v>
      </c>
      <c r="I12" t="s">
        <v>649</v>
      </c>
      <c r="J12" t="str">
        <f t="shared" si="7"/>
        <v>Europe → Germany → Berlin</v>
      </c>
      <c r="K12" s="3" t="str">
        <f t="shared" si="8"/>
        <v>Germany-2024-01</v>
      </c>
      <c r="L12" t="s">
        <v>656</v>
      </c>
      <c r="M12" t="s">
        <v>671</v>
      </c>
      <c r="N12" t="s">
        <v>701</v>
      </c>
      <c r="O12" t="s">
        <v>708</v>
      </c>
      <c r="P12" t="s">
        <v>715</v>
      </c>
      <c r="Q12" t="s">
        <v>733</v>
      </c>
      <c r="R12" t="s">
        <v>744</v>
      </c>
      <c r="S12" s="5">
        <v>644.16999999999996</v>
      </c>
      <c r="T12" s="5">
        <v>700.12</v>
      </c>
      <c r="U12" s="5" t="str">
        <f t="shared" si="9"/>
        <v>Valid</v>
      </c>
      <c r="V12" s="5">
        <f t="shared" si="0"/>
        <v>700.12</v>
      </c>
      <c r="W12" s="5" t="str">
        <f t="shared" si="10"/>
        <v>Medium</v>
      </c>
      <c r="X12" s="5">
        <v>6.0000000000000001E-3</v>
      </c>
      <c r="Y12" s="5" t="str">
        <f t="shared" si="11"/>
        <v>Valid</v>
      </c>
      <c r="Z12" s="5">
        <f t="shared" si="12"/>
        <v>6.0000000000000001E-3</v>
      </c>
      <c r="AA12" s="5">
        <v>23</v>
      </c>
      <c r="AB12">
        <f t="shared" si="13"/>
        <v>16006.14344</v>
      </c>
      <c r="AC12">
        <f t="shared" si="1"/>
        <v>14815.91</v>
      </c>
      <c r="AD12">
        <f t="shared" si="14"/>
        <v>1190.23344</v>
      </c>
      <c r="AE12">
        <f t="shared" si="15"/>
        <v>7.436103796405813E-2</v>
      </c>
      <c r="AF12">
        <f t="shared" si="16"/>
        <v>0</v>
      </c>
      <c r="AG12">
        <f t="shared" si="17"/>
        <v>0</v>
      </c>
      <c r="AH12" s="5"/>
      <c r="AK12">
        <f>AA12*(1+What_if_Analysis!$B$4)</f>
        <v>27.599999999999998</v>
      </c>
      <c r="AL12" s="5">
        <f>MIN(Z12,What_if_Analysis!$B$2)</f>
        <v>6.0000000000000001E-3</v>
      </c>
      <c r="AM12">
        <f t="shared" si="18"/>
        <v>19207.372127999999</v>
      </c>
      <c r="AN12">
        <f>AM12-(AK12*(T12*(1+What_if_Analysis!$B$3)))</f>
        <v>-2048.2710719999995</v>
      </c>
    </row>
    <row r="13" spans="1:40" x14ac:dyDescent="0.3">
      <c r="A13" t="s">
        <v>26</v>
      </c>
      <c r="B13" s="3">
        <v>45660</v>
      </c>
      <c r="C13" s="3" t="str">
        <f t="shared" si="2"/>
        <v>Jan-2025</v>
      </c>
      <c r="D13" s="3" t="str">
        <f t="shared" si="3"/>
        <v>Q1-2025</v>
      </c>
      <c r="E13" s="3">
        <v>45680</v>
      </c>
      <c r="F13" s="3" t="str">
        <f t="shared" si="4"/>
        <v>Valid</v>
      </c>
      <c r="G13" s="12">
        <f t="shared" si="5"/>
        <v>20</v>
      </c>
      <c r="H13" s="3">
        <f t="shared" si="6"/>
        <v>45680</v>
      </c>
      <c r="I13" t="s">
        <v>647</v>
      </c>
      <c r="J13" t="str">
        <f t="shared" si="7"/>
        <v>Asia → Japan → Osaka</v>
      </c>
      <c r="K13" s="3" t="str">
        <f t="shared" si="8"/>
        <v>Japan-2025-01</v>
      </c>
      <c r="L13" t="s">
        <v>652</v>
      </c>
      <c r="M13" t="s">
        <v>666</v>
      </c>
      <c r="N13" t="s">
        <v>701</v>
      </c>
      <c r="O13" t="s">
        <v>710</v>
      </c>
      <c r="P13" t="s">
        <v>721</v>
      </c>
      <c r="Q13" t="s">
        <v>730</v>
      </c>
      <c r="R13" t="s">
        <v>745</v>
      </c>
      <c r="S13" s="5">
        <v>908.6</v>
      </c>
      <c r="T13" s="5">
        <v>691.37</v>
      </c>
      <c r="U13" s="5" t="str">
        <f t="shared" si="9"/>
        <v>Valid</v>
      </c>
      <c r="V13" s="5">
        <f t="shared" si="0"/>
        <v>691.37</v>
      </c>
      <c r="W13" s="5" t="str">
        <f t="shared" si="10"/>
        <v>Medium</v>
      </c>
      <c r="X13" s="5">
        <v>0.25</v>
      </c>
      <c r="Y13" s="5" t="str">
        <f t="shared" si="11"/>
        <v>Valid</v>
      </c>
      <c r="Z13" s="5">
        <f t="shared" si="12"/>
        <v>0.25</v>
      </c>
      <c r="AA13" s="5">
        <v>20</v>
      </c>
      <c r="AB13">
        <f t="shared" si="13"/>
        <v>10370.549999999999</v>
      </c>
      <c r="AC13">
        <f t="shared" si="1"/>
        <v>18172</v>
      </c>
      <c r="AD13">
        <f t="shared" si="14"/>
        <v>-7801.4500000000007</v>
      </c>
      <c r="AE13">
        <f t="shared" si="15"/>
        <v>-0.75226964818645115</v>
      </c>
      <c r="AF13">
        <f t="shared" si="16"/>
        <v>0</v>
      </c>
      <c r="AG13">
        <f t="shared" si="17"/>
        <v>1</v>
      </c>
      <c r="AH13" s="16" t="s">
        <v>1458</v>
      </c>
      <c r="AK13">
        <f>AA13*(1+What_if_Analysis!$B$4)</f>
        <v>24</v>
      </c>
      <c r="AL13" s="5">
        <f>MIN(Z13,What_if_Analysis!$B$2)</f>
        <v>0.05</v>
      </c>
      <c r="AM13">
        <f t="shared" si="18"/>
        <v>15763.236000000001</v>
      </c>
      <c r="AN13">
        <f>AM13-(AK13*(T13*(1+What_if_Analysis!$B$3)))</f>
        <v>-2488.9320000000007</v>
      </c>
    </row>
    <row r="14" spans="1:40" x14ac:dyDescent="0.3">
      <c r="A14" t="s">
        <v>27</v>
      </c>
      <c r="B14" s="3">
        <v>45722</v>
      </c>
      <c r="C14" s="3" t="str">
        <f t="shared" si="2"/>
        <v>Mar-2025</v>
      </c>
      <c r="D14" s="3" t="str">
        <f t="shared" si="3"/>
        <v>Q1-2025</v>
      </c>
      <c r="E14" s="3">
        <v>45747</v>
      </c>
      <c r="F14" s="3" t="str">
        <f t="shared" si="4"/>
        <v>Valid</v>
      </c>
      <c r="G14" s="12">
        <f t="shared" si="5"/>
        <v>25</v>
      </c>
      <c r="H14" s="3">
        <f t="shared" si="6"/>
        <v>45747</v>
      </c>
      <c r="I14" t="s">
        <v>648</v>
      </c>
      <c r="J14" t="str">
        <f t="shared" si="7"/>
        <v>Americas → Brazil → Brasília</v>
      </c>
      <c r="K14" s="3" t="str">
        <f t="shared" si="8"/>
        <v>Brazil-2025-03</v>
      </c>
      <c r="L14" t="s">
        <v>655</v>
      </c>
      <c r="M14" t="s">
        <v>672</v>
      </c>
      <c r="N14" t="s">
        <v>703</v>
      </c>
      <c r="O14" t="s">
        <v>708</v>
      </c>
      <c r="P14" t="s">
        <v>713</v>
      </c>
      <c r="Q14" t="s">
        <v>727</v>
      </c>
      <c r="R14" t="s">
        <v>746</v>
      </c>
      <c r="S14" s="5">
        <v>331.57</v>
      </c>
      <c r="T14" s="5">
        <v>548.4</v>
      </c>
      <c r="U14" s="5" t="str">
        <f t="shared" si="9"/>
        <v>Valid</v>
      </c>
      <c r="V14" s="5">
        <f t="shared" si="0"/>
        <v>548.4</v>
      </c>
      <c r="W14" s="5" t="str">
        <f t="shared" si="10"/>
        <v>Low</v>
      </c>
      <c r="X14" s="5">
        <v>9.4E-2</v>
      </c>
      <c r="Y14" s="5" t="str">
        <f t="shared" si="11"/>
        <v>Valid</v>
      </c>
      <c r="Z14" s="5">
        <f t="shared" si="12"/>
        <v>9.4E-2</v>
      </c>
      <c r="AA14" s="5">
        <v>10</v>
      </c>
      <c r="AB14">
        <f t="shared" si="13"/>
        <v>4968.5039999999999</v>
      </c>
      <c r="AC14">
        <f t="shared" si="1"/>
        <v>3315.7</v>
      </c>
      <c r="AD14">
        <f t="shared" si="14"/>
        <v>1652.8040000000001</v>
      </c>
      <c r="AE14">
        <f t="shared" si="15"/>
        <v>0.33265626836568918</v>
      </c>
      <c r="AF14">
        <f t="shared" si="16"/>
        <v>0</v>
      </c>
      <c r="AG14">
        <f t="shared" si="17"/>
        <v>0</v>
      </c>
      <c r="AH14" s="5">
        <f>_xlfn.QUARTILE.INC(V:V,1)</f>
        <v>616.85749999999996</v>
      </c>
      <c r="AK14">
        <f>AA14*(1+What_if_Analysis!$B$4)</f>
        <v>12</v>
      </c>
      <c r="AL14" s="5">
        <f>MIN(Z14,What_if_Analysis!$B$2)</f>
        <v>0.05</v>
      </c>
      <c r="AM14">
        <f t="shared" si="18"/>
        <v>6251.7599999999993</v>
      </c>
      <c r="AN14">
        <f>AM14-(AK14*(T14*(1+What_if_Analysis!$B$3)))</f>
        <v>-987.1200000000008</v>
      </c>
    </row>
    <row r="15" spans="1:40" x14ac:dyDescent="0.3">
      <c r="A15" t="s">
        <v>28</v>
      </c>
      <c r="B15" s="3">
        <v>45311</v>
      </c>
      <c r="C15" s="3" t="str">
        <f t="shared" si="2"/>
        <v>Jan-2024</v>
      </c>
      <c r="D15" s="3" t="str">
        <f t="shared" si="3"/>
        <v>Q1-2024</v>
      </c>
      <c r="E15" s="3">
        <v>45335</v>
      </c>
      <c r="F15" s="3" t="str">
        <f t="shared" si="4"/>
        <v>Valid</v>
      </c>
      <c r="G15" s="12">
        <f t="shared" si="5"/>
        <v>24</v>
      </c>
      <c r="H15" s="3">
        <f t="shared" si="6"/>
        <v>45335</v>
      </c>
      <c r="I15" t="s">
        <v>649</v>
      </c>
      <c r="J15" t="str">
        <f t="shared" si="7"/>
        <v>Europe → France → Marseille</v>
      </c>
      <c r="K15" s="3" t="str">
        <f t="shared" si="8"/>
        <v>France-2024-01</v>
      </c>
      <c r="L15" t="s">
        <v>657</v>
      </c>
      <c r="M15" t="s">
        <v>673</v>
      </c>
      <c r="N15" t="s">
        <v>701</v>
      </c>
      <c r="O15" t="s">
        <v>707</v>
      </c>
      <c r="P15" t="s">
        <v>722</v>
      </c>
      <c r="Q15" t="s">
        <v>728</v>
      </c>
      <c r="R15" t="s">
        <v>747</v>
      </c>
      <c r="S15" s="5">
        <v>643.53</v>
      </c>
      <c r="T15" s="5">
        <v>1439.01</v>
      </c>
      <c r="U15" s="5" t="str">
        <f t="shared" si="9"/>
        <v>Valid</v>
      </c>
      <c r="V15" s="5">
        <f t="shared" si="0"/>
        <v>1439.01</v>
      </c>
      <c r="W15" s="5" t="str">
        <f t="shared" si="10"/>
        <v>Medium</v>
      </c>
      <c r="X15" s="5">
        <v>0</v>
      </c>
      <c r="Y15" s="5" t="str">
        <f t="shared" si="11"/>
        <v>Valid</v>
      </c>
      <c r="Z15" s="5">
        <f t="shared" si="12"/>
        <v>0</v>
      </c>
      <c r="AA15" s="5">
        <v>15</v>
      </c>
      <c r="AB15">
        <f t="shared" si="13"/>
        <v>21585.15</v>
      </c>
      <c r="AC15">
        <f t="shared" si="1"/>
        <v>9652.9499999999989</v>
      </c>
      <c r="AD15">
        <f t="shared" si="14"/>
        <v>11932.200000000003</v>
      </c>
      <c r="AE15">
        <f t="shared" si="15"/>
        <v>0.55279671440782208</v>
      </c>
      <c r="AF15">
        <f t="shared" si="16"/>
        <v>0</v>
      </c>
      <c r="AG15">
        <f t="shared" si="17"/>
        <v>0</v>
      </c>
      <c r="AH15" s="5">
        <f>_xlfn.QUARTILE.INC(V:V,2)</f>
        <v>1208.04</v>
      </c>
      <c r="AK15">
        <f>AA15*(1+What_if_Analysis!$B$4)</f>
        <v>18</v>
      </c>
      <c r="AL15" s="5">
        <f>MIN(Z15,What_if_Analysis!$B$2)</f>
        <v>0</v>
      </c>
      <c r="AM15">
        <f t="shared" si="18"/>
        <v>25902.18</v>
      </c>
      <c r="AN15">
        <f>AM15-(AK15*(T15*(1+What_if_Analysis!$B$3)))</f>
        <v>-2590.2180000000008</v>
      </c>
    </row>
    <row r="16" spans="1:40" x14ac:dyDescent="0.3">
      <c r="A16" t="s">
        <v>29</v>
      </c>
      <c r="B16" s="3">
        <v>45901</v>
      </c>
      <c r="C16" s="3" t="str">
        <f t="shared" si="2"/>
        <v>Sept-2025</v>
      </c>
      <c r="D16" s="3" t="str">
        <f t="shared" si="3"/>
        <v>Q3-2025</v>
      </c>
      <c r="E16" s="3">
        <v>45930</v>
      </c>
      <c r="F16" s="3" t="str">
        <f t="shared" si="4"/>
        <v>Valid</v>
      </c>
      <c r="G16" s="12">
        <f t="shared" si="5"/>
        <v>29</v>
      </c>
      <c r="H16" s="3">
        <f t="shared" si="6"/>
        <v>45930</v>
      </c>
      <c r="I16" t="s">
        <v>648</v>
      </c>
      <c r="J16" t="str">
        <f t="shared" si="7"/>
        <v>Americas → Brazil → Brasília</v>
      </c>
      <c r="K16" s="3" t="str">
        <f t="shared" si="8"/>
        <v>Brazil-2025-09</v>
      </c>
      <c r="L16" t="s">
        <v>655</v>
      </c>
      <c r="M16" t="s">
        <v>672</v>
      </c>
      <c r="N16" t="s">
        <v>702</v>
      </c>
      <c r="O16" t="s">
        <v>707</v>
      </c>
      <c r="P16" t="s">
        <v>723</v>
      </c>
      <c r="Q16" t="s">
        <v>733</v>
      </c>
      <c r="R16" t="s">
        <v>748</v>
      </c>
      <c r="S16" s="5">
        <v>780.59</v>
      </c>
      <c r="T16" s="5">
        <v>631.57000000000005</v>
      </c>
      <c r="U16" s="5" t="str">
        <f t="shared" si="9"/>
        <v>Valid</v>
      </c>
      <c r="V16" s="5">
        <f t="shared" si="0"/>
        <v>631.57000000000005</v>
      </c>
      <c r="W16" s="5" t="str">
        <f t="shared" si="10"/>
        <v>Medium</v>
      </c>
      <c r="X16" s="5">
        <v>0</v>
      </c>
      <c r="Y16" s="5" t="str">
        <f t="shared" si="11"/>
        <v>Valid</v>
      </c>
      <c r="Z16" s="5">
        <f t="shared" si="12"/>
        <v>0</v>
      </c>
      <c r="AA16" s="5">
        <v>12</v>
      </c>
      <c r="AB16">
        <f t="shared" si="13"/>
        <v>7578.84</v>
      </c>
      <c r="AC16">
        <f t="shared" si="1"/>
        <v>9367.08</v>
      </c>
      <c r="AD16">
        <f t="shared" si="14"/>
        <v>-1788.2399999999998</v>
      </c>
      <c r="AE16">
        <f t="shared" si="15"/>
        <v>-0.23595167598207639</v>
      </c>
      <c r="AF16">
        <f t="shared" si="16"/>
        <v>0</v>
      </c>
      <c r="AG16">
        <f t="shared" si="17"/>
        <v>0</v>
      </c>
      <c r="AH16" s="5">
        <f>_xlfn.QUARTILE.INC(V:V,3)</f>
        <v>1912.0450000000001</v>
      </c>
      <c r="AK16">
        <f>AA16*(1+What_if_Analysis!$B$4)</f>
        <v>14.399999999999999</v>
      </c>
      <c r="AL16" s="5">
        <f>MIN(Z16,What_if_Analysis!$B$2)</f>
        <v>0</v>
      </c>
      <c r="AM16">
        <f t="shared" si="18"/>
        <v>9094.6080000000002</v>
      </c>
      <c r="AN16">
        <f>AM16-(AK16*(T16*(1+What_if_Analysis!$B$3)))</f>
        <v>-909.46080000000075</v>
      </c>
    </row>
    <row r="17" spans="1:40" x14ac:dyDescent="0.3">
      <c r="A17" t="s">
        <v>30</v>
      </c>
      <c r="B17" s="3">
        <v>45039</v>
      </c>
      <c r="C17" s="3" t="str">
        <f t="shared" si="2"/>
        <v>Apr-2023</v>
      </c>
      <c r="D17" s="3" t="str">
        <f t="shared" si="3"/>
        <v>Q2-2023</v>
      </c>
      <c r="E17" s="3">
        <v>45038</v>
      </c>
      <c r="F17" s="3" t="str">
        <f t="shared" si="4"/>
        <v>Invalid RequiredDate</v>
      </c>
      <c r="G17" s="12">
        <f t="shared" si="5"/>
        <v>-1</v>
      </c>
      <c r="H17" s="3">
        <f t="shared" si="6"/>
        <v>45065</v>
      </c>
      <c r="I17" t="s">
        <v>646</v>
      </c>
      <c r="J17" t="str">
        <f t="shared" si="7"/>
        <v>Africa → Kenya → Nairobi</v>
      </c>
      <c r="K17" s="3" t="str">
        <f t="shared" si="8"/>
        <v>Kenya-2023-04</v>
      </c>
      <c r="L17" t="s">
        <v>650</v>
      </c>
      <c r="M17" t="s">
        <v>664</v>
      </c>
      <c r="N17" t="s">
        <v>705</v>
      </c>
      <c r="O17" t="s">
        <v>711</v>
      </c>
      <c r="P17" t="s">
        <v>718</v>
      </c>
      <c r="Q17" t="s">
        <v>731</v>
      </c>
      <c r="R17" t="s">
        <v>749</v>
      </c>
      <c r="S17" s="5">
        <v>756.51</v>
      </c>
      <c r="T17" s="5">
        <v>850.8</v>
      </c>
      <c r="U17" s="5" t="str">
        <f t="shared" si="9"/>
        <v>Valid</v>
      </c>
      <c r="V17" s="5">
        <f t="shared" si="0"/>
        <v>850.8</v>
      </c>
      <c r="W17" s="5" t="str">
        <f t="shared" si="10"/>
        <v>Medium</v>
      </c>
      <c r="X17" s="5">
        <v>7.3999999999999996E-2</v>
      </c>
      <c r="Y17" s="5" t="str">
        <f t="shared" si="11"/>
        <v>Valid</v>
      </c>
      <c r="Z17" s="5">
        <f t="shared" si="12"/>
        <v>7.3999999999999996E-2</v>
      </c>
      <c r="AA17" s="5">
        <v>9</v>
      </c>
      <c r="AB17">
        <f t="shared" si="13"/>
        <v>7090.5672000000004</v>
      </c>
      <c r="AC17">
        <f t="shared" si="1"/>
        <v>6808.59</v>
      </c>
      <c r="AD17">
        <f t="shared" si="14"/>
        <v>281.97720000000027</v>
      </c>
      <c r="AE17">
        <f t="shared" si="15"/>
        <v>3.9767932810791252E-2</v>
      </c>
      <c r="AF17">
        <f t="shared" si="16"/>
        <v>1</v>
      </c>
      <c r="AG17">
        <f t="shared" si="17"/>
        <v>0</v>
      </c>
      <c r="AH17" s="5"/>
      <c r="AK17">
        <f>AA17*(1+What_if_Analysis!$B$4)</f>
        <v>10.799999999999999</v>
      </c>
      <c r="AL17" s="5">
        <f>MIN(Z17,What_if_Analysis!$B$2)</f>
        <v>0.05</v>
      </c>
      <c r="AM17">
        <f t="shared" si="18"/>
        <v>8729.2079999999987</v>
      </c>
      <c r="AN17">
        <f>AM17-(AK17*(T17*(1+What_if_Analysis!$B$3)))</f>
        <v>-1378.2960000000003</v>
      </c>
    </row>
    <row r="18" spans="1:40" x14ac:dyDescent="0.3">
      <c r="A18" t="s">
        <v>31</v>
      </c>
      <c r="B18" s="3">
        <v>45636</v>
      </c>
      <c r="C18" s="3" t="str">
        <f t="shared" si="2"/>
        <v>Dec-2024</v>
      </c>
      <c r="D18" s="3" t="str">
        <f t="shared" si="3"/>
        <v>Q4-2024</v>
      </c>
      <c r="E18" s="3">
        <v>45665</v>
      </c>
      <c r="F18" s="3" t="str">
        <f t="shared" si="4"/>
        <v>Valid</v>
      </c>
      <c r="G18" s="12">
        <f t="shared" si="5"/>
        <v>29</v>
      </c>
      <c r="H18" s="3">
        <f t="shared" si="6"/>
        <v>45665</v>
      </c>
      <c r="I18" t="s">
        <v>649</v>
      </c>
      <c r="J18" t="str">
        <f t="shared" si="7"/>
        <v>Europe → France → Marseille</v>
      </c>
      <c r="K18" s="3" t="str">
        <f t="shared" si="8"/>
        <v>France-2024-12</v>
      </c>
      <c r="L18" t="s">
        <v>657</v>
      </c>
      <c r="M18" t="s">
        <v>673</v>
      </c>
      <c r="N18" t="s">
        <v>705</v>
      </c>
      <c r="O18" t="s">
        <v>707</v>
      </c>
      <c r="P18" t="s">
        <v>723</v>
      </c>
      <c r="Q18" t="s">
        <v>728</v>
      </c>
      <c r="R18" t="s">
        <v>750</v>
      </c>
      <c r="S18" s="5">
        <v>891.08</v>
      </c>
      <c r="T18" s="5">
        <v>1040.0999999999999</v>
      </c>
      <c r="U18" s="5" t="str">
        <f t="shared" si="9"/>
        <v>Valid</v>
      </c>
      <c r="V18" s="5">
        <f t="shared" si="0"/>
        <v>1040.0999999999999</v>
      </c>
      <c r="W18" s="5" t="str">
        <f t="shared" si="10"/>
        <v>Medium</v>
      </c>
      <c r="X18" s="5">
        <v>0.109</v>
      </c>
      <c r="Y18" s="5" t="str">
        <f t="shared" si="11"/>
        <v>Valid</v>
      </c>
      <c r="Z18" s="5">
        <f t="shared" si="12"/>
        <v>0.109</v>
      </c>
      <c r="AA18" s="5">
        <v>28</v>
      </c>
      <c r="AB18">
        <f t="shared" si="13"/>
        <v>25948.414799999995</v>
      </c>
      <c r="AC18">
        <f t="shared" si="1"/>
        <v>24950.240000000002</v>
      </c>
      <c r="AD18">
        <f t="shared" si="14"/>
        <v>998.17479999999341</v>
      </c>
      <c r="AE18">
        <f t="shared" si="15"/>
        <v>3.8467660074556598E-2</v>
      </c>
      <c r="AF18">
        <f t="shared" si="16"/>
        <v>0</v>
      </c>
      <c r="AG18">
        <f t="shared" si="17"/>
        <v>0</v>
      </c>
      <c r="AH18" s="5"/>
      <c r="AK18">
        <f>AA18*(1+What_if_Analysis!$B$4)</f>
        <v>33.6</v>
      </c>
      <c r="AL18" s="5">
        <f>MIN(Z18,What_if_Analysis!$B$2)</f>
        <v>0.05</v>
      </c>
      <c r="AM18">
        <f t="shared" si="18"/>
        <v>33199.991999999998</v>
      </c>
      <c r="AN18">
        <f>AM18-(AK18*(T18*(1+What_if_Analysis!$B$3)))</f>
        <v>-5242.1039999999994</v>
      </c>
    </row>
    <row r="19" spans="1:40" x14ac:dyDescent="0.3">
      <c r="A19" t="s">
        <v>32</v>
      </c>
      <c r="B19" s="3">
        <v>45908</v>
      </c>
      <c r="C19" s="3" t="str">
        <f t="shared" si="2"/>
        <v>Sept-2025</v>
      </c>
      <c r="D19" s="3" t="str">
        <f t="shared" si="3"/>
        <v>Q3-2025</v>
      </c>
      <c r="E19" s="3">
        <v>45916</v>
      </c>
      <c r="F19" s="3" t="str">
        <f t="shared" si="4"/>
        <v>Valid</v>
      </c>
      <c r="G19" s="12">
        <f t="shared" si="5"/>
        <v>8</v>
      </c>
      <c r="H19" s="3">
        <f t="shared" si="6"/>
        <v>45916</v>
      </c>
      <c r="I19" t="s">
        <v>647</v>
      </c>
      <c r="J19" t="str">
        <f t="shared" si="7"/>
        <v>Asia → Japan → Osaka</v>
      </c>
      <c r="K19" s="3" t="str">
        <f t="shared" si="8"/>
        <v>Japan-2025-09</v>
      </c>
      <c r="L19" t="s">
        <v>652</v>
      </c>
      <c r="M19" t="s">
        <v>666</v>
      </c>
      <c r="N19" t="s">
        <v>701</v>
      </c>
      <c r="O19" t="s">
        <v>710</v>
      </c>
      <c r="P19" t="s">
        <v>712</v>
      </c>
      <c r="Q19" t="s">
        <v>730</v>
      </c>
      <c r="R19" t="s">
        <v>751</v>
      </c>
      <c r="S19" s="5">
        <v>1225.57</v>
      </c>
      <c r="T19" s="5">
        <v>2705.57</v>
      </c>
      <c r="U19" s="5" t="str">
        <f t="shared" si="9"/>
        <v>Valid</v>
      </c>
      <c r="V19" s="5">
        <f t="shared" si="0"/>
        <v>2705.57</v>
      </c>
      <c r="W19" s="5" t="str">
        <f t="shared" si="10"/>
        <v>High</v>
      </c>
      <c r="X19" s="5">
        <v>0.183</v>
      </c>
      <c r="Y19" s="5" t="str">
        <f t="shared" si="11"/>
        <v>Valid</v>
      </c>
      <c r="Z19" s="5">
        <f t="shared" si="12"/>
        <v>0.183</v>
      </c>
      <c r="AA19" s="5">
        <v>16</v>
      </c>
      <c r="AB19">
        <f t="shared" si="13"/>
        <v>35367.211040000002</v>
      </c>
      <c r="AC19">
        <f t="shared" si="1"/>
        <v>19609.12</v>
      </c>
      <c r="AD19">
        <f t="shared" si="14"/>
        <v>15758.091040000003</v>
      </c>
      <c r="AE19">
        <f t="shared" si="15"/>
        <v>0.44555650775453404</v>
      </c>
      <c r="AF19">
        <f t="shared" si="16"/>
        <v>0</v>
      </c>
      <c r="AG19">
        <f t="shared" si="17"/>
        <v>0</v>
      </c>
      <c r="AH19" s="5"/>
      <c r="AK19">
        <f>AA19*(1+What_if_Analysis!$B$4)</f>
        <v>19.2</v>
      </c>
      <c r="AL19" s="5">
        <f>MIN(Z19,What_if_Analysis!$B$2)</f>
        <v>0.05</v>
      </c>
      <c r="AM19">
        <f t="shared" si="18"/>
        <v>49349.596799999999</v>
      </c>
      <c r="AN19">
        <f>AM19-(AK19*(T19*(1+What_if_Analysis!$B$3)))</f>
        <v>-7792.0416000000041</v>
      </c>
    </row>
    <row r="20" spans="1:40" x14ac:dyDescent="0.3">
      <c r="A20" t="s">
        <v>33</v>
      </c>
      <c r="B20" s="3">
        <v>45858</v>
      </c>
      <c r="C20" s="3" t="str">
        <f t="shared" si="2"/>
        <v>Jul-2025</v>
      </c>
      <c r="D20" s="3" t="str">
        <f t="shared" si="3"/>
        <v>Q3-2025</v>
      </c>
      <c r="E20" s="3">
        <v>45874</v>
      </c>
      <c r="F20" s="3" t="str">
        <f t="shared" si="4"/>
        <v>Valid</v>
      </c>
      <c r="G20" s="12">
        <f t="shared" si="5"/>
        <v>16</v>
      </c>
      <c r="H20" s="3">
        <f t="shared" si="6"/>
        <v>45874</v>
      </c>
      <c r="I20" t="s">
        <v>648</v>
      </c>
      <c r="J20" t="str">
        <f t="shared" si="7"/>
        <v>Americas → Brazil → Brasília</v>
      </c>
      <c r="K20" s="3" t="str">
        <f t="shared" si="8"/>
        <v>Brazil-2025-07</v>
      </c>
      <c r="L20" t="s">
        <v>655</v>
      </c>
      <c r="M20" t="s">
        <v>672</v>
      </c>
      <c r="N20" t="s">
        <v>706</v>
      </c>
      <c r="O20" t="s">
        <v>709</v>
      </c>
      <c r="P20" t="s">
        <v>715</v>
      </c>
      <c r="Q20" t="s">
        <v>733</v>
      </c>
      <c r="R20" t="s">
        <v>752</v>
      </c>
      <c r="S20" s="5">
        <v>1068.17</v>
      </c>
      <c r="T20" s="5">
        <v>2375.37</v>
      </c>
      <c r="U20" s="5" t="str">
        <f t="shared" si="9"/>
        <v>Valid</v>
      </c>
      <c r="V20" s="5">
        <f t="shared" si="0"/>
        <v>2375.37</v>
      </c>
      <c r="W20" s="5" t="str">
        <f t="shared" si="10"/>
        <v>High</v>
      </c>
      <c r="X20" s="5">
        <v>0.109</v>
      </c>
      <c r="Y20" s="5" t="str">
        <f t="shared" si="11"/>
        <v>Valid</v>
      </c>
      <c r="Z20" s="5">
        <f t="shared" si="12"/>
        <v>0.109</v>
      </c>
      <c r="AA20" s="5">
        <v>18</v>
      </c>
      <c r="AB20">
        <f t="shared" si="13"/>
        <v>38096.18406</v>
      </c>
      <c r="AC20">
        <f t="shared" si="1"/>
        <v>19227.060000000001</v>
      </c>
      <c r="AD20">
        <f t="shared" si="14"/>
        <v>18869.124059999998</v>
      </c>
      <c r="AE20">
        <f t="shared" si="15"/>
        <v>0.49530220744108822</v>
      </c>
      <c r="AF20">
        <f t="shared" si="16"/>
        <v>0</v>
      </c>
      <c r="AG20">
        <f t="shared" si="17"/>
        <v>0</v>
      </c>
      <c r="AH20" s="5"/>
      <c r="AJ20">
        <f>MIN(IF($L$2:$L$633=L2,$B$2:$B$633))</f>
        <v>0</v>
      </c>
      <c r="AK20">
        <f>AA20*(1+What_if_Analysis!$B$4)</f>
        <v>21.599999999999998</v>
      </c>
      <c r="AL20" s="5">
        <f>MIN(Z20,What_if_Analysis!$B$2)</f>
        <v>0.05</v>
      </c>
      <c r="AM20">
        <f t="shared" si="18"/>
        <v>48742.592399999987</v>
      </c>
      <c r="AN20">
        <f>AM20-(AK20*(T20*(1+What_if_Analysis!$B$3)))</f>
        <v>-7696.1988000000129</v>
      </c>
    </row>
    <row r="21" spans="1:40" x14ac:dyDescent="0.3">
      <c r="A21" t="s">
        <v>34</v>
      </c>
      <c r="B21" s="3">
        <v>45798</v>
      </c>
      <c r="C21" s="3" t="str">
        <f t="shared" si="2"/>
        <v>May-2025</v>
      </c>
      <c r="D21" s="3" t="str">
        <f t="shared" si="3"/>
        <v>Q2-2025</v>
      </c>
      <c r="E21" s="3">
        <v>45796</v>
      </c>
      <c r="F21" s="3" t="str">
        <f t="shared" si="4"/>
        <v>Invalid RequiredDate</v>
      </c>
      <c r="G21" s="12">
        <f t="shared" si="5"/>
        <v>-2</v>
      </c>
      <c r="H21" s="3">
        <f t="shared" si="6"/>
        <v>45824</v>
      </c>
      <c r="I21" t="s">
        <v>649</v>
      </c>
      <c r="J21" t="str">
        <f t="shared" si="7"/>
        <v>Europe → United Kingdom → Birmingham</v>
      </c>
      <c r="K21" s="3" t="str">
        <f t="shared" si="8"/>
        <v>United Kingdom-2025-05</v>
      </c>
      <c r="L21" t="s">
        <v>658</v>
      </c>
      <c r="M21" t="s">
        <v>674</v>
      </c>
      <c r="N21" t="s">
        <v>706</v>
      </c>
      <c r="O21" t="s">
        <v>708</v>
      </c>
      <c r="P21" t="s">
        <v>724</v>
      </c>
      <c r="Q21" t="s">
        <v>731</v>
      </c>
      <c r="R21" t="s">
        <v>753</v>
      </c>
      <c r="S21" s="5">
        <v>1015.16</v>
      </c>
      <c r="T21" s="5">
        <v>2148.14</v>
      </c>
      <c r="U21" s="5" t="str">
        <f t="shared" si="9"/>
        <v>Valid</v>
      </c>
      <c r="V21" s="5">
        <f t="shared" si="0"/>
        <v>2148.14</v>
      </c>
      <c r="W21" s="5" t="str">
        <f t="shared" si="10"/>
        <v>High</v>
      </c>
      <c r="X21" s="5">
        <v>3.7999999999999999E-2</v>
      </c>
      <c r="Y21" s="5" t="str">
        <f t="shared" si="11"/>
        <v>Valid</v>
      </c>
      <c r="Z21" s="5">
        <f t="shared" si="12"/>
        <v>3.7999999999999999E-2</v>
      </c>
      <c r="AA21" s="5">
        <v>19</v>
      </c>
      <c r="AB21">
        <f t="shared" si="13"/>
        <v>39263.702919999996</v>
      </c>
      <c r="AC21">
        <f t="shared" si="1"/>
        <v>19288.04</v>
      </c>
      <c r="AD21">
        <f t="shared" si="14"/>
        <v>19975.662919999995</v>
      </c>
      <c r="AE21">
        <f t="shared" si="15"/>
        <v>0.50875647059322227</v>
      </c>
      <c r="AF21">
        <f t="shared" si="16"/>
        <v>1</v>
      </c>
      <c r="AG21">
        <f t="shared" si="17"/>
        <v>0</v>
      </c>
      <c r="AH21" s="3"/>
      <c r="AK21">
        <f>AA21*(1+What_if_Analysis!$B$4)</f>
        <v>22.8</v>
      </c>
      <c r="AL21" s="5">
        <f>MIN(Z21,What_if_Analysis!$B$2)</f>
        <v>3.7999999999999999E-2</v>
      </c>
      <c r="AM21">
        <f t="shared" si="18"/>
        <v>47116.443503999995</v>
      </c>
      <c r="AN21">
        <f>AM21-(AK21*(T21*(1+What_if_Analysis!$B$3)))</f>
        <v>-6758.9076960000093</v>
      </c>
    </row>
    <row r="22" spans="1:40" x14ac:dyDescent="0.3">
      <c r="A22" t="s">
        <v>35</v>
      </c>
      <c r="B22" s="3">
        <v>45498</v>
      </c>
      <c r="C22" s="3" t="str">
        <f t="shared" si="2"/>
        <v>Jul-2024</v>
      </c>
      <c r="D22" s="3" t="str">
        <f t="shared" si="3"/>
        <v>Q3-2024</v>
      </c>
      <c r="E22" s="3">
        <v>45497</v>
      </c>
      <c r="F22" s="3" t="str">
        <f t="shared" si="4"/>
        <v>Invalid RequiredDate</v>
      </c>
      <c r="G22" s="12">
        <f t="shared" si="5"/>
        <v>-1</v>
      </c>
      <c r="H22" s="3">
        <f t="shared" si="6"/>
        <v>45524</v>
      </c>
      <c r="I22" t="s">
        <v>646</v>
      </c>
      <c r="J22" t="str">
        <f t="shared" si="7"/>
        <v>Africa → Kenya → Mombasa</v>
      </c>
      <c r="K22" s="3" t="str">
        <f t="shared" si="8"/>
        <v>Kenya-2024-07</v>
      </c>
      <c r="L22" t="s">
        <v>650</v>
      </c>
      <c r="M22" t="s">
        <v>675</v>
      </c>
      <c r="N22" t="s">
        <v>703</v>
      </c>
      <c r="O22" t="s">
        <v>711</v>
      </c>
      <c r="P22" t="s">
        <v>713</v>
      </c>
      <c r="Q22" t="s">
        <v>731</v>
      </c>
      <c r="R22" t="s">
        <v>754</v>
      </c>
      <c r="S22" s="5">
        <v>1494.4</v>
      </c>
      <c r="T22" s="5">
        <v>3661.07</v>
      </c>
      <c r="U22" s="5" t="str">
        <f t="shared" si="9"/>
        <v>Valid</v>
      </c>
      <c r="V22" s="5">
        <f t="shared" si="0"/>
        <v>3661.07</v>
      </c>
      <c r="W22" s="5" t="str">
        <f t="shared" si="10"/>
        <v>High</v>
      </c>
      <c r="X22" s="5">
        <v>7.1999999999999995E-2</v>
      </c>
      <c r="Y22" s="5" t="str">
        <f t="shared" si="11"/>
        <v>Valid</v>
      </c>
      <c r="Z22" s="5">
        <f t="shared" si="12"/>
        <v>7.1999999999999995E-2</v>
      </c>
      <c r="AA22" s="5">
        <v>7</v>
      </c>
      <c r="AB22">
        <f t="shared" si="13"/>
        <v>23782.310720000001</v>
      </c>
      <c r="AC22">
        <f t="shared" si="1"/>
        <v>10460.800000000001</v>
      </c>
      <c r="AD22">
        <f t="shared" si="14"/>
        <v>13321.51072</v>
      </c>
      <c r="AE22">
        <f t="shared" si="15"/>
        <v>0.56014366630897339</v>
      </c>
      <c r="AF22">
        <f t="shared" si="16"/>
        <v>1</v>
      </c>
      <c r="AG22">
        <f t="shared" si="17"/>
        <v>0</v>
      </c>
      <c r="AH22" s="5"/>
      <c r="AK22">
        <f>AA22*(1+What_if_Analysis!$B$4)</f>
        <v>8.4</v>
      </c>
      <c r="AL22" s="5">
        <f>MIN(Z22,What_if_Analysis!$B$2)</f>
        <v>0.05</v>
      </c>
      <c r="AM22">
        <f t="shared" si="18"/>
        <v>29215.338599999999</v>
      </c>
      <c r="AN22">
        <f>AM22-(AK22*(T22*(1+What_if_Analysis!$B$3)))</f>
        <v>-4612.9482000000098</v>
      </c>
    </row>
    <row r="23" spans="1:40" x14ac:dyDescent="0.3">
      <c r="A23" t="s">
        <v>36</v>
      </c>
      <c r="B23" s="3">
        <v>45057</v>
      </c>
      <c r="C23" s="3" t="str">
        <f t="shared" si="2"/>
        <v>May-2023</v>
      </c>
      <c r="D23" s="3" t="str">
        <f t="shared" si="3"/>
        <v>Q2-2023</v>
      </c>
      <c r="E23" s="3">
        <v>45074</v>
      </c>
      <c r="F23" s="3" t="str">
        <f t="shared" si="4"/>
        <v>Valid</v>
      </c>
      <c r="G23" s="12">
        <f t="shared" si="5"/>
        <v>17</v>
      </c>
      <c r="H23" s="3">
        <f>IF(E23&lt;B23,B23+$G$2,E23)</f>
        <v>45074</v>
      </c>
      <c r="I23" t="s">
        <v>647</v>
      </c>
      <c r="J23" t="str">
        <f t="shared" si="7"/>
        <v>Asia → China → Shenzhen</v>
      </c>
      <c r="K23" s="3" t="str">
        <f t="shared" si="8"/>
        <v>China-2023-05</v>
      </c>
      <c r="L23" t="s">
        <v>659</v>
      </c>
      <c r="M23" t="s">
        <v>676</v>
      </c>
      <c r="N23" t="s">
        <v>706</v>
      </c>
      <c r="O23" t="s">
        <v>709</v>
      </c>
      <c r="P23" t="s">
        <v>718</v>
      </c>
      <c r="Q23" t="s">
        <v>729</v>
      </c>
      <c r="R23" t="s">
        <v>755</v>
      </c>
      <c r="S23" s="5">
        <v>1331.19</v>
      </c>
      <c r="T23" s="5">
        <v>2903.09</v>
      </c>
      <c r="U23" s="5" t="str">
        <f t="shared" si="9"/>
        <v>Valid</v>
      </c>
      <c r="V23" s="5">
        <f t="shared" si="0"/>
        <v>2903.09</v>
      </c>
      <c r="W23" s="5" t="str">
        <f t="shared" si="10"/>
        <v>High</v>
      </c>
      <c r="X23" s="5">
        <v>0.14299999999999999</v>
      </c>
      <c r="Y23" s="5" t="str">
        <f t="shared" si="11"/>
        <v>Valid</v>
      </c>
      <c r="Z23" s="5">
        <f t="shared" si="12"/>
        <v>0.14299999999999999</v>
      </c>
      <c r="AA23" s="5">
        <v>8</v>
      </c>
      <c r="AB23">
        <f t="shared" si="13"/>
        <v>19903.585040000002</v>
      </c>
      <c r="AC23">
        <f t="shared" si="1"/>
        <v>10649.52</v>
      </c>
      <c r="AD23">
        <f t="shared" si="14"/>
        <v>9254.0650400000013</v>
      </c>
      <c r="AE23">
        <f t="shared" si="15"/>
        <v>0.46494463290920784</v>
      </c>
      <c r="AF23">
        <f t="shared" si="16"/>
        <v>0</v>
      </c>
      <c r="AG23">
        <f t="shared" si="17"/>
        <v>0</v>
      </c>
      <c r="AH23" s="5"/>
      <c r="AK23">
        <f>AA23*(1+What_if_Analysis!$B$4)</f>
        <v>9.6</v>
      </c>
      <c r="AL23" s="5">
        <f>MIN(Z23,What_if_Analysis!$B$2)</f>
        <v>0.05</v>
      </c>
      <c r="AM23">
        <f t="shared" si="18"/>
        <v>26476.180799999998</v>
      </c>
      <c r="AN23">
        <f>AM23-(AK23*(T23*(1+What_if_Analysis!$B$3)))</f>
        <v>-4180.4496000000036</v>
      </c>
    </row>
    <row r="24" spans="1:40" x14ac:dyDescent="0.3">
      <c r="A24" t="s">
        <v>37</v>
      </c>
      <c r="B24" s="3">
        <v>45822</v>
      </c>
      <c r="C24" s="3" t="str">
        <f t="shared" si="2"/>
        <v>Jun-2025</v>
      </c>
      <c r="D24" s="3" t="str">
        <f t="shared" si="3"/>
        <v>Q2-2025</v>
      </c>
      <c r="E24" s="3">
        <v>45837</v>
      </c>
      <c r="F24" s="3" t="str">
        <f t="shared" si="4"/>
        <v>Valid</v>
      </c>
      <c r="G24" s="12">
        <f t="shared" si="5"/>
        <v>15</v>
      </c>
      <c r="H24" s="3">
        <f t="shared" si="6"/>
        <v>45837</v>
      </c>
      <c r="I24" t="s">
        <v>646</v>
      </c>
      <c r="J24" t="str">
        <f t="shared" si="7"/>
        <v>Africa → Nigeria → Port Harcourt</v>
      </c>
      <c r="K24" s="3" t="str">
        <f t="shared" si="8"/>
        <v>Nigeria-2025-06</v>
      </c>
      <c r="L24" t="s">
        <v>651</v>
      </c>
      <c r="M24" t="s">
        <v>663</v>
      </c>
      <c r="N24" t="s">
        <v>704</v>
      </c>
      <c r="O24" t="s">
        <v>709</v>
      </c>
      <c r="P24" t="s">
        <v>724</v>
      </c>
      <c r="Q24" t="s">
        <v>733</v>
      </c>
      <c r="R24" t="s">
        <v>756</v>
      </c>
      <c r="S24" s="5">
        <v>730.99</v>
      </c>
      <c r="T24" s="5">
        <v>1242.8399999999999</v>
      </c>
      <c r="U24" s="5" t="str">
        <f t="shared" si="9"/>
        <v>Valid</v>
      </c>
      <c r="V24" s="5">
        <f t="shared" si="0"/>
        <v>1242.8399999999999</v>
      </c>
      <c r="W24" s="5" t="str">
        <f t="shared" si="10"/>
        <v>Medium</v>
      </c>
      <c r="X24" s="5">
        <v>0.12</v>
      </c>
      <c r="Y24" s="5" t="str">
        <f t="shared" si="11"/>
        <v>Valid</v>
      </c>
      <c r="Z24" s="5">
        <f t="shared" si="12"/>
        <v>0.12</v>
      </c>
      <c r="AA24" s="5">
        <v>10</v>
      </c>
      <c r="AB24">
        <f t="shared" si="13"/>
        <v>10936.992</v>
      </c>
      <c r="AC24">
        <f t="shared" si="1"/>
        <v>7309.9</v>
      </c>
      <c r="AD24">
        <f t="shared" si="14"/>
        <v>3627.0920000000006</v>
      </c>
      <c r="AE24">
        <f t="shared" si="15"/>
        <v>0.33163524303574515</v>
      </c>
      <c r="AF24">
        <f t="shared" si="16"/>
        <v>0</v>
      </c>
      <c r="AG24">
        <f t="shared" si="17"/>
        <v>0</v>
      </c>
      <c r="AH24" s="5"/>
      <c r="AK24">
        <f>AA24*(1+What_if_Analysis!$B$4)</f>
        <v>12</v>
      </c>
      <c r="AL24" s="5">
        <f>MIN(Z24,What_if_Analysis!$B$2)</f>
        <v>0.05</v>
      </c>
      <c r="AM24">
        <f t="shared" si="18"/>
        <v>14168.375999999998</v>
      </c>
      <c r="AN24">
        <f>AM24-(AK24*(T24*(1+What_if_Analysis!$B$3)))</f>
        <v>-2237.1120000000028</v>
      </c>
    </row>
    <row r="25" spans="1:40" x14ac:dyDescent="0.3">
      <c r="A25" t="s">
        <v>38</v>
      </c>
      <c r="B25" s="3">
        <v>45430</v>
      </c>
      <c r="C25" s="3" t="str">
        <f t="shared" si="2"/>
        <v>May-2024</v>
      </c>
      <c r="D25" s="3" t="str">
        <f t="shared" si="3"/>
        <v>Q2-2024</v>
      </c>
      <c r="E25" s="3">
        <v>45435</v>
      </c>
      <c r="F25" s="3" t="str">
        <f t="shared" si="4"/>
        <v>Valid</v>
      </c>
      <c r="G25" s="12">
        <f t="shared" si="5"/>
        <v>5</v>
      </c>
      <c r="H25" s="3">
        <f t="shared" si="6"/>
        <v>45435</v>
      </c>
      <c r="I25" t="s">
        <v>648</v>
      </c>
      <c r="J25" t="str">
        <f t="shared" si="7"/>
        <v>Americas → USA → Chicago</v>
      </c>
      <c r="K25" s="3" t="str">
        <f t="shared" si="8"/>
        <v>USA-2024-05</v>
      </c>
      <c r="L25" t="s">
        <v>660</v>
      </c>
      <c r="M25" t="s">
        <v>677</v>
      </c>
      <c r="N25" t="s">
        <v>706</v>
      </c>
      <c r="O25" t="s">
        <v>707</v>
      </c>
      <c r="P25" t="s">
        <v>722</v>
      </c>
      <c r="Q25" t="s">
        <v>731</v>
      </c>
      <c r="R25" t="s">
        <v>757</v>
      </c>
      <c r="S25" s="5">
        <v>1274.5899999999999</v>
      </c>
      <c r="T25" s="5">
        <v>2553.69</v>
      </c>
      <c r="U25" s="5" t="str">
        <f t="shared" si="9"/>
        <v>Valid</v>
      </c>
      <c r="V25" s="5">
        <f t="shared" si="0"/>
        <v>2553.69</v>
      </c>
      <c r="W25" s="5" t="str">
        <f t="shared" si="10"/>
        <v>High</v>
      </c>
      <c r="X25" s="5">
        <v>0.01</v>
      </c>
      <c r="Y25" s="5" t="str">
        <f t="shared" si="11"/>
        <v>Valid</v>
      </c>
      <c r="Z25" s="5">
        <f t="shared" si="12"/>
        <v>0.01</v>
      </c>
      <c r="AA25" s="5">
        <v>8</v>
      </c>
      <c r="AB25">
        <f t="shared" si="13"/>
        <v>20225.2248</v>
      </c>
      <c r="AC25">
        <f t="shared" si="1"/>
        <v>10196.719999999999</v>
      </c>
      <c r="AD25">
        <f t="shared" si="14"/>
        <v>10028.504800000001</v>
      </c>
      <c r="AE25">
        <f t="shared" si="15"/>
        <v>0.49584145042481803</v>
      </c>
      <c r="AF25">
        <f t="shared" si="16"/>
        <v>1</v>
      </c>
      <c r="AG25">
        <f t="shared" si="17"/>
        <v>0</v>
      </c>
      <c r="AH25" s="5"/>
      <c r="AK25">
        <f>AA25*(1+What_if_Analysis!$B$4)</f>
        <v>9.6</v>
      </c>
      <c r="AL25" s="5">
        <f>MIN(Z25,What_if_Analysis!$B$2)</f>
        <v>0.01</v>
      </c>
      <c r="AM25">
        <f t="shared" si="18"/>
        <v>24270.269759999999</v>
      </c>
      <c r="AN25">
        <f>AM25-(AK25*(T25*(1+What_if_Analysis!$B$3)))</f>
        <v>-2696.6966400000019</v>
      </c>
    </row>
    <row r="26" spans="1:40" x14ac:dyDescent="0.3">
      <c r="A26" t="s">
        <v>39</v>
      </c>
      <c r="B26" s="3">
        <v>44964</v>
      </c>
      <c r="C26" s="3" t="str">
        <f t="shared" si="2"/>
        <v>Feb-2023</v>
      </c>
      <c r="D26" s="3" t="str">
        <f t="shared" si="3"/>
        <v>Q1-2023</v>
      </c>
      <c r="E26" s="3">
        <v>44969</v>
      </c>
      <c r="F26" s="3" t="str">
        <f t="shared" si="4"/>
        <v>Valid</v>
      </c>
      <c r="G26" s="12">
        <f t="shared" si="5"/>
        <v>5</v>
      </c>
      <c r="H26" s="3">
        <f t="shared" si="6"/>
        <v>44969</v>
      </c>
      <c r="I26" t="s">
        <v>648</v>
      </c>
      <c r="J26" t="str">
        <f t="shared" si="7"/>
        <v>Americas → Brazil → São Paulo</v>
      </c>
      <c r="K26" s="3" t="str">
        <f t="shared" si="8"/>
        <v>Brazil-2023-02</v>
      </c>
      <c r="L26" t="s">
        <v>655</v>
      </c>
      <c r="M26" t="s">
        <v>670</v>
      </c>
      <c r="N26" t="s">
        <v>702</v>
      </c>
      <c r="O26" t="s">
        <v>708</v>
      </c>
      <c r="P26" t="s">
        <v>725</v>
      </c>
      <c r="Q26" t="s">
        <v>727</v>
      </c>
      <c r="R26" t="s">
        <v>758</v>
      </c>
      <c r="S26" s="5">
        <v>948.55</v>
      </c>
      <c r="T26" s="5">
        <v>2089.16</v>
      </c>
      <c r="U26" s="5" t="str">
        <f t="shared" si="9"/>
        <v>Valid</v>
      </c>
      <c r="V26" s="5">
        <f t="shared" si="0"/>
        <v>2089.16</v>
      </c>
      <c r="W26" s="5" t="str">
        <f t="shared" si="10"/>
        <v>High</v>
      </c>
      <c r="X26" s="5">
        <v>7.0000000000000001E-3</v>
      </c>
      <c r="Y26" s="5" t="str">
        <f t="shared" si="11"/>
        <v>Valid</v>
      </c>
      <c r="Z26" s="5">
        <f t="shared" si="12"/>
        <v>7.0000000000000001E-3</v>
      </c>
      <c r="AA26" s="5">
        <v>12</v>
      </c>
      <c r="AB26">
        <f t="shared" si="13"/>
        <v>24894.430559999997</v>
      </c>
      <c r="AC26">
        <f t="shared" si="1"/>
        <v>11382.599999999999</v>
      </c>
      <c r="AD26">
        <f t="shared" si="14"/>
        <v>13511.830559999999</v>
      </c>
      <c r="AE26">
        <f t="shared" si="15"/>
        <v>0.54276519912492427</v>
      </c>
      <c r="AF26">
        <f t="shared" si="16"/>
        <v>1</v>
      </c>
      <c r="AG26">
        <f t="shared" si="17"/>
        <v>0</v>
      </c>
      <c r="AH26" s="5"/>
      <c r="AK26">
        <f>AA26*(1+What_if_Analysis!$B$4)</f>
        <v>14.399999999999999</v>
      </c>
      <c r="AL26" s="5">
        <f>MIN(Z26,What_if_Analysis!$B$2)</f>
        <v>7.0000000000000001E-3</v>
      </c>
      <c r="AM26">
        <f t="shared" si="18"/>
        <v>29873.316671999994</v>
      </c>
      <c r="AN26">
        <f>AM26-(AK26*(T26*(1+What_if_Analysis!$B$3)))</f>
        <v>-3218.9777280000053</v>
      </c>
    </row>
    <row r="27" spans="1:40" x14ac:dyDescent="0.3">
      <c r="A27" t="s">
        <v>40</v>
      </c>
      <c r="B27" s="3">
        <v>45473</v>
      </c>
      <c r="C27" s="3" t="str">
        <f t="shared" si="2"/>
        <v>Jun-2024</v>
      </c>
      <c r="D27" s="3" t="str">
        <f t="shared" si="3"/>
        <v>Q2-2024</v>
      </c>
      <c r="E27" s="3">
        <v>45487</v>
      </c>
      <c r="F27" s="3" t="str">
        <f t="shared" si="4"/>
        <v>Valid</v>
      </c>
      <c r="G27" s="12">
        <f t="shared" si="5"/>
        <v>14</v>
      </c>
      <c r="H27" s="3">
        <f t="shared" si="6"/>
        <v>45487</v>
      </c>
      <c r="I27" t="s">
        <v>648</v>
      </c>
      <c r="J27" t="str">
        <f t="shared" si="7"/>
        <v>Americas → Brazil → Brasília</v>
      </c>
      <c r="K27" s="3" t="str">
        <f t="shared" si="8"/>
        <v>Brazil-2024-06</v>
      </c>
      <c r="L27" t="s">
        <v>655</v>
      </c>
      <c r="M27" t="s">
        <v>672</v>
      </c>
      <c r="N27" t="s">
        <v>702</v>
      </c>
      <c r="O27" t="s">
        <v>707</v>
      </c>
      <c r="P27" t="s">
        <v>712</v>
      </c>
      <c r="Q27" t="s">
        <v>733</v>
      </c>
      <c r="R27" t="s">
        <v>759</v>
      </c>
      <c r="S27" s="5">
        <v>1491.85</v>
      </c>
      <c r="T27" s="5">
        <v>2583.02</v>
      </c>
      <c r="U27" s="5" t="str">
        <f t="shared" si="9"/>
        <v>Valid</v>
      </c>
      <c r="V27" s="5">
        <f t="shared" si="0"/>
        <v>2583.02</v>
      </c>
      <c r="W27" s="5" t="str">
        <f t="shared" si="10"/>
        <v>High</v>
      </c>
      <c r="X27" s="5">
        <v>0.16800000000000001</v>
      </c>
      <c r="Y27" s="5" t="str">
        <f t="shared" si="11"/>
        <v>Valid</v>
      </c>
      <c r="Z27" s="5">
        <f t="shared" si="12"/>
        <v>0.16800000000000001</v>
      </c>
      <c r="AA27" s="5">
        <v>4</v>
      </c>
      <c r="AB27">
        <f t="shared" si="13"/>
        <v>8596.2905599999995</v>
      </c>
      <c r="AC27">
        <f t="shared" si="1"/>
        <v>5967.4</v>
      </c>
      <c r="AD27">
        <f t="shared" si="14"/>
        <v>2628.8905599999998</v>
      </c>
      <c r="AE27">
        <f t="shared" si="15"/>
        <v>0.30581685689321325</v>
      </c>
      <c r="AF27">
        <f t="shared" si="16"/>
        <v>0</v>
      </c>
      <c r="AG27">
        <f t="shared" si="17"/>
        <v>0</v>
      </c>
      <c r="AH27" s="5"/>
      <c r="AK27">
        <f>AA27*(1+What_if_Analysis!$B$4)</f>
        <v>4.8</v>
      </c>
      <c r="AL27" s="5">
        <f>MIN(Z27,What_if_Analysis!$B$2)</f>
        <v>0.05</v>
      </c>
      <c r="AM27">
        <f t="shared" si="18"/>
        <v>11778.571199999998</v>
      </c>
      <c r="AN27">
        <f>AM27-(AK27*(T27*(1+What_if_Analysis!$B$3)))</f>
        <v>-1859.7744000000021</v>
      </c>
    </row>
    <row r="28" spans="1:40" x14ac:dyDescent="0.3">
      <c r="A28" t="s">
        <v>41</v>
      </c>
      <c r="B28" s="3">
        <v>45626</v>
      </c>
      <c r="C28" s="3" t="str">
        <f t="shared" si="2"/>
        <v>Nov-2024</v>
      </c>
      <c r="D28" s="3" t="str">
        <f t="shared" si="3"/>
        <v>Q4-2024</v>
      </c>
      <c r="E28" s="3">
        <v>45656</v>
      </c>
      <c r="F28" s="3" t="str">
        <f t="shared" si="4"/>
        <v>Valid</v>
      </c>
      <c r="G28" s="12">
        <f t="shared" si="5"/>
        <v>30</v>
      </c>
      <c r="H28" s="3">
        <f t="shared" si="6"/>
        <v>45656</v>
      </c>
      <c r="I28" t="s">
        <v>649</v>
      </c>
      <c r="J28" t="str">
        <f t="shared" si="7"/>
        <v>Europe → France → Marseille</v>
      </c>
      <c r="K28" s="3" t="str">
        <f t="shared" si="8"/>
        <v>France-2024-11</v>
      </c>
      <c r="L28" t="s">
        <v>657</v>
      </c>
      <c r="M28" t="s">
        <v>673</v>
      </c>
      <c r="N28" t="s">
        <v>704</v>
      </c>
      <c r="O28" t="s">
        <v>709</v>
      </c>
      <c r="P28" t="s">
        <v>721</v>
      </c>
      <c r="Q28" t="s">
        <v>728</v>
      </c>
      <c r="R28" t="s">
        <v>760</v>
      </c>
      <c r="S28" s="5">
        <v>117.64</v>
      </c>
      <c r="T28" s="5">
        <v>175.67</v>
      </c>
      <c r="U28" s="5" t="str">
        <f t="shared" si="9"/>
        <v>Valid</v>
      </c>
      <c r="V28" s="5">
        <f t="shared" si="0"/>
        <v>175.67</v>
      </c>
      <c r="W28" s="5" t="str">
        <f t="shared" si="10"/>
        <v>Low</v>
      </c>
      <c r="X28" s="5">
        <v>0</v>
      </c>
      <c r="Y28" s="5" t="str">
        <f t="shared" si="11"/>
        <v>Valid</v>
      </c>
      <c r="Z28" s="5">
        <f t="shared" si="12"/>
        <v>0</v>
      </c>
      <c r="AA28" s="5">
        <v>10</v>
      </c>
      <c r="AB28">
        <f t="shared" si="13"/>
        <v>1756.6999999999998</v>
      </c>
      <c r="AC28">
        <f t="shared" si="1"/>
        <v>1176.4000000000001</v>
      </c>
      <c r="AD28">
        <f t="shared" si="14"/>
        <v>580.29999999999973</v>
      </c>
      <c r="AE28">
        <f t="shared" si="15"/>
        <v>0.33033528775545046</v>
      </c>
      <c r="AF28">
        <f t="shared" si="16"/>
        <v>0</v>
      </c>
      <c r="AG28">
        <f t="shared" si="17"/>
        <v>0</v>
      </c>
      <c r="AH28" s="5"/>
      <c r="AK28">
        <f>AA28*(1+What_if_Analysis!$B$4)</f>
        <v>12</v>
      </c>
      <c r="AL28" s="5">
        <f>MIN(Z28,What_if_Analysis!$B$2)</f>
        <v>0</v>
      </c>
      <c r="AM28">
        <f t="shared" si="18"/>
        <v>2108.04</v>
      </c>
      <c r="AN28">
        <f>AM28-(AK28*(T28*(1+What_if_Analysis!$B$3)))</f>
        <v>-210.80400000000009</v>
      </c>
    </row>
    <row r="29" spans="1:40" x14ac:dyDescent="0.3">
      <c r="A29" t="s">
        <v>42</v>
      </c>
      <c r="B29" s="3">
        <v>45492</v>
      </c>
      <c r="C29" s="3" t="str">
        <f t="shared" si="2"/>
        <v>Jul-2024</v>
      </c>
      <c r="D29" s="3" t="str">
        <f t="shared" si="3"/>
        <v>Q3-2024</v>
      </c>
      <c r="E29" s="3">
        <v>45492</v>
      </c>
      <c r="F29" s="3" t="str">
        <f t="shared" si="4"/>
        <v>Valid</v>
      </c>
      <c r="G29" s="12">
        <f t="shared" si="5"/>
        <v>0</v>
      </c>
      <c r="H29" s="3">
        <f t="shared" si="6"/>
        <v>45492</v>
      </c>
      <c r="I29" t="s">
        <v>646</v>
      </c>
      <c r="J29" t="str">
        <f t="shared" si="7"/>
        <v>Africa → Kenya → Kisumu</v>
      </c>
      <c r="K29" s="3" t="str">
        <f t="shared" si="8"/>
        <v>Kenya-2024-07</v>
      </c>
      <c r="L29" t="s">
        <v>650</v>
      </c>
      <c r="M29" t="s">
        <v>662</v>
      </c>
      <c r="N29" t="s">
        <v>705</v>
      </c>
      <c r="O29" t="s">
        <v>707</v>
      </c>
      <c r="P29" t="s">
        <v>720</v>
      </c>
      <c r="Q29" t="s">
        <v>730</v>
      </c>
      <c r="R29" t="s">
        <v>761</v>
      </c>
      <c r="S29" s="5">
        <v>857.24</v>
      </c>
      <c r="T29" s="5">
        <v>758.23</v>
      </c>
      <c r="U29" s="5" t="str">
        <f t="shared" si="9"/>
        <v>Valid</v>
      </c>
      <c r="V29" s="5">
        <f t="shared" si="0"/>
        <v>758.23</v>
      </c>
      <c r="W29" s="5" t="str">
        <f t="shared" si="10"/>
        <v>Medium</v>
      </c>
      <c r="X29" s="5">
        <v>0.125</v>
      </c>
      <c r="Y29" s="5" t="str">
        <f t="shared" si="11"/>
        <v>Valid</v>
      </c>
      <c r="Z29" s="5">
        <f t="shared" si="12"/>
        <v>0.125</v>
      </c>
      <c r="AA29" s="5">
        <v>6</v>
      </c>
      <c r="AB29">
        <f t="shared" si="13"/>
        <v>3980.7075</v>
      </c>
      <c r="AC29">
        <f t="shared" si="1"/>
        <v>5143.4400000000005</v>
      </c>
      <c r="AD29">
        <f t="shared" si="14"/>
        <v>-1162.7325000000005</v>
      </c>
      <c r="AE29">
        <f t="shared" si="15"/>
        <v>-0.29209192084572921</v>
      </c>
      <c r="AF29">
        <f t="shared" si="16"/>
        <v>1</v>
      </c>
      <c r="AG29">
        <f t="shared" si="17"/>
        <v>0</v>
      </c>
      <c r="AH29" s="5"/>
      <c r="AK29">
        <f>AA29*(1+What_if_Analysis!$B$4)</f>
        <v>7.1999999999999993</v>
      </c>
      <c r="AL29" s="5">
        <f>MIN(Z29,What_if_Analysis!$B$2)</f>
        <v>0.05</v>
      </c>
      <c r="AM29">
        <f t="shared" si="18"/>
        <v>5186.2931999999992</v>
      </c>
      <c r="AN29">
        <f>AM29-(AK29*(T29*(1+What_if_Analysis!$B$3)))</f>
        <v>-818.88840000000073</v>
      </c>
    </row>
    <row r="30" spans="1:40" x14ac:dyDescent="0.3">
      <c r="A30" t="s">
        <v>43</v>
      </c>
      <c r="B30" s="3">
        <v>45030</v>
      </c>
      <c r="C30" s="3" t="str">
        <f t="shared" si="2"/>
        <v>Apr-2023</v>
      </c>
      <c r="D30" s="3" t="str">
        <f t="shared" si="3"/>
        <v>Q2-2023</v>
      </c>
      <c r="E30" s="3">
        <v>45060</v>
      </c>
      <c r="F30" s="3" t="str">
        <f t="shared" si="4"/>
        <v>Valid</v>
      </c>
      <c r="G30" s="12">
        <f t="shared" si="5"/>
        <v>30</v>
      </c>
      <c r="H30" s="3">
        <f t="shared" si="6"/>
        <v>45060</v>
      </c>
      <c r="I30" t="s">
        <v>646</v>
      </c>
      <c r="J30" t="str">
        <f t="shared" si="7"/>
        <v>Africa → Kenya → Nakuru</v>
      </c>
      <c r="K30" s="3" t="str">
        <f t="shared" si="8"/>
        <v>Kenya-2023-04</v>
      </c>
      <c r="L30" t="s">
        <v>650</v>
      </c>
      <c r="M30" t="s">
        <v>678</v>
      </c>
      <c r="N30" t="s">
        <v>704</v>
      </c>
      <c r="O30" t="s">
        <v>709</v>
      </c>
      <c r="P30" t="s">
        <v>724</v>
      </c>
      <c r="Q30" t="s">
        <v>730</v>
      </c>
      <c r="R30" t="s">
        <v>762</v>
      </c>
      <c r="S30" s="5">
        <v>209.25</v>
      </c>
      <c r="T30" s="5">
        <v>434.8</v>
      </c>
      <c r="U30" s="5" t="str">
        <f t="shared" si="9"/>
        <v>Valid</v>
      </c>
      <c r="V30" s="5">
        <f t="shared" si="0"/>
        <v>434.8</v>
      </c>
      <c r="W30" s="5" t="str">
        <f t="shared" si="10"/>
        <v>Low</v>
      </c>
      <c r="X30" s="5">
        <v>0</v>
      </c>
      <c r="Y30" s="5" t="str">
        <f t="shared" si="11"/>
        <v>Valid</v>
      </c>
      <c r="Z30" s="5">
        <f t="shared" si="12"/>
        <v>0</v>
      </c>
      <c r="AA30" s="5">
        <v>9</v>
      </c>
      <c r="AB30">
        <f t="shared" si="13"/>
        <v>3913.2000000000003</v>
      </c>
      <c r="AC30">
        <f t="shared" si="1"/>
        <v>1883.25</v>
      </c>
      <c r="AD30">
        <f t="shared" si="14"/>
        <v>2029.9500000000003</v>
      </c>
      <c r="AE30">
        <f t="shared" si="15"/>
        <v>0.51874425022999082</v>
      </c>
      <c r="AF30">
        <f t="shared" si="16"/>
        <v>0</v>
      </c>
      <c r="AG30">
        <f t="shared" si="17"/>
        <v>0</v>
      </c>
      <c r="AH30" s="5"/>
      <c r="AK30">
        <f>AA30*(1+What_if_Analysis!$B$4)</f>
        <v>10.799999999999999</v>
      </c>
      <c r="AL30" s="5">
        <f>MIN(Z30,What_if_Analysis!$B$2)</f>
        <v>0</v>
      </c>
      <c r="AM30">
        <f t="shared" si="18"/>
        <v>4695.8399999999992</v>
      </c>
      <c r="AN30">
        <f>AM30-(AK30*(T30*(1+What_if_Analysis!$B$3)))</f>
        <v>-469.58400000000074</v>
      </c>
    </row>
    <row r="31" spans="1:40" x14ac:dyDescent="0.3">
      <c r="A31" t="s">
        <v>44</v>
      </c>
      <c r="B31" s="3">
        <v>45754</v>
      </c>
      <c r="C31" s="3" t="str">
        <f t="shared" si="2"/>
        <v>Apr-2025</v>
      </c>
      <c r="D31" s="3" t="str">
        <f t="shared" si="3"/>
        <v>Q2-2025</v>
      </c>
      <c r="E31" s="3">
        <v>45758</v>
      </c>
      <c r="F31" s="3" t="str">
        <f t="shared" si="4"/>
        <v>Valid</v>
      </c>
      <c r="G31" s="12">
        <f t="shared" si="5"/>
        <v>4</v>
      </c>
      <c r="H31" s="3">
        <f t="shared" si="6"/>
        <v>45758</v>
      </c>
      <c r="I31" t="s">
        <v>649</v>
      </c>
      <c r="J31" t="str">
        <f t="shared" si="7"/>
        <v>Europe → France → Lyon</v>
      </c>
      <c r="K31" s="3" t="str">
        <f t="shared" si="8"/>
        <v>France-2025-04</v>
      </c>
      <c r="L31" t="s">
        <v>657</v>
      </c>
      <c r="M31" t="s">
        <v>679</v>
      </c>
      <c r="N31" t="s">
        <v>702</v>
      </c>
      <c r="O31" t="s">
        <v>707</v>
      </c>
      <c r="P31" t="s">
        <v>718</v>
      </c>
      <c r="Q31" t="s">
        <v>729</v>
      </c>
      <c r="R31" t="s">
        <v>763</v>
      </c>
      <c r="S31" s="5">
        <v>754.77</v>
      </c>
      <c r="T31" s="5">
        <v>1666.18</v>
      </c>
      <c r="U31" s="5" t="str">
        <f t="shared" si="9"/>
        <v>Valid</v>
      </c>
      <c r="V31" s="5">
        <f t="shared" si="0"/>
        <v>1666.18</v>
      </c>
      <c r="W31" s="5" t="str">
        <f t="shared" si="10"/>
        <v>Medium</v>
      </c>
      <c r="X31" s="5">
        <v>0.13900000000000001</v>
      </c>
      <c r="Y31" s="5" t="str">
        <f t="shared" si="11"/>
        <v>Valid</v>
      </c>
      <c r="Z31" s="5">
        <f t="shared" si="12"/>
        <v>0.13900000000000001</v>
      </c>
      <c r="AA31" s="5">
        <v>14</v>
      </c>
      <c r="AB31">
        <f t="shared" si="13"/>
        <v>20084.133720000002</v>
      </c>
      <c r="AC31">
        <f t="shared" si="1"/>
        <v>10566.779999999999</v>
      </c>
      <c r="AD31">
        <f t="shared" si="14"/>
        <v>9517.3537200000028</v>
      </c>
      <c r="AE31">
        <f t="shared" si="15"/>
        <v>0.47387424584424653</v>
      </c>
      <c r="AF31">
        <f t="shared" si="16"/>
        <v>1</v>
      </c>
      <c r="AG31">
        <f t="shared" si="17"/>
        <v>0</v>
      </c>
      <c r="AH31" s="5"/>
      <c r="AK31">
        <f>AA31*(1+What_if_Analysis!$B$4)</f>
        <v>16.8</v>
      </c>
      <c r="AL31" s="5">
        <f>MIN(Z31,What_if_Analysis!$B$2)</f>
        <v>0.05</v>
      </c>
      <c r="AM31">
        <f t="shared" si="18"/>
        <v>26592.232799999998</v>
      </c>
      <c r="AN31">
        <f>AM31-(AK31*(T31*(1+What_if_Analysis!$B$3)))</f>
        <v>-4198.7736000000077</v>
      </c>
    </row>
    <row r="32" spans="1:40" x14ac:dyDescent="0.3">
      <c r="A32" t="s">
        <v>45</v>
      </c>
      <c r="B32" s="3">
        <v>45653</v>
      </c>
      <c r="C32" s="3" t="str">
        <f t="shared" si="2"/>
        <v>Dec-2024</v>
      </c>
      <c r="D32" s="3" t="str">
        <f t="shared" si="3"/>
        <v>Q4-2024</v>
      </c>
      <c r="E32" s="3">
        <v>45672</v>
      </c>
      <c r="F32" s="3" t="str">
        <f t="shared" si="4"/>
        <v>Valid</v>
      </c>
      <c r="G32" s="12">
        <f t="shared" si="5"/>
        <v>19</v>
      </c>
      <c r="H32" s="3">
        <f t="shared" si="6"/>
        <v>45672</v>
      </c>
      <c r="I32" t="s">
        <v>647</v>
      </c>
      <c r="J32" t="str">
        <f t="shared" si="7"/>
        <v>Asia → India → Delhi</v>
      </c>
      <c r="K32" s="3" t="str">
        <f t="shared" si="8"/>
        <v>India-2024-12</v>
      </c>
      <c r="L32" t="s">
        <v>654</v>
      </c>
      <c r="M32" t="s">
        <v>680</v>
      </c>
      <c r="N32" t="s">
        <v>703</v>
      </c>
      <c r="O32" t="s">
        <v>710</v>
      </c>
      <c r="P32" t="s">
        <v>715</v>
      </c>
      <c r="Q32" t="s">
        <v>727</v>
      </c>
      <c r="R32" t="s">
        <v>764</v>
      </c>
      <c r="S32" s="5">
        <v>495.59</v>
      </c>
      <c r="T32" s="5">
        <v>631.78</v>
      </c>
      <c r="U32" s="5" t="str">
        <f t="shared" si="9"/>
        <v>Valid</v>
      </c>
      <c r="V32" s="5">
        <f t="shared" si="0"/>
        <v>631.78</v>
      </c>
      <c r="W32" s="5" t="str">
        <f t="shared" si="10"/>
        <v>Medium</v>
      </c>
      <c r="X32" s="5">
        <v>8.6999999999999994E-2</v>
      </c>
      <c r="Y32" s="5" t="str">
        <f t="shared" si="11"/>
        <v>Valid</v>
      </c>
      <c r="Z32" s="5">
        <f t="shared" si="12"/>
        <v>8.6999999999999994E-2</v>
      </c>
      <c r="AA32" s="5">
        <v>17</v>
      </c>
      <c r="AB32">
        <f t="shared" si="13"/>
        <v>9805.8573800000013</v>
      </c>
      <c r="AC32">
        <f t="shared" si="1"/>
        <v>8425.0299999999988</v>
      </c>
      <c r="AD32">
        <f t="shared" si="14"/>
        <v>1380.8273800000024</v>
      </c>
      <c r="AE32">
        <f t="shared" si="15"/>
        <v>0.14081658813601899</v>
      </c>
      <c r="AF32">
        <f t="shared" si="16"/>
        <v>0</v>
      </c>
      <c r="AG32">
        <f t="shared" si="17"/>
        <v>0</v>
      </c>
      <c r="AH32" s="5"/>
      <c r="AK32">
        <f>AA32*(1+What_if_Analysis!$B$4)</f>
        <v>20.399999999999999</v>
      </c>
      <c r="AL32" s="5">
        <f>MIN(Z32,What_if_Analysis!$B$2)</f>
        <v>0.05</v>
      </c>
      <c r="AM32">
        <f t="shared" si="18"/>
        <v>12243.896399999998</v>
      </c>
      <c r="AN32">
        <f>AM32-(AK32*(T32*(1+What_if_Analysis!$B$3)))</f>
        <v>-1933.2468000000008</v>
      </c>
    </row>
    <row r="33" spans="1:40" x14ac:dyDescent="0.3">
      <c r="A33" t="s">
        <v>46</v>
      </c>
      <c r="B33" s="3">
        <v>44980</v>
      </c>
      <c r="C33" s="3" t="str">
        <f t="shared" si="2"/>
        <v>Feb-2023</v>
      </c>
      <c r="D33" s="3" t="str">
        <f t="shared" si="3"/>
        <v>Q1-2023</v>
      </c>
      <c r="E33" s="3">
        <v>45010</v>
      </c>
      <c r="F33" s="3" t="str">
        <f t="shared" si="4"/>
        <v>Valid</v>
      </c>
      <c r="G33" s="12">
        <f t="shared" si="5"/>
        <v>30</v>
      </c>
      <c r="H33" s="3">
        <f t="shared" si="6"/>
        <v>45010</v>
      </c>
      <c r="I33" t="s">
        <v>648</v>
      </c>
      <c r="J33" t="str">
        <f t="shared" si="7"/>
        <v>Americas → Canada → Montreal</v>
      </c>
      <c r="K33" s="3" t="str">
        <f t="shared" si="8"/>
        <v>Canada-2023-02</v>
      </c>
      <c r="L33" t="s">
        <v>653</v>
      </c>
      <c r="M33" t="s">
        <v>681</v>
      </c>
      <c r="N33" t="s">
        <v>706</v>
      </c>
      <c r="O33" t="s">
        <v>708</v>
      </c>
      <c r="P33" t="s">
        <v>726</v>
      </c>
      <c r="Q33" t="s">
        <v>730</v>
      </c>
      <c r="R33" t="s">
        <v>765</v>
      </c>
      <c r="S33" s="5">
        <v>1242.6600000000001</v>
      </c>
      <c r="T33" s="5">
        <v>1794.07</v>
      </c>
      <c r="U33" s="5" t="str">
        <f t="shared" si="9"/>
        <v>Valid</v>
      </c>
      <c r="V33" s="5">
        <f t="shared" si="0"/>
        <v>1794.07</v>
      </c>
      <c r="W33" s="5" t="str">
        <f t="shared" si="10"/>
        <v>Medium</v>
      </c>
      <c r="X33" s="5">
        <v>8.8999999999999996E-2</v>
      </c>
      <c r="Y33" s="5" t="str">
        <f t="shared" si="11"/>
        <v>Valid</v>
      </c>
      <c r="Z33" s="5">
        <f t="shared" si="12"/>
        <v>8.8999999999999996E-2</v>
      </c>
      <c r="AA33" s="5">
        <v>16</v>
      </c>
      <c r="AB33">
        <f t="shared" si="13"/>
        <v>26150.364320000001</v>
      </c>
      <c r="AC33">
        <f t="shared" si="1"/>
        <v>19882.560000000001</v>
      </c>
      <c r="AD33">
        <f t="shared" si="14"/>
        <v>6267.8043199999993</v>
      </c>
      <c r="AE33">
        <f t="shared" si="15"/>
        <v>0.23968325042440553</v>
      </c>
      <c r="AF33">
        <f t="shared" si="16"/>
        <v>0</v>
      </c>
      <c r="AG33">
        <f t="shared" si="17"/>
        <v>0</v>
      </c>
      <c r="AH33" s="5"/>
      <c r="AK33">
        <f>AA33*(1+What_if_Analysis!$B$4)</f>
        <v>19.2</v>
      </c>
      <c r="AL33" s="5">
        <f>MIN(Z33,What_if_Analysis!$B$2)</f>
        <v>0.05</v>
      </c>
      <c r="AM33">
        <f t="shared" si="18"/>
        <v>32723.836799999997</v>
      </c>
      <c r="AN33">
        <f>AM33-(AK33*(T33*(1+What_if_Analysis!$B$3)))</f>
        <v>-5166.9216000000015</v>
      </c>
    </row>
    <row r="34" spans="1:40" x14ac:dyDescent="0.3">
      <c r="A34" t="s">
        <v>47</v>
      </c>
      <c r="B34" s="3">
        <v>45862</v>
      </c>
      <c r="C34" s="3" t="str">
        <f t="shared" si="2"/>
        <v>Jul-2025</v>
      </c>
      <c r="D34" s="3" t="str">
        <f t="shared" si="3"/>
        <v>Q3-2025</v>
      </c>
      <c r="E34" s="3">
        <v>45875</v>
      </c>
      <c r="F34" s="3" t="str">
        <f t="shared" si="4"/>
        <v>Valid</v>
      </c>
      <c r="G34" s="12">
        <f t="shared" si="5"/>
        <v>13</v>
      </c>
      <c r="H34" s="3">
        <f t="shared" si="6"/>
        <v>45875</v>
      </c>
      <c r="I34" t="s">
        <v>646</v>
      </c>
      <c r="J34" t="str">
        <f t="shared" si="7"/>
        <v>Africa → South Africa → Johannesburg</v>
      </c>
      <c r="K34" s="3" t="str">
        <f t="shared" si="8"/>
        <v>South Africa-2025-07</v>
      </c>
      <c r="L34" t="s">
        <v>661</v>
      </c>
      <c r="M34" t="s">
        <v>682</v>
      </c>
      <c r="N34" t="s">
        <v>702</v>
      </c>
      <c r="O34" t="s">
        <v>709</v>
      </c>
      <c r="P34" t="s">
        <v>726</v>
      </c>
      <c r="Q34" t="s">
        <v>729</v>
      </c>
      <c r="R34" t="s">
        <v>766</v>
      </c>
      <c r="S34" s="5">
        <v>1463.9</v>
      </c>
      <c r="T34" s="5">
        <v>2633.02</v>
      </c>
      <c r="U34" s="5" t="str">
        <f t="shared" si="9"/>
        <v>Valid</v>
      </c>
      <c r="V34" s="5">
        <f t="shared" si="0"/>
        <v>2633.02</v>
      </c>
      <c r="W34" s="5" t="str">
        <f t="shared" si="10"/>
        <v>High</v>
      </c>
      <c r="X34" s="5">
        <v>8.4000000000000005E-2</v>
      </c>
      <c r="Y34" s="5" t="str">
        <f t="shared" si="11"/>
        <v>Valid</v>
      </c>
      <c r="Z34" s="5">
        <f t="shared" si="12"/>
        <v>8.4000000000000005E-2</v>
      </c>
      <c r="AA34" s="5">
        <v>4</v>
      </c>
      <c r="AB34">
        <f t="shared" si="13"/>
        <v>9647.3852800000004</v>
      </c>
      <c r="AC34">
        <f t="shared" si="1"/>
        <v>5855.6</v>
      </c>
      <c r="AD34">
        <f t="shared" si="14"/>
        <v>3791.7852800000001</v>
      </c>
      <c r="AE34">
        <f t="shared" si="15"/>
        <v>0.39303761277791527</v>
      </c>
      <c r="AF34">
        <f t="shared" si="16"/>
        <v>0</v>
      </c>
      <c r="AG34">
        <f t="shared" si="17"/>
        <v>0</v>
      </c>
      <c r="AH34" s="5"/>
      <c r="AK34">
        <f>AA34*(1+What_if_Analysis!$B$4)</f>
        <v>4.8</v>
      </c>
      <c r="AL34" s="5">
        <f>MIN(Z34,What_if_Analysis!$B$2)</f>
        <v>0.05</v>
      </c>
      <c r="AM34">
        <f t="shared" si="18"/>
        <v>12006.571199999998</v>
      </c>
      <c r="AN34">
        <f>AM34-(AK34*(T34*(1+What_if_Analysis!$B$3)))</f>
        <v>-1895.7744000000021</v>
      </c>
    </row>
    <row r="35" spans="1:40" x14ac:dyDescent="0.3">
      <c r="A35" t="s">
        <v>48</v>
      </c>
      <c r="B35" s="3">
        <v>45400</v>
      </c>
      <c r="C35" s="3" t="str">
        <f t="shared" si="2"/>
        <v>Apr-2024</v>
      </c>
      <c r="D35" s="3" t="str">
        <f t="shared" si="3"/>
        <v>Q2-2024</v>
      </c>
      <c r="E35" s="3">
        <v>45420</v>
      </c>
      <c r="F35" s="3" t="str">
        <f t="shared" si="4"/>
        <v>Valid</v>
      </c>
      <c r="G35" s="12">
        <f t="shared" si="5"/>
        <v>20</v>
      </c>
      <c r="H35" s="3">
        <f t="shared" si="6"/>
        <v>45420</v>
      </c>
      <c r="I35" t="s">
        <v>649</v>
      </c>
      <c r="J35" t="str">
        <f t="shared" si="7"/>
        <v>Europe → United Kingdom → London</v>
      </c>
      <c r="K35" s="3" t="str">
        <f t="shared" si="8"/>
        <v>United Kingdom-2024-04</v>
      </c>
      <c r="L35" t="s">
        <v>658</v>
      </c>
      <c r="M35" t="s">
        <v>683</v>
      </c>
      <c r="N35" t="s">
        <v>703</v>
      </c>
      <c r="O35" t="s">
        <v>1424</v>
      </c>
      <c r="P35" t="s">
        <v>726</v>
      </c>
      <c r="Q35" t="s">
        <v>731</v>
      </c>
      <c r="R35" t="s">
        <v>767</v>
      </c>
      <c r="S35" s="5">
        <v>645.33000000000004</v>
      </c>
      <c r="T35" s="5">
        <v>1321.85</v>
      </c>
      <c r="U35" s="5" t="str">
        <f t="shared" si="9"/>
        <v>Valid</v>
      </c>
      <c r="V35" s="5">
        <f t="shared" si="0"/>
        <v>1321.85</v>
      </c>
      <c r="W35" s="5" t="str">
        <f t="shared" si="10"/>
        <v>Medium</v>
      </c>
      <c r="X35" s="5">
        <v>0</v>
      </c>
      <c r="Y35" s="5" t="str">
        <f t="shared" si="11"/>
        <v>Valid</v>
      </c>
      <c r="Z35" s="5">
        <f t="shared" si="12"/>
        <v>0</v>
      </c>
      <c r="AA35" s="5">
        <v>10</v>
      </c>
      <c r="AB35">
        <f t="shared" si="13"/>
        <v>13218.5</v>
      </c>
      <c r="AC35">
        <f t="shared" si="1"/>
        <v>6453.3</v>
      </c>
      <c r="AD35">
        <f t="shared" si="14"/>
        <v>6765.2</v>
      </c>
      <c r="AE35">
        <f t="shared" si="15"/>
        <v>0.51179785906116426</v>
      </c>
      <c r="AF35">
        <f t="shared" si="16"/>
        <v>0</v>
      </c>
      <c r="AG35">
        <f t="shared" si="17"/>
        <v>0</v>
      </c>
      <c r="AH35" s="5"/>
      <c r="AK35">
        <f>AA35*(1+What_if_Analysis!$B$4)</f>
        <v>12</v>
      </c>
      <c r="AL35" s="5">
        <f>MIN(Z35,What_if_Analysis!$B$2)</f>
        <v>0</v>
      </c>
      <c r="AM35">
        <f t="shared" si="18"/>
        <v>15862.199999999999</v>
      </c>
      <c r="AN35">
        <f>AM35-(AK35*(T35*(1+What_if_Analysis!$B$3)))</f>
        <v>-1586.220000000003</v>
      </c>
    </row>
    <row r="36" spans="1:40" x14ac:dyDescent="0.3">
      <c r="A36" t="s">
        <v>49</v>
      </c>
      <c r="B36" s="3">
        <v>45527</v>
      </c>
      <c r="C36" s="3" t="str">
        <f t="shared" si="2"/>
        <v>Aug-2024</v>
      </c>
      <c r="D36" s="3" t="str">
        <f t="shared" si="3"/>
        <v>Q3-2024</v>
      </c>
      <c r="E36" s="3">
        <v>45525</v>
      </c>
      <c r="F36" s="3" t="str">
        <f t="shared" si="4"/>
        <v>Invalid RequiredDate</v>
      </c>
      <c r="G36" s="12">
        <f t="shared" si="5"/>
        <v>-2</v>
      </c>
      <c r="H36" s="3">
        <f>IF(E36&lt;B36,B36+$G$2,E36)</f>
        <v>45553</v>
      </c>
      <c r="I36" t="s">
        <v>646</v>
      </c>
      <c r="J36" t="str">
        <f t="shared" si="7"/>
        <v>Africa → South Africa → Johannesburg</v>
      </c>
      <c r="K36" s="3" t="str">
        <f t="shared" si="8"/>
        <v>South Africa-2024-08</v>
      </c>
      <c r="L36" t="s">
        <v>661</v>
      </c>
      <c r="M36" t="s">
        <v>682</v>
      </c>
      <c r="N36" t="s">
        <v>702</v>
      </c>
      <c r="O36" t="s">
        <v>707</v>
      </c>
      <c r="P36" t="s">
        <v>718</v>
      </c>
      <c r="Q36" t="s">
        <v>727</v>
      </c>
      <c r="R36" t="s">
        <v>768</v>
      </c>
      <c r="S36" s="5">
        <v>1432.52</v>
      </c>
      <c r="T36" s="5">
        <v>3036.87</v>
      </c>
      <c r="U36" s="5" t="str">
        <f t="shared" si="9"/>
        <v>Valid</v>
      </c>
      <c r="V36" s="5">
        <f t="shared" si="0"/>
        <v>3036.87</v>
      </c>
      <c r="W36" s="5" t="str">
        <f t="shared" si="10"/>
        <v>High</v>
      </c>
      <c r="X36" s="5">
        <v>0</v>
      </c>
      <c r="Y36" s="5" t="str">
        <f t="shared" si="11"/>
        <v>Valid</v>
      </c>
      <c r="Z36" s="5">
        <f t="shared" si="12"/>
        <v>0</v>
      </c>
      <c r="AA36" s="5">
        <v>9</v>
      </c>
      <c r="AB36">
        <f t="shared" si="13"/>
        <v>27331.829999999998</v>
      </c>
      <c r="AC36">
        <f t="shared" si="1"/>
        <v>12892.68</v>
      </c>
      <c r="AD36">
        <f t="shared" si="14"/>
        <v>14439.149999999998</v>
      </c>
      <c r="AE36">
        <f t="shared" si="15"/>
        <v>0.52829064135112791</v>
      </c>
      <c r="AF36">
        <f t="shared" si="16"/>
        <v>1</v>
      </c>
      <c r="AG36">
        <f t="shared" si="17"/>
        <v>0</v>
      </c>
      <c r="AH36" s="5"/>
      <c r="AK36">
        <f>AA36*(1+What_if_Analysis!$B$4)</f>
        <v>10.799999999999999</v>
      </c>
      <c r="AL36" s="5">
        <f>MIN(Z36,What_if_Analysis!$B$2)</f>
        <v>0</v>
      </c>
      <c r="AM36">
        <f t="shared" si="18"/>
        <v>32798.195999999996</v>
      </c>
      <c r="AN36">
        <f>AM36-(AK36*(T36*(1+What_if_Analysis!$B$3)))</f>
        <v>-3279.8196000000025</v>
      </c>
    </row>
    <row r="37" spans="1:40" x14ac:dyDescent="0.3">
      <c r="A37" t="s">
        <v>50</v>
      </c>
      <c r="B37" s="3">
        <v>45012</v>
      </c>
      <c r="C37" s="3" t="str">
        <f t="shared" si="2"/>
        <v>Mar-2023</v>
      </c>
      <c r="D37" s="3" t="str">
        <f t="shared" si="3"/>
        <v>Q1-2023</v>
      </c>
      <c r="E37" s="3">
        <v>45038</v>
      </c>
      <c r="F37" s="3" t="str">
        <f t="shared" si="4"/>
        <v>Valid</v>
      </c>
      <c r="G37" s="12">
        <f t="shared" si="5"/>
        <v>26</v>
      </c>
      <c r="H37" s="3">
        <f t="shared" si="6"/>
        <v>45038</v>
      </c>
      <c r="I37" t="s">
        <v>647</v>
      </c>
      <c r="J37" t="str">
        <f t="shared" si="7"/>
        <v>Asia → India → Delhi</v>
      </c>
      <c r="K37" s="3" t="str">
        <f t="shared" si="8"/>
        <v>India-2023-03</v>
      </c>
      <c r="L37" t="s">
        <v>654</v>
      </c>
      <c r="M37" t="s">
        <v>680</v>
      </c>
      <c r="N37" t="s">
        <v>703</v>
      </c>
      <c r="O37" t="s">
        <v>709</v>
      </c>
      <c r="P37" t="s">
        <v>713</v>
      </c>
      <c r="Q37" t="s">
        <v>728</v>
      </c>
      <c r="R37" t="s">
        <v>769</v>
      </c>
      <c r="S37" s="5">
        <v>178.53</v>
      </c>
      <c r="T37" s="5">
        <v>199.37</v>
      </c>
      <c r="U37" s="5" t="str">
        <f t="shared" si="9"/>
        <v>Valid</v>
      </c>
      <c r="V37" s="5">
        <f t="shared" si="0"/>
        <v>199.37</v>
      </c>
      <c r="W37" s="5" t="str">
        <f t="shared" si="10"/>
        <v>Low</v>
      </c>
      <c r="X37" s="5">
        <v>0.10100000000000001</v>
      </c>
      <c r="Y37" s="5" t="str">
        <f t="shared" si="11"/>
        <v>Valid</v>
      </c>
      <c r="Z37" s="5">
        <f t="shared" si="12"/>
        <v>0.10100000000000001</v>
      </c>
      <c r="AA37" s="5">
        <v>37</v>
      </c>
      <c r="AB37">
        <f t="shared" si="13"/>
        <v>6631.6443100000006</v>
      </c>
      <c r="AC37">
        <f t="shared" si="1"/>
        <v>6605.61</v>
      </c>
      <c r="AD37">
        <f t="shared" si="14"/>
        <v>26.034310000000914</v>
      </c>
      <c r="AE37">
        <f t="shared" si="15"/>
        <v>3.9257699573457538E-3</v>
      </c>
      <c r="AF37">
        <f t="shared" si="16"/>
        <v>0</v>
      </c>
      <c r="AG37">
        <f t="shared" si="17"/>
        <v>0</v>
      </c>
      <c r="AH37" s="5"/>
      <c r="AK37">
        <f>AA37*(1+What_if_Analysis!$B$4)</f>
        <v>44.4</v>
      </c>
      <c r="AL37" s="5">
        <f>MIN(Z37,What_if_Analysis!$B$2)</f>
        <v>0.05</v>
      </c>
      <c r="AM37">
        <f t="shared" si="18"/>
        <v>8409.4266000000007</v>
      </c>
      <c r="AN37">
        <f>AM37-(AK37*(T37*(1+What_if_Analysis!$B$3)))</f>
        <v>-1327.8042000000005</v>
      </c>
    </row>
    <row r="38" spans="1:40" x14ac:dyDescent="0.3">
      <c r="A38" t="s">
        <v>51</v>
      </c>
      <c r="B38" s="3">
        <v>45358</v>
      </c>
      <c r="C38" s="3" t="str">
        <f t="shared" si="2"/>
        <v>Mar-2024</v>
      </c>
      <c r="D38" s="3" t="str">
        <f t="shared" si="3"/>
        <v>Q1-2024</v>
      </c>
      <c r="E38" s="3">
        <v>45376</v>
      </c>
      <c r="F38" s="3" t="str">
        <f t="shared" si="4"/>
        <v>Valid</v>
      </c>
      <c r="G38" s="12">
        <f t="shared" si="5"/>
        <v>18</v>
      </c>
      <c r="H38" s="3">
        <f t="shared" si="6"/>
        <v>45376</v>
      </c>
      <c r="I38" t="s">
        <v>649</v>
      </c>
      <c r="J38" t="str">
        <f t="shared" si="7"/>
        <v>Europe → Germany → Munich</v>
      </c>
      <c r="K38" s="3" t="str">
        <f t="shared" si="8"/>
        <v>Germany-2024-03</v>
      </c>
      <c r="L38" t="s">
        <v>656</v>
      </c>
      <c r="M38" t="s">
        <v>684</v>
      </c>
      <c r="N38" t="s">
        <v>701</v>
      </c>
      <c r="O38" t="s">
        <v>708</v>
      </c>
      <c r="P38" t="s">
        <v>717</v>
      </c>
      <c r="Q38" t="s">
        <v>727</v>
      </c>
      <c r="R38" t="s">
        <v>770</v>
      </c>
      <c r="S38" s="5">
        <v>712.84</v>
      </c>
      <c r="T38" s="5">
        <v>927.51</v>
      </c>
      <c r="U38" s="5" t="str">
        <f t="shared" si="9"/>
        <v>Valid</v>
      </c>
      <c r="V38" s="5">
        <f t="shared" si="0"/>
        <v>927.51</v>
      </c>
      <c r="W38" s="5" t="str">
        <f t="shared" si="10"/>
        <v>Medium</v>
      </c>
      <c r="X38" s="5">
        <v>0.24299999999999999</v>
      </c>
      <c r="Y38" s="5" t="str">
        <f t="shared" si="11"/>
        <v>Valid</v>
      </c>
      <c r="Z38" s="5">
        <f t="shared" si="12"/>
        <v>0.24299999999999999</v>
      </c>
      <c r="AA38" s="5">
        <v>27</v>
      </c>
      <c r="AB38">
        <f t="shared" si="13"/>
        <v>18957.37689</v>
      </c>
      <c r="AC38">
        <f t="shared" si="1"/>
        <v>19246.68</v>
      </c>
      <c r="AD38">
        <f t="shared" si="14"/>
        <v>-289.30311000000074</v>
      </c>
      <c r="AE38">
        <f t="shared" si="15"/>
        <v>-1.5260714163076427E-2</v>
      </c>
      <c r="AF38">
        <f t="shared" si="16"/>
        <v>0</v>
      </c>
      <c r="AG38">
        <f t="shared" si="17"/>
        <v>1</v>
      </c>
      <c r="AH38" s="5"/>
      <c r="AK38">
        <f>AA38*(1+What_if_Analysis!$B$4)</f>
        <v>32.4</v>
      </c>
      <c r="AL38" s="5">
        <f>MIN(Z38,What_if_Analysis!$B$2)</f>
        <v>0.05</v>
      </c>
      <c r="AM38">
        <f t="shared" si="18"/>
        <v>28548.757799999996</v>
      </c>
      <c r="AN38">
        <f>AM38-(AK38*(T38*(1+What_if_Analysis!$B$3)))</f>
        <v>-4507.698600000007</v>
      </c>
    </row>
    <row r="39" spans="1:40" x14ac:dyDescent="0.3">
      <c r="A39" t="s">
        <v>52</v>
      </c>
      <c r="B39" s="3">
        <v>45832</v>
      </c>
      <c r="C39" s="3" t="str">
        <f t="shared" si="2"/>
        <v>Jun-2025</v>
      </c>
      <c r="D39" s="3" t="str">
        <f t="shared" si="3"/>
        <v>Q2-2025</v>
      </c>
      <c r="E39" s="3">
        <v>45848</v>
      </c>
      <c r="F39" s="3" t="str">
        <f t="shared" si="4"/>
        <v>Valid</v>
      </c>
      <c r="G39" s="12">
        <f t="shared" si="5"/>
        <v>16</v>
      </c>
      <c r="H39" s="3">
        <f t="shared" si="6"/>
        <v>45848</v>
      </c>
      <c r="I39" t="s">
        <v>647</v>
      </c>
      <c r="J39" t="str">
        <f t="shared" si="7"/>
        <v>Asia → China → Shanghai</v>
      </c>
      <c r="K39" s="3" t="str">
        <f t="shared" si="8"/>
        <v>China-2025-06</v>
      </c>
      <c r="L39" t="s">
        <v>659</v>
      </c>
      <c r="M39" t="s">
        <v>685</v>
      </c>
      <c r="N39" t="s">
        <v>706</v>
      </c>
      <c r="O39" t="s">
        <v>711</v>
      </c>
      <c r="P39" t="s">
        <v>725</v>
      </c>
      <c r="Q39" t="s">
        <v>727</v>
      </c>
      <c r="R39" t="s">
        <v>771</v>
      </c>
      <c r="S39" s="5">
        <v>757.19</v>
      </c>
      <c r="T39" s="5">
        <v>1735.41</v>
      </c>
      <c r="U39" s="5" t="str">
        <f t="shared" si="9"/>
        <v>Valid</v>
      </c>
      <c r="V39" s="5">
        <f t="shared" si="0"/>
        <v>1735.41</v>
      </c>
      <c r="W39" s="5" t="str">
        <f t="shared" si="10"/>
        <v>Medium</v>
      </c>
      <c r="X39" s="5">
        <v>0.13600000000000001</v>
      </c>
      <c r="Y39" s="5" t="str">
        <f t="shared" si="11"/>
        <v>Valid</v>
      </c>
      <c r="Z39" s="5">
        <f t="shared" si="12"/>
        <v>0.13600000000000001</v>
      </c>
      <c r="AA39" s="5">
        <v>8</v>
      </c>
      <c r="AB39">
        <f t="shared" si="13"/>
        <v>11995.153920000001</v>
      </c>
      <c r="AC39">
        <f t="shared" si="1"/>
        <v>6057.52</v>
      </c>
      <c r="AD39">
        <f t="shared" si="14"/>
        <v>5937.6339200000002</v>
      </c>
      <c r="AE39">
        <f t="shared" si="15"/>
        <v>0.4950027285685718</v>
      </c>
      <c r="AF39">
        <f t="shared" si="16"/>
        <v>0</v>
      </c>
      <c r="AG39">
        <f t="shared" si="17"/>
        <v>0</v>
      </c>
      <c r="AH39" s="5"/>
      <c r="AK39">
        <f>AA39*(1+What_if_Analysis!$B$4)</f>
        <v>9.6</v>
      </c>
      <c r="AL39" s="5">
        <f>MIN(Z39,What_if_Analysis!$B$2)</f>
        <v>0.05</v>
      </c>
      <c r="AM39">
        <f t="shared" si="18"/>
        <v>15826.939200000001</v>
      </c>
      <c r="AN39">
        <f>AM39-(AK39*(T39*(1+What_if_Analysis!$B$3)))</f>
        <v>-2498.9904000000024</v>
      </c>
    </row>
    <row r="40" spans="1:40" x14ac:dyDescent="0.3">
      <c r="A40" t="s">
        <v>53</v>
      </c>
      <c r="B40" s="3">
        <v>45401</v>
      </c>
      <c r="C40" s="3" t="str">
        <f t="shared" si="2"/>
        <v>Apr-2024</v>
      </c>
      <c r="D40" s="3" t="str">
        <f t="shared" si="3"/>
        <v>Q2-2024</v>
      </c>
      <c r="E40" s="3">
        <v>45418</v>
      </c>
      <c r="F40" s="3" t="str">
        <f t="shared" si="4"/>
        <v>Valid</v>
      </c>
      <c r="G40" s="12">
        <f t="shared" si="5"/>
        <v>17</v>
      </c>
      <c r="H40" s="3">
        <f t="shared" si="6"/>
        <v>45418</v>
      </c>
      <c r="I40" t="s">
        <v>646</v>
      </c>
      <c r="J40" t="str">
        <f t="shared" si="7"/>
        <v>Africa → Nigeria → Port Harcourt</v>
      </c>
      <c r="K40" s="3" t="str">
        <f t="shared" si="8"/>
        <v>Nigeria-2024-04</v>
      </c>
      <c r="L40" t="s">
        <v>651</v>
      </c>
      <c r="M40" t="s">
        <v>663</v>
      </c>
      <c r="N40" t="s">
        <v>703</v>
      </c>
      <c r="O40" t="s">
        <v>708</v>
      </c>
      <c r="P40" t="s">
        <v>720</v>
      </c>
      <c r="Q40" t="s">
        <v>728</v>
      </c>
      <c r="R40" t="s">
        <v>772</v>
      </c>
      <c r="S40" s="5">
        <v>865.33</v>
      </c>
      <c r="T40" s="5">
        <v>1395.64</v>
      </c>
      <c r="U40" s="5" t="str">
        <f t="shared" si="9"/>
        <v>Valid</v>
      </c>
      <c r="V40" s="5">
        <f t="shared" si="0"/>
        <v>1395.64</v>
      </c>
      <c r="W40" s="5" t="str">
        <f t="shared" si="10"/>
        <v>Medium</v>
      </c>
      <c r="X40" s="5">
        <v>0.17499999999999999</v>
      </c>
      <c r="Y40" s="5" t="str">
        <f t="shared" si="11"/>
        <v>Valid</v>
      </c>
      <c r="Z40" s="5">
        <f t="shared" si="12"/>
        <v>0.17499999999999999</v>
      </c>
      <c r="AA40" s="5">
        <v>13</v>
      </c>
      <c r="AB40">
        <f t="shared" si="13"/>
        <v>14968.239</v>
      </c>
      <c r="AC40">
        <f t="shared" si="1"/>
        <v>11249.29</v>
      </c>
      <c r="AD40">
        <f t="shared" si="14"/>
        <v>3718.9489999999987</v>
      </c>
      <c r="AE40">
        <f t="shared" si="15"/>
        <v>0.24845601409758347</v>
      </c>
      <c r="AF40">
        <f t="shared" si="16"/>
        <v>0</v>
      </c>
      <c r="AG40">
        <f t="shared" si="17"/>
        <v>0</v>
      </c>
      <c r="AH40" s="5"/>
      <c r="AK40">
        <f>AA40*(1+What_if_Analysis!$B$4)</f>
        <v>15.6</v>
      </c>
      <c r="AL40" s="5">
        <f>MIN(Z40,What_if_Analysis!$B$2)</f>
        <v>0.05</v>
      </c>
      <c r="AM40">
        <f t="shared" si="18"/>
        <v>20683.3848</v>
      </c>
      <c r="AN40">
        <f>AM40-(AK40*(T40*(1+What_if_Analysis!$B$3)))</f>
        <v>-3265.7976000000017</v>
      </c>
    </row>
    <row r="41" spans="1:40" x14ac:dyDescent="0.3">
      <c r="A41" t="s">
        <v>54</v>
      </c>
      <c r="B41" s="3">
        <v>45094</v>
      </c>
      <c r="C41" s="3" t="str">
        <f t="shared" si="2"/>
        <v>Jun-2023</v>
      </c>
      <c r="D41" s="3" t="str">
        <f t="shared" si="3"/>
        <v>Q2-2023</v>
      </c>
      <c r="E41" s="3">
        <v>45101</v>
      </c>
      <c r="F41" s="3" t="str">
        <f t="shared" si="4"/>
        <v>Valid</v>
      </c>
      <c r="G41" s="12">
        <f t="shared" si="5"/>
        <v>7</v>
      </c>
      <c r="H41" s="3">
        <f t="shared" si="6"/>
        <v>45101</v>
      </c>
      <c r="I41" t="s">
        <v>648</v>
      </c>
      <c r="J41" t="str">
        <f t="shared" si="7"/>
        <v>Americas → USA → San Francisco</v>
      </c>
      <c r="K41" s="3" t="str">
        <f t="shared" si="8"/>
        <v>USA-2023-06</v>
      </c>
      <c r="L41" t="s">
        <v>660</v>
      </c>
      <c r="M41" t="s">
        <v>686</v>
      </c>
      <c r="N41" t="s">
        <v>701</v>
      </c>
      <c r="O41" t="s">
        <v>707</v>
      </c>
      <c r="P41" t="s">
        <v>714</v>
      </c>
      <c r="Q41" t="s">
        <v>728</v>
      </c>
      <c r="R41" t="s">
        <v>773</v>
      </c>
      <c r="S41" s="5">
        <v>313.99</v>
      </c>
      <c r="T41" s="5">
        <v>454.42</v>
      </c>
      <c r="U41" s="5" t="str">
        <f t="shared" si="9"/>
        <v>Valid</v>
      </c>
      <c r="V41" s="5">
        <f t="shared" si="0"/>
        <v>454.42</v>
      </c>
      <c r="W41" s="5" t="str">
        <f t="shared" si="10"/>
        <v>Low</v>
      </c>
      <c r="X41" s="5">
        <v>0.129</v>
      </c>
      <c r="Y41" s="5" t="str">
        <f t="shared" si="11"/>
        <v>Valid</v>
      </c>
      <c r="Z41" s="5">
        <f t="shared" si="12"/>
        <v>0.129</v>
      </c>
      <c r="AA41" s="5">
        <v>9</v>
      </c>
      <c r="AB41">
        <f t="shared" si="13"/>
        <v>3562.1983800000003</v>
      </c>
      <c r="AC41">
        <f t="shared" si="1"/>
        <v>2825.91</v>
      </c>
      <c r="AD41">
        <f t="shared" si="14"/>
        <v>736.28838000000042</v>
      </c>
      <c r="AE41">
        <f t="shared" si="15"/>
        <v>0.20669493988147858</v>
      </c>
      <c r="AF41">
        <f t="shared" si="16"/>
        <v>1</v>
      </c>
      <c r="AG41">
        <f t="shared" si="17"/>
        <v>0</v>
      </c>
      <c r="AH41" s="5"/>
      <c r="AK41">
        <f>AA41*(1+What_if_Analysis!$B$4)</f>
        <v>10.799999999999999</v>
      </c>
      <c r="AL41" s="5">
        <f>MIN(Z41,What_if_Analysis!$B$2)</f>
        <v>0.05</v>
      </c>
      <c r="AM41">
        <f t="shared" si="18"/>
        <v>4662.3491999999997</v>
      </c>
      <c r="AN41">
        <f>AM41-(AK41*(T41*(1+What_if_Analysis!$B$3)))</f>
        <v>-736.16040000000066</v>
      </c>
    </row>
    <row r="42" spans="1:40" x14ac:dyDescent="0.3">
      <c r="A42" t="s">
        <v>55</v>
      </c>
      <c r="B42" s="3">
        <v>45531</v>
      </c>
      <c r="C42" s="3" t="str">
        <f t="shared" si="2"/>
        <v>Aug-2024</v>
      </c>
      <c r="D42" s="3" t="str">
        <f t="shared" si="3"/>
        <v>Q3-2024</v>
      </c>
      <c r="E42" s="3">
        <v>45554</v>
      </c>
      <c r="F42" s="3" t="str">
        <f t="shared" si="4"/>
        <v>Valid</v>
      </c>
      <c r="G42" s="12">
        <f t="shared" si="5"/>
        <v>23</v>
      </c>
      <c r="H42" s="3">
        <f t="shared" si="6"/>
        <v>45554</v>
      </c>
      <c r="I42" t="s">
        <v>649</v>
      </c>
      <c r="J42" t="str">
        <f t="shared" si="7"/>
        <v>Europe → Germany → Berlin</v>
      </c>
      <c r="K42" s="3" t="str">
        <f t="shared" si="8"/>
        <v>Germany-2024-08</v>
      </c>
      <c r="L42" t="s">
        <v>656</v>
      </c>
      <c r="M42" t="s">
        <v>671</v>
      </c>
      <c r="N42" t="s">
        <v>705</v>
      </c>
      <c r="O42" t="s">
        <v>711</v>
      </c>
      <c r="P42" t="s">
        <v>726</v>
      </c>
      <c r="Q42" t="s">
        <v>732</v>
      </c>
      <c r="R42" t="s">
        <v>774</v>
      </c>
      <c r="S42" s="5">
        <v>1024.01</v>
      </c>
      <c r="T42" s="5">
        <v>1580.97</v>
      </c>
      <c r="U42" s="5" t="str">
        <f t="shared" si="9"/>
        <v>Valid</v>
      </c>
      <c r="V42" s="5">
        <f t="shared" si="0"/>
        <v>1580.97</v>
      </c>
      <c r="W42" s="5" t="str">
        <f t="shared" si="10"/>
        <v>Medium</v>
      </c>
      <c r="X42" s="5">
        <v>3.6999999999999998E-2</v>
      </c>
      <c r="Y42" s="5" t="str">
        <f t="shared" si="11"/>
        <v>Valid</v>
      </c>
      <c r="Z42" s="5">
        <f t="shared" si="12"/>
        <v>3.6999999999999998E-2</v>
      </c>
      <c r="AA42" s="5">
        <v>27</v>
      </c>
      <c r="AB42">
        <f t="shared" si="13"/>
        <v>41106.800970000004</v>
      </c>
      <c r="AC42">
        <f t="shared" si="1"/>
        <v>27648.27</v>
      </c>
      <c r="AD42">
        <f t="shared" si="14"/>
        <v>13458.530970000003</v>
      </c>
      <c r="AE42">
        <f t="shared" si="15"/>
        <v>0.3274039976942531</v>
      </c>
      <c r="AF42">
        <f t="shared" si="16"/>
        <v>0</v>
      </c>
      <c r="AG42">
        <f t="shared" si="17"/>
        <v>0</v>
      </c>
      <c r="AK42">
        <f>AA42*(1+What_if_Analysis!$B$4)</f>
        <v>32.4</v>
      </c>
      <c r="AL42" s="5">
        <f>MIN(Z42,What_if_Analysis!$B$2)</f>
        <v>3.6999999999999998E-2</v>
      </c>
      <c r="AM42">
        <f t="shared" si="18"/>
        <v>49328.161163999997</v>
      </c>
      <c r="AN42">
        <f>AM42-(AK42*(T42*(1+What_if_Analysis!$B$3)))</f>
        <v>-7017.6096360000083</v>
      </c>
    </row>
    <row r="43" spans="1:40" x14ac:dyDescent="0.3">
      <c r="A43" t="s">
        <v>56</v>
      </c>
      <c r="B43" s="3">
        <v>45302</v>
      </c>
      <c r="C43" s="3" t="str">
        <f t="shared" si="2"/>
        <v>Jan-2024</v>
      </c>
      <c r="D43" s="3" t="str">
        <f t="shared" si="3"/>
        <v>Q1-2024</v>
      </c>
      <c r="E43" s="3">
        <v>45324</v>
      </c>
      <c r="F43" s="3" t="str">
        <f t="shared" si="4"/>
        <v>Valid</v>
      </c>
      <c r="G43" s="12">
        <f t="shared" si="5"/>
        <v>22</v>
      </c>
      <c r="H43" s="3">
        <f t="shared" si="6"/>
        <v>45324</v>
      </c>
      <c r="I43" t="s">
        <v>646</v>
      </c>
      <c r="J43" t="str">
        <f t="shared" si="7"/>
        <v>Africa → South Africa → Durban</v>
      </c>
      <c r="K43" s="3" t="str">
        <f t="shared" si="8"/>
        <v>South Africa-2024-01</v>
      </c>
      <c r="L43" t="s">
        <v>661</v>
      </c>
      <c r="M43" t="s">
        <v>687</v>
      </c>
      <c r="N43" t="s">
        <v>704</v>
      </c>
      <c r="O43" t="s">
        <v>708</v>
      </c>
      <c r="P43" t="s">
        <v>723</v>
      </c>
      <c r="Q43" t="s">
        <v>729</v>
      </c>
      <c r="R43" t="s">
        <v>775</v>
      </c>
      <c r="S43" s="5">
        <v>1206.2</v>
      </c>
      <c r="T43" s="5">
        <v>1759.79</v>
      </c>
      <c r="U43" s="5" t="str">
        <f t="shared" si="9"/>
        <v>Valid</v>
      </c>
      <c r="V43" s="5">
        <f t="shared" si="0"/>
        <v>1759.79</v>
      </c>
      <c r="W43" s="5" t="str">
        <f t="shared" si="10"/>
        <v>Medium</v>
      </c>
      <c r="X43" s="5">
        <v>0</v>
      </c>
      <c r="Y43" s="5" t="str">
        <f t="shared" si="11"/>
        <v>Valid</v>
      </c>
      <c r="Z43" s="5">
        <f t="shared" si="12"/>
        <v>0</v>
      </c>
      <c r="AA43" s="5">
        <v>6</v>
      </c>
      <c r="AB43">
        <f t="shared" si="13"/>
        <v>10558.74</v>
      </c>
      <c r="AC43">
        <f t="shared" si="1"/>
        <v>7237.2000000000007</v>
      </c>
      <c r="AD43">
        <f t="shared" si="14"/>
        <v>3321.5399999999991</v>
      </c>
      <c r="AE43">
        <f t="shared" si="15"/>
        <v>0.31457730751964713</v>
      </c>
      <c r="AF43">
        <f t="shared" si="16"/>
        <v>0</v>
      </c>
      <c r="AG43">
        <f t="shared" si="17"/>
        <v>0</v>
      </c>
      <c r="AK43">
        <f>AA43*(1+What_if_Analysis!$B$4)</f>
        <v>7.1999999999999993</v>
      </c>
      <c r="AL43" s="5">
        <f>MIN(Z43,What_if_Analysis!$B$2)</f>
        <v>0</v>
      </c>
      <c r="AM43">
        <f t="shared" si="18"/>
        <v>12670.487999999999</v>
      </c>
      <c r="AN43">
        <f>AM43-(AK43*(T43*(1+What_if_Analysis!$B$3)))</f>
        <v>-1267.0487999999987</v>
      </c>
    </row>
    <row r="44" spans="1:40" x14ac:dyDescent="0.3">
      <c r="A44" t="s">
        <v>57</v>
      </c>
      <c r="B44" s="3">
        <v>45590</v>
      </c>
      <c r="C44" s="3" t="str">
        <f t="shared" si="2"/>
        <v>Oct-2024</v>
      </c>
      <c r="D44" s="3" t="str">
        <f t="shared" si="3"/>
        <v>Q4-2024</v>
      </c>
      <c r="E44" s="3">
        <v>45610</v>
      </c>
      <c r="F44" s="3" t="str">
        <f t="shared" si="4"/>
        <v>Valid</v>
      </c>
      <c r="G44" s="12">
        <f t="shared" si="5"/>
        <v>20</v>
      </c>
      <c r="H44" s="3">
        <f t="shared" si="6"/>
        <v>45610</v>
      </c>
      <c r="I44" t="s">
        <v>646</v>
      </c>
      <c r="J44" t="str">
        <f t="shared" si="7"/>
        <v>Africa → Kenya → Mombasa</v>
      </c>
      <c r="K44" s="3" t="str">
        <f t="shared" si="8"/>
        <v>Kenya-2024-10</v>
      </c>
      <c r="L44" t="s">
        <v>650</v>
      </c>
      <c r="M44" t="s">
        <v>675</v>
      </c>
      <c r="N44" t="s">
        <v>701</v>
      </c>
      <c r="O44" t="s">
        <v>711</v>
      </c>
      <c r="P44" t="s">
        <v>722</v>
      </c>
      <c r="Q44" t="s">
        <v>728</v>
      </c>
      <c r="R44" t="s">
        <v>776</v>
      </c>
      <c r="S44" s="5">
        <v>1396.48</v>
      </c>
      <c r="T44" s="5">
        <v>3204.5</v>
      </c>
      <c r="U44" s="5" t="str">
        <f t="shared" si="9"/>
        <v>Valid</v>
      </c>
      <c r="V44" s="5">
        <f t="shared" si="0"/>
        <v>3204.5</v>
      </c>
      <c r="W44" s="5" t="str">
        <f t="shared" si="10"/>
        <v>High</v>
      </c>
      <c r="X44" s="5">
        <v>0.318</v>
      </c>
      <c r="Y44" s="5" t="str">
        <f t="shared" si="11"/>
        <v>High Discount</v>
      </c>
      <c r="Z44" s="5">
        <f t="shared" si="12"/>
        <v>0.3</v>
      </c>
      <c r="AA44" s="5">
        <v>14</v>
      </c>
      <c r="AB44">
        <f t="shared" si="13"/>
        <v>31404.1</v>
      </c>
      <c r="AC44">
        <f t="shared" si="1"/>
        <v>19550.72</v>
      </c>
      <c r="AD44">
        <f t="shared" si="14"/>
        <v>11853.379999999997</v>
      </c>
      <c r="AE44">
        <f t="shared" si="15"/>
        <v>0.3774468938769141</v>
      </c>
      <c r="AF44">
        <f t="shared" si="16"/>
        <v>0</v>
      </c>
      <c r="AG44">
        <f t="shared" si="17"/>
        <v>1</v>
      </c>
      <c r="AK44">
        <f>AA44*(1+What_if_Analysis!$B$4)</f>
        <v>16.8</v>
      </c>
      <c r="AL44" s="5">
        <f>MIN(Z44,What_if_Analysis!$B$2)</f>
        <v>0.05</v>
      </c>
      <c r="AM44">
        <f t="shared" si="18"/>
        <v>51143.82</v>
      </c>
      <c r="AN44">
        <f>AM44-(AK44*(T44*(1+What_if_Analysis!$B$3)))</f>
        <v>-8075.3400000000038</v>
      </c>
    </row>
    <row r="45" spans="1:40" x14ac:dyDescent="0.3">
      <c r="A45" t="s">
        <v>58</v>
      </c>
      <c r="B45" s="3">
        <v>45806</v>
      </c>
      <c r="C45" s="3" t="str">
        <f t="shared" si="2"/>
        <v>May-2025</v>
      </c>
      <c r="D45" s="3" t="str">
        <f t="shared" si="3"/>
        <v>Q2-2025</v>
      </c>
      <c r="E45" s="3">
        <v>45828</v>
      </c>
      <c r="F45" s="3" t="str">
        <f t="shared" si="4"/>
        <v>Valid</v>
      </c>
      <c r="G45" s="12">
        <f t="shared" si="5"/>
        <v>22</v>
      </c>
      <c r="H45" s="3">
        <f t="shared" si="6"/>
        <v>45828</v>
      </c>
      <c r="I45" t="s">
        <v>649</v>
      </c>
      <c r="J45" t="str">
        <f t="shared" si="7"/>
        <v>Europe → Germany → Berlin</v>
      </c>
      <c r="K45" s="3" t="str">
        <f t="shared" si="8"/>
        <v>Germany-2025-05</v>
      </c>
      <c r="L45" t="s">
        <v>656</v>
      </c>
      <c r="M45" t="s">
        <v>671</v>
      </c>
      <c r="N45" t="s">
        <v>701</v>
      </c>
      <c r="O45" t="s">
        <v>711</v>
      </c>
      <c r="P45" t="s">
        <v>720</v>
      </c>
      <c r="Q45" t="s">
        <v>728</v>
      </c>
      <c r="R45" t="s">
        <v>777</v>
      </c>
      <c r="S45" s="5">
        <v>483.47</v>
      </c>
      <c r="T45" s="5">
        <v>1135.43</v>
      </c>
      <c r="U45" s="5" t="str">
        <f t="shared" si="9"/>
        <v>Valid</v>
      </c>
      <c r="V45" s="5">
        <f t="shared" si="0"/>
        <v>1135.43</v>
      </c>
      <c r="W45" s="5" t="str">
        <f t="shared" si="10"/>
        <v>Medium</v>
      </c>
      <c r="X45" s="5">
        <v>0.14599999999999999</v>
      </c>
      <c r="Y45" s="5" t="str">
        <f t="shared" si="11"/>
        <v>Valid</v>
      </c>
      <c r="Z45" s="5">
        <f t="shared" si="12"/>
        <v>0.14599999999999999</v>
      </c>
      <c r="AA45" s="5">
        <v>11</v>
      </c>
      <c r="AB45">
        <f t="shared" si="13"/>
        <v>10666.229420000001</v>
      </c>
      <c r="AC45">
        <f t="shared" si="1"/>
        <v>5318.17</v>
      </c>
      <c r="AD45">
        <f t="shared" si="14"/>
        <v>5348.0594200000014</v>
      </c>
      <c r="AE45">
        <f t="shared" si="15"/>
        <v>0.50140112399719983</v>
      </c>
      <c r="AF45">
        <f t="shared" si="16"/>
        <v>0</v>
      </c>
      <c r="AG45">
        <f t="shared" si="17"/>
        <v>0</v>
      </c>
      <c r="AK45">
        <f>AA45*(1+What_if_Analysis!$B$4)</f>
        <v>13.2</v>
      </c>
      <c r="AL45" s="5">
        <f>MIN(Z45,What_if_Analysis!$B$2)</f>
        <v>0.05</v>
      </c>
      <c r="AM45">
        <f t="shared" si="18"/>
        <v>14238.292199999998</v>
      </c>
      <c r="AN45">
        <f>AM45-(AK45*(T45*(1+What_if_Analysis!$B$3)))</f>
        <v>-2248.1514000000043</v>
      </c>
    </row>
    <row r="46" spans="1:40" x14ac:dyDescent="0.3">
      <c r="A46" t="s">
        <v>59</v>
      </c>
      <c r="B46" s="3">
        <v>45432</v>
      </c>
      <c r="C46" s="3" t="str">
        <f t="shared" si="2"/>
        <v>May-2024</v>
      </c>
      <c r="D46" s="3" t="str">
        <f t="shared" si="3"/>
        <v>Q2-2024</v>
      </c>
      <c r="E46" s="3">
        <v>45445</v>
      </c>
      <c r="F46" s="3" t="str">
        <f t="shared" si="4"/>
        <v>Valid</v>
      </c>
      <c r="G46" s="12">
        <f t="shared" si="5"/>
        <v>13</v>
      </c>
      <c r="H46" s="3">
        <f t="shared" si="6"/>
        <v>45445</v>
      </c>
      <c r="I46" t="s">
        <v>648</v>
      </c>
      <c r="J46" t="str">
        <f t="shared" si="7"/>
        <v>Americas → Canada → Vancouver</v>
      </c>
      <c r="K46" s="3" t="str">
        <f t="shared" si="8"/>
        <v>Canada-2024-05</v>
      </c>
      <c r="L46" t="s">
        <v>653</v>
      </c>
      <c r="M46" t="s">
        <v>688</v>
      </c>
      <c r="N46" t="s">
        <v>706</v>
      </c>
      <c r="O46" t="s">
        <v>709</v>
      </c>
      <c r="P46" t="s">
        <v>723</v>
      </c>
      <c r="Q46" t="s">
        <v>727</v>
      </c>
      <c r="R46" t="s">
        <v>778</v>
      </c>
      <c r="S46" s="5">
        <v>675.43</v>
      </c>
      <c r="T46" s="5">
        <v>996.36</v>
      </c>
      <c r="U46" s="5" t="str">
        <f t="shared" si="9"/>
        <v>Valid</v>
      </c>
      <c r="V46" s="5">
        <f t="shared" si="0"/>
        <v>996.36</v>
      </c>
      <c r="W46" s="5" t="str">
        <f t="shared" si="10"/>
        <v>Medium</v>
      </c>
      <c r="X46" s="5">
        <v>0.182</v>
      </c>
      <c r="Y46" s="5" t="str">
        <f t="shared" si="11"/>
        <v>Valid</v>
      </c>
      <c r="Z46" s="5">
        <f t="shared" si="12"/>
        <v>0.182</v>
      </c>
      <c r="AA46" s="5">
        <v>22</v>
      </c>
      <c r="AB46">
        <f t="shared" si="13"/>
        <v>17930.494560000003</v>
      </c>
      <c r="AC46">
        <f t="shared" si="1"/>
        <v>14859.46</v>
      </c>
      <c r="AD46">
        <f t="shared" si="14"/>
        <v>3071.0345600000037</v>
      </c>
      <c r="AE46">
        <f t="shared" si="15"/>
        <v>0.17127439233332575</v>
      </c>
      <c r="AF46">
        <f t="shared" si="16"/>
        <v>0</v>
      </c>
      <c r="AG46">
        <f t="shared" si="17"/>
        <v>0</v>
      </c>
      <c r="AK46">
        <f>AA46*(1+What_if_Analysis!$B$4)</f>
        <v>26.4</v>
      </c>
      <c r="AL46" s="5">
        <f>MIN(Z46,What_if_Analysis!$B$2)</f>
        <v>0.05</v>
      </c>
      <c r="AM46">
        <f t="shared" si="18"/>
        <v>24988.708799999997</v>
      </c>
      <c r="AN46">
        <f>AM46-(AK46*(T46*(1+What_if_Analysis!$B$3)))</f>
        <v>-3945.5856000000058</v>
      </c>
    </row>
    <row r="47" spans="1:40" x14ac:dyDescent="0.3">
      <c r="A47" t="s">
        <v>60</v>
      </c>
      <c r="B47" s="3">
        <v>45035</v>
      </c>
      <c r="C47" s="3" t="str">
        <f t="shared" si="2"/>
        <v>Apr-2023</v>
      </c>
      <c r="D47" s="3" t="str">
        <f t="shared" si="3"/>
        <v>Q2-2023</v>
      </c>
      <c r="E47" s="3">
        <v>45046</v>
      </c>
      <c r="F47" s="3" t="str">
        <f t="shared" si="4"/>
        <v>Valid</v>
      </c>
      <c r="G47" s="12">
        <f t="shared" si="5"/>
        <v>11</v>
      </c>
      <c r="H47" s="3">
        <f t="shared" si="6"/>
        <v>45046</v>
      </c>
      <c r="I47" t="s">
        <v>647</v>
      </c>
      <c r="J47" t="str">
        <f t="shared" si="7"/>
        <v>Asia → India → Delhi</v>
      </c>
      <c r="K47" s="3" t="str">
        <f t="shared" si="8"/>
        <v>India-2023-04</v>
      </c>
      <c r="L47" t="s">
        <v>654</v>
      </c>
      <c r="M47" t="s">
        <v>680</v>
      </c>
      <c r="N47" t="s">
        <v>705</v>
      </c>
      <c r="O47" t="s">
        <v>707</v>
      </c>
      <c r="P47" t="s">
        <v>720</v>
      </c>
      <c r="Q47" t="s">
        <v>729</v>
      </c>
      <c r="R47" t="s">
        <v>779</v>
      </c>
      <c r="S47" s="5">
        <v>826.55</v>
      </c>
      <c r="T47" s="5">
        <v>1397.05</v>
      </c>
      <c r="U47" s="5" t="str">
        <f t="shared" si="9"/>
        <v>Valid</v>
      </c>
      <c r="V47" s="5">
        <f t="shared" si="0"/>
        <v>1397.05</v>
      </c>
      <c r="W47" s="5" t="str">
        <f t="shared" si="10"/>
        <v>Medium</v>
      </c>
      <c r="X47" s="5">
        <v>0.16900000000000001</v>
      </c>
      <c r="Y47" s="5" t="str">
        <f t="shared" si="11"/>
        <v>Valid</v>
      </c>
      <c r="Z47" s="5">
        <f t="shared" si="12"/>
        <v>0.16900000000000001</v>
      </c>
      <c r="AA47" s="5">
        <v>28</v>
      </c>
      <c r="AB47">
        <f t="shared" si="13"/>
        <v>32506.559399999998</v>
      </c>
      <c r="AC47">
        <f t="shared" si="1"/>
        <v>23143.399999999998</v>
      </c>
      <c r="AD47">
        <f t="shared" si="14"/>
        <v>9363.1594000000005</v>
      </c>
      <c r="AE47">
        <f t="shared" si="15"/>
        <v>0.28803907804527601</v>
      </c>
      <c r="AF47">
        <f t="shared" si="16"/>
        <v>0</v>
      </c>
      <c r="AG47">
        <f t="shared" si="17"/>
        <v>0</v>
      </c>
      <c r="AK47">
        <f>AA47*(1+What_if_Analysis!$B$4)</f>
        <v>33.6</v>
      </c>
      <c r="AL47" s="5">
        <f>MIN(Z47,What_if_Analysis!$B$2)</f>
        <v>0.05</v>
      </c>
      <c r="AM47">
        <f t="shared" si="18"/>
        <v>44593.835999999996</v>
      </c>
      <c r="AN47">
        <f>AM47-(AK47*(T47*(1+What_if_Analysis!$B$3)))</f>
        <v>-7041.1320000000123</v>
      </c>
    </row>
    <row r="48" spans="1:40" x14ac:dyDescent="0.3">
      <c r="A48" t="s">
        <v>61</v>
      </c>
      <c r="B48" s="3">
        <v>45100</v>
      </c>
      <c r="C48" s="3" t="str">
        <f t="shared" si="2"/>
        <v>Jun-2023</v>
      </c>
      <c r="D48" s="3" t="str">
        <f t="shared" si="3"/>
        <v>Q2-2023</v>
      </c>
      <c r="E48" s="3">
        <v>45110</v>
      </c>
      <c r="F48" s="3" t="str">
        <f t="shared" si="4"/>
        <v>Valid</v>
      </c>
      <c r="G48" s="12">
        <f t="shared" si="5"/>
        <v>10</v>
      </c>
      <c r="H48" s="3">
        <f t="shared" si="6"/>
        <v>45110</v>
      </c>
      <c r="I48" t="s">
        <v>646</v>
      </c>
      <c r="J48" t="str">
        <f t="shared" si="7"/>
        <v>Africa → Nigeria → Abuja</v>
      </c>
      <c r="K48" s="3" t="str">
        <f t="shared" si="8"/>
        <v>Nigeria-2023-06</v>
      </c>
      <c r="L48" t="s">
        <v>651</v>
      </c>
      <c r="M48" t="s">
        <v>669</v>
      </c>
      <c r="N48" t="s">
        <v>704</v>
      </c>
      <c r="O48" t="s">
        <v>708</v>
      </c>
      <c r="P48" t="s">
        <v>713</v>
      </c>
      <c r="Q48" t="s">
        <v>728</v>
      </c>
      <c r="R48" t="s">
        <v>780</v>
      </c>
      <c r="S48" s="5">
        <v>337.75</v>
      </c>
      <c r="T48" s="5">
        <v>548.89</v>
      </c>
      <c r="U48" s="5" t="str">
        <f t="shared" si="9"/>
        <v>Valid</v>
      </c>
      <c r="V48" s="5">
        <f t="shared" si="0"/>
        <v>548.89</v>
      </c>
      <c r="W48" s="5" t="str">
        <f t="shared" si="10"/>
        <v>Low</v>
      </c>
      <c r="X48" s="5">
        <v>0</v>
      </c>
      <c r="Y48" s="5" t="str">
        <f t="shared" si="11"/>
        <v>Valid</v>
      </c>
      <c r="Z48" s="5">
        <f t="shared" si="12"/>
        <v>0</v>
      </c>
      <c r="AA48" s="5">
        <v>13</v>
      </c>
      <c r="AB48">
        <f t="shared" si="13"/>
        <v>7135.57</v>
      </c>
      <c r="AC48">
        <f t="shared" si="1"/>
        <v>4390.75</v>
      </c>
      <c r="AD48">
        <f t="shared" si="14"/>
        <v>2744.8199999999997</v>
      </c>
      <c r="AE48">
        <f t="shared" si="15"/>
        <v>0.38466723751571352</v>
      </c>
      <c r="AF48">
        <f t="shared" si="16"/>
        <v>0</v>
      </c>
      <c r="AG48">
        <f t="shared" si="17"/>
        <v>0</v>
      </c>
      <c r="AK48">
        <f>AA48*(1+What_if_Analysis!$B$4)</f>
        <v>15.6</v>
      </c>
      <c r="AL48" s="5">
        <f>MIN(Z48,What_if_Analysis!$B$2)</f>
        <v>0</v>
      </c>
      <c r="AM48">
        <f t="shared" si="18"/>
        <v>8562.6839999999993</v>
      </c>
      <c r="AN48">
        <f>AM48-(AK48*(T48*(1+What_if_Analysis!$B$3)))</f>
        <v>-856.26840000000084</v>
      </c>
    </row>
    <row r="49" spans="1:40" x14ac:dyDescent="0.3">
      <c r="A49" t="s">
        <v>62</v>
      </c>
      <c r="B49" s="3">
        <v>45426</v>
      </c>
      <c r="C49" s="3" t="str">
        <f t="shared" si="2"/>
        <v>May-2024</v>
      </c>
      <c r="D49" s="3" t="str">
        <f t="shared" si="3"/>
        <v>Q2-2024</v>
      </c>
      <c r="E49" s="3">
        <v>45440</v>
      </c>
      <c r="F49" s="3" t="str">
        <f t="shared" si="4"/>
        <v>Valid</v>
      </c>
      <c r="G49" s="12">
        <f t="shared" si="5"/>
        <v>14</v>
      </c>
      <c r="H49" s="3">
        <f t="shared" si="6"/>
        <v>45440</v>
      </c>
      <c r="I49" t="s">
        <v>649</v>
      </c>
      <c r="J49" t="str">
        <f t="shared" si="7"/>
        <v>Europe → United Kingdom → Birmingham</v>
      </c>
      <c r="K49" s="3" t="str">
        <f t="shared" si="8"/>
        <v>United Kingdom-2024-05</v>
      </c>
      <c r="L49" t="s">
        <v>658</v>
      </c>
      <c r="M49" t="s">
        <v>674</v>
      </c>
      <c r="N49" t="s">
        <v>704</v>
      </c>
      <c r="O49" t="s">
        <v>707</v>
      </c>
      <c r="P49" t="s">
        <v>717</v>
      </c>
      <c r="Q49" t="s">
        <v>729</v>
      </c>
      <c r="R49" t="s">
        <v>781</v>
      </c>
      <c r="S49" s="5">
        <v>1421.14</v>
      </c>
      <c r="T49" s="5">
        <v>3524</v>
      </c>
      <c r="U49" s="5" t="str">
        <f t="shared" si="9"/>
        <v>Valid</v>
      </c>
      <c r="V49" s="5">
        <f t="shared" si="0"/>
        <v>3524</v>
      </c>
      <c r="W49" s="5" t="str">
        <f t="shared" si="10"/>
        <v>High</v>
      </c>
      <c r="X49" s="5">
        <v>0</v>
      </c>
      <c r="Y49" s="5" t="str">
        <f t="shared" si="11"/>
        <v>Valid</v>
      </c>
      <c r="Z49" s="5">
        <f t="shared" si="12"/>
        <v>0</v>
      </c>
      <c r="AA49" s="5">
        <v>31</v>
      </c>
      <c r="AB49">
        <f t="shared" si="13"/>
        <v>109244</v>
      </c>
      <c r="AC49">
        <f t="shared" si="1"/>
        <v>44055.340000000004</v>
      </c>
      <c r="AD49">
        <f t="shared" si="14"/>
        <v>65188.659999999996</v>
      </c>
      <c r="AE49">
        <f t="shared" si="15"/>
        <v>0.59672531214528945</v>
      </c>
      <c r="AF49">
        <f t="shared" si="16"/>
        <v>0</v>
      </c>
      <c r="AG49">
        <f t="shared" si="17"/>
        <v>0</v>
      </c>
      <c r="AK49">
        <f>AA49*(1+What_if_Analysis!$B$4)</f>
        <v>37.199999999999996</v>
      </c>
      <c r="AL49" s="5">
        <f>MIN(Z49,What_if_Analysis!$B$2)</f>
        <v>0</v>
      </c>
      <c r="AM49">
        <f t="shared" si="18"/>
        <v>131092.79999999999</v>
      </c>
      <c r="AN49">
        <f>AM49-(AK49*(T49*(1+What_if_Analysis!$B$3)))</f>
        <v>-13109.279999999999</v>
      </c>
    </row>
    <row r="50" spans="1:40" x14ac:dyDescent="0.3">
      <c r="A50" t="s">
        <v>63</v>
      </c>
      <c r="B50" s="3">
        <v>45579</v>
      </c>
      <c r="C50" s="3" t="str">
        <f t="shared" si="2"/>
        <v>Oct-2024</v>
      </c>
      <c r="D50" s="3" t="str">
        <f t="shared" si="3"/>
        <v>Q4-2024</v>
      </c>
      <c r="E50" s="3">
        <v>45604</v>
      </c>
      <c r="F50" s="3" t="str">
        <f t="shared" si="4"/>
        <v>Valid</v>
      </c>
      <c r="G50" s="12">
        <f t="shared" si="5"/>
        <v>25</v>
      </c>
      <c r="H50" s="3">
        <f t="shared" si="6"/>
        <v>45604</v>
      </c>
      <c r="I50" t="s">
        <v>646</v>
      </c>
      <c r="J50" t="str">
        <f t="shared" si="7"/>
        <v>Africa → Nigeria → Lagos</v>
      </c>
      <c r="K50" s="3" t="str">
        <f t="shared" si="8"/>
        <v>Nigeria-2024-10</v>
      </c>
      <c r="L50" t="s">
        <v>651</v>
      </c>
      <c r="M50" t="s">
        <v>665</v>
      </c>
      <c r="N50" t="s">
        <v>706</v>
      </c>
      <c r="O50" t="s">
        <v>708</v>
      </c>
      <c r="P50" t="s">
        <v>719</v>
      </c>
      <c r="Q50" t="s">
        <v>729</v>
      </c>
      <c r="R50" t="s">
        <v>782</v>
      </c>
      <c r="S50" s="5">
        <v>859.35</v>
      </c>
      <c r="T50" s="5">
        <v>1825.61</v>
      </c>
      <c r="U50" s="5" t="str">
        <f t="shared" si="9"/>
        <v>Valid</v>
      </c>
      <c r="V50" s="5">
        <f t="shared" si="0"/>
        <v>1825.61</v>
      </c>
      <c r="W50" s="5" t="str">
        <f t="shared" si="10"/>
        <v>Medium</v>
      </c>
      <c r="X50" s="5">
        <v>0.187</v>
      </c>
      <c r="Y50" s="5" t="str">
        <f t="shared" si="11"/>
        <v>Valid</v>
      </c>
      <c r="Z50" s="5">
        <f t="shared" si="12"/>
        <v>0.187</v>
      </c>
      <c r="AA50" s="5">
        <v>24</v>
      </c>
      <c r="AB50">
        <f t="shared" si="13"/>
        <v>35621.302319999995</v>
      </c>
      <c r="AC50">
        <f t="shared" si="1"/>
        <v>20624.400000000001</v>
      </c>
      <c r="AD50">
        <f t="shared" si="14"/>
        <v>14996.902319999994</v>
      </c>
      <c r="AE50">
        <f t="shared" si="15"/>
        <v>0.42100937762681989</v>
      </c>
      <c r="AF50">
        <f t="shared" si="16"/>
        <v>0</v>
      </c>
      <c r="AG50">
        <f t="shared" si="17"/>
        <v>0</v>
      </c>
      <c r="AK50">
        <f>AA50*(1+What_if_Analysis!$B$4)</f>
        <v>28.799999999999997</v>
      </c>
      <c r="AL50" s="5">
        <f>MIN(Z50,What_if_Analysis!$B$2)</f>
        <v>0.05</v>
      </c>
      <c r="AM50">
        <f t="shared" si="18"/>
        <v>49948.689599999991</v>
      </c>
      <c r="AN50">
        <f>AM50-(AK50*(T50*(1+What_if_Analysis!$B$3)))</f>
        <v>-7886.6352000000043</v>
      </c>
    </row>
    <row r="51" spans="1:40" x14ac:dyDescent="0.3">
      <c r="A51" t="s">
        <v>64</v>
      </c>
      <c r="B51" s="3">
        <v>45117</v>
      </c>
      <c r="C51" s="3" t="str">
        <f t="shared" si="2"/>
        <v>Jul-2023</v>
      </c>
      <c r="D51" s="3" t="str">
        <f t="shared" si="3"/>
        <v>Q3-2023</v>
      </c>
      <c r="E51" s="3">
        <v>45139</v>
      </c>
      <c r="F51" s="3" t="str">
        <f t="shared" si="4"/>
        <v>Valid</v>
      </c>
      <c r="G51" s="12">
        <f t="shared" si="5"/>
        <v>22</v>
      </c>
      <c r="H51" s="3">
        <f t="shared" si="6"/>
        <v>45139</v>
      </c>
      <c r="I51" t="s">
        <v>649</v>
      </c>
      <c r="J51" t="str">
        <f t="shared" si="7"/>
        <v>Europe → France → Marseille</v>
      </c>
      <c r="K51" s="3" t="str">
        <f t="shared" si="8"/>
        <v>France-2023-07</v>
      </c>
      <c r="L51" t="s">
        <v>657</v>
      </c>
      <c r="M51" t="s">
        <v>673</v>
      </c>
      <c r="N51" t="s">
        <v>704</v>
      </c>
      <c r="O51" t="s">
        <v>709</v>
      </c>
      <c r="P51" t="s">
        <v>717</v>
      </c>
      <c r="Q51" t="s">
        <v>728</v>
      </c>
      <c r="R51" t="s">
        <v>783</v>
      </c>
      <c r="S51" s="5">
        <v>1303.56</v>
      </c>
      <c r="T51" s="5">
        <v>1791.37</v>
      </c>
      <c r="U51" s="5" t="str">
        <f t="shared" si="9"/>
        <v>Valid</v>
      </c>
      <c r="V51" s="5">
        <f t="shared" si="0"/>
        <v>1791.37</v>
      </c>
      <c r="W51" s="5" t="str">
        <f t="shared" si="10"/>
        <v>Medium</v>
      </c>
      <c r="X51" s="5">
        <v>0.126</v>
      </c>
      <c r="Y51" s="5" t="str">
        <f t="shared" si="11"/>
        <v>Valid</v>
      </c>
      <c r="Z51" s="5">
        <f t="shared" si="12"/>
        <v>0.126</v>
      </c>
      <c r="AA51" s="5">
        <v>22</v>
      </c>
      <c r="AB51">
        <f t="shared" si="13"/>
        <v>34444.462359999998</v>
      </c>
      <c r="AC51">
        <f t="shared" si="1"/>
        <v>28678.32</v>
      </c>
      <c r="AD51">
        <f t="shared" si="14"/>
        <v>5766.142359999998</v>
      </c>
      <c r="AE51">
        <f t="shared" si="15"/>
        <v>0.16740404596055358</v>
      </c>
      <c r="AF51">
        <f t="shared" si="16"/>
        <v>0</v>
      </c>
      <c r="AG51">
        <f t="shared" si="17"/>
        <v>0</v>
      </c>
      <c r="AK51">
        <f>AA51*(1+What_if_Analysis!$B$4)</f>
        <v>26.4</v>
      </c>
      <c r="AL51" s="5">
        <f>MIN(Z51,What_if_Analysis!$B$2)</f>
        <v>0.05</v>
      </c>
      <c r="AM51">
        <f t="shared" si="18"/>
        <v>44927.559599999993</v>
      </c>
      <c r="AN51">
        <f>AM51-(AK51*(T51*(1+What_if_Analysis!$B$3)))</f>
        <v>-7093.8252000000066</v>
      </c>
    </row>
    <row r="52" spans="1:40" x14ac:dyDescent="0.3">
      <c r="A52" t="s">
        <v>65</v>
      </c>
      <c r="B52" s="3">
        <v>45602</v>
      </c>
      <c r="C52" s="3" t="str">
        <f t="shared" si="2"/>
        <v>Nov-2024</v>
      </c>
      <c r="D52" s="3" t="str">
        <f t="shared" si="3"/>
        <v>Q4-2024</v>
      </c>
      <c r="E52" s="3">
        <v>45618</v>
      </c>
      <c r="F52" s="3" t="str">
        <f t="shared" si="4"/>
        <v>Valid</v>
      </c>
      <c r="G52" s="12">
        <f t="shared" si="5"/>
        <v>16</v>
      </c>
      <c r="H52" s="3">
        <f t="shared" si="6"/>
        <v>45618</v>
      </c>
      <c r="I52" t="s">
        <v>648</v>
      </c>
      <c r="J52" t="str">
        <f t="shared" si="7"/>
        <v>Americas → Canada → Toronto</v>
      </c>
      <c r="K52" s="3" t="str">
        <f t="shared" si="8"/>
        <v>Canada-2024-11</v>
      </c>
      <c r="L52" t="s">
        <v>653</v>
      </c>
      <c r="M52" t="s">
        <v>667</v>
      </c>
      <c r="N52" t="s">
        <v>703</v>
      </c>
      <c r="O52" t="s">
        <v>710</v>
      </c>
      <c r="P52" t="s">
        <v>726</v>
      </c>
      <c r="Q52" t="s">
        <v>733</v>
      </c>
      <c r="R52" t="s">
        <v>784</v>
      </c>
      <c r="S52" s="5">
        <v>1454.11</v>
      </c>
      <c r="T52" s="5">
        <v>2629.75</v>
      </c>
      <c r="U52" s="5" t="str">
        <f t="shared" si="9"/>
        <v>Valid</v>
      </c>
      <c r="V52" s="5">
        <f t="shared" si="0"/>
        <v>2629.75</v>
      </c>
      <c r="W52" s="5" t="str">
        <f t="shared" si="10"/>
        <v>High</v>
      </c>
      <c r="X52" s="5">
        <v>0.29199999999999998</v>
      </c>
      <c r="Y52" s="5" t="str">
        <f t="shared" si="11"/>
        <v>Valid</v>
      </c>
      <c r="Z52" s="5">
        <f t="shared" si="12"/>
        <v>0.29199999999999998</v>
      </c>
      <c r="AA52" s="5">
        <v>8</v>
      </c>
      <c r="AB52">
        <f t="shared" si="13"/>
        <v>14894.903999999999</v>
      </c>
      <c r="AC52">
        <f t="shared" si="1"/>
        <v>11632.88</v>
      </c>
      <c r="AD52">
        <f t="shared" si="14"/>
        <v>3262.0239999999994</v>
      </c>
      <c r="AE52">
        <f t="shared" si="15"/>
        <v>0.21900268709351867</v>
      </c>
      <c r="AF52">
        <f t="shared" si="16"/>
        <v>0</v>
      </c>
      <c r="AG52">
        <f t="shared" si="17"/>
        <v>1</v>
      </c>
      <c r="AK52">
        <f>AA52*(1+What_if_Analysis!$B$4)</f>
        <v>9.6</v>
      </c>
      <c r="AL52" s="5">
        <f>MIN(Z52,What_if_Analysis!$B$2)</f>
        <v>0.05</v>
      </c>
      <c r="AM52">
        <f t="shared" si="18"/>
        <v>23983.319999999996</v>
      </c>
      <c r="AN52">
        <f>AM52-(AK52*(T52*(1+What_if_Analysis!$B$3)))</f>
        <v>-3786.8400000000074</v>
      </c>
    </row>
    <row r="53" spans="1:40" x14ac:dyDescent="0.3">
      <c r="A53" t="s">
        <v>66</v>
      </c>
      <c r="B53" s="3">
        <v>45582</v>
      </c>
      <c r="C53" s="3" t="str">
        <f t="shared" si="2"/>
        <v>Oct-2024</v>
      </c>
      <c r="D53" s="3" t="str">
        <f t="shared" si="3"/>
        <v>Q4-2024</v>
      </c>
      <c r="E53" s="3">
        <v>45602</v>
      </c>
      <c r="F53" s="3" t="str">
        <f t="shared" si="4"/>
        <v>Valid</v>
      </c>
      <c r="G53" s="12">
        <f t="shared" si="5"/>
        <v>20</v>
      </c>
      <c r="H53" s="3">
        <f t="shared" si="6"/>
        <v>45602</v>
      </c>
      <c r="I53" t="s">
        <v>647</v>
      </c>
      <c r="J53" t="str">
        <f t="shared" si="7"/>
        <v>Asia → India → Bengaluru</v>
      </c>
      <c r="K53" s="3" t="str">
        <f t="shared" si="8"/>
        <v>India-2024-10</v>
      </c>
      <c r="L53" t="s">
        <v>654</v>
      </c>
      <c r="M53" t="s">
        <v>668</v>
      </c>
      <c r="N53" t="s">
        <v>706</v>
      </c>
      <c r="O53" t="s">
        <v>710</v>
      </c>
      <c r="P53" t="s">
        <v>719</v>
      </c>
      <c r="Q53" t="s">
        <v>732</v>
      </c>
      <c r="R53" t="s">
        <v>785</v>
      </c>
      <c r="S53" s="5">
        <v>72.94</v>
      </c>
      <c r="T53" s="5">
        <v>106.3</v>
      </c>
      <c r="U53" s="5" t="str">
        <f t="shared" si="9"/>
        <v>Valid</v>
      </c>
      <c r="V53" s="5">
        <f t="shared" si="0"/>
        <v>106.3</v>
      </c>
      <c r="W53" s="5" t="str">
        <f t="shared" si="10"/>
        <v>Low</v>
      </c>
      <c r="X53" s="5">
        <v>0.29499999999999998</v>
      </c>
      <c r="Y53" s="5" t="str">
        <f t="shared" si="11"/>
        <v>Valid</v>
      </c>
      <c r="Z53" s="5">
        <f t="shared" si="12"/>
        <v>0.29499999999999998</v>
      </c>
      <c r="AA53" s="5">
        <v>8</v>
      </c>
      <c r="AB53">
        <f t="shared" si="13"/>
        <v>599.53200000000004</v>
      </c>
      <c r="AC53">
        <f t="shared" si="1"/>
        <v>583.52</v>
      </c>
      <c r="AD53">
        <f t="shared" si="14"/>
        <v>16.012000000000057</v>
      </c>
      <c r="AE53">
        <f t="shared" si="15"/>
        <v>2.6707498515508857E-2</v>
      </c>
      <c r="AF53">
        <f t="shared" si="16"/>
        <v>0</v>
      </c>
      <c r="AG53">
        <f t="shared" si="17"/>
        <v>1</v>
      </c>
      <c r="AK53">
        <f>AA53*(1+What_if_Analysis!$B$4)</f>
        <v>9.6</v>
      </c>
      <c r="AL53" s="5">
        <f>MIN(Z53,What_if_Analysis!$B$2)</f>
        <v>0.05</v>
      </c>
      <c r="AM53">
        <f t="shared" si="18"/>
        <v>969.4559999999999</v>
      </c>
      <c r="AN53">
        <f>AM53-(AK53*(T53*(1+What_if_Analysis!$B$3)))</f>
        <v>-153.07200000000012</v>
      </c>
    </row>
    <row r="54" spans="1:40" x14ac:dyDescent="0.3">
      <c r="A54" t="s">
        <v>67</v>
      </c>
      <c r="B54" s="3">
        <v>45016</v>
      </c>
      <c r="C54" s="3" t="str">
        <f t="shared" si="2"/>
        <v>Mar-2023</v>
      </c>
      <c r="D54" s="3" t="str">
        <f t="shared" si="3"/>
        <v>Q1-2023</v>
      </c>
      <c r="E54" s="3">
        <v>45021</v>
      </c>
      <c r="F54" s="3" t="str">
        <f t="shared" si="4"/>
        <v>Valid</v>
      </c>
      <c r="G54" s="12">
        <f t="shared" si="5"/>
        <v>5</v>
      </c>
      <c r="H54" s="3">
        <f t="shared" si="6"/>
        <v>45021</v>
      </c>
      <c r="I54" t="s">
        <v>646</v>
      </c>
      <c r="J54" t="str">
        <f t="shared" si="7"/>
        <v>Africa → Kenya → Nakuru</v>
      </c>
      <c r="K54" s="3" t="str">
        <f t="shared" si="8"/>
        <v>Kenya-2023-03</v>
      </c>
      <c r="L54" t="s">
        <v>650</v>
      </c>
      <c r="M54" t="s">
        <v>678</v>
      </c>
      <c r="N54" t="s">
        <v>702</v>
      </c>
      <c r="O54" t="s">
        <v>709</v>
      </c>
      <c r="P54" t="s">
        <v>717</v>
      </c>
      <c r="Q54" t="s">
        <v>731</v>
      </c>
      <c r="R54" t="s">
        <v>786</v>
      </c>
      <c r="S54" s="5">
        <v>533.26</v>
      </c>
      <c r="T54" s="5">
        <v>385.72</v>
      </c>
      <c r="U54" s="5" t="str">
        <f t="shared" si="9"/>
        <v>Valid</v>
      </c>
      <c r="V54" s="5">
        <f t="shared" si="0"/>
        <v>385.72</v>
      </c>
      <c r="W54" s="5" t="str">
        <f t="shared" si="10"/>
        <v>Low</v>
      </c>
      <c r="X54" s="5">
        <v>0</v>
      </c>
      <c r="Y54" s="5" t="str">
        <f t="shared" si="11"/>
        <v>Valid</v>
      </c>
      <c r="Z54" s="5">
        <f t="shared" si="12"/>
        <v>0</v>
      </c>
      <c r="AA54" s="5">
        <v>15</v>
      </c>
      <c r="AB54">
        <f t="shared" si="13"/>
        <v>5785.8</v>
      </c>
      <c r="AC54">
        <f t="shared" si="1"/>
        <v>7998.9</v>
      </c>
      <c r="AD54">
        <f t="shared" si="14"/>
        <v>-2213.0999999999995</v>
      </c>
      <c r="AE54">
        <f t="shared" si="15"/>
        <v>-0.38250544436378708</v>
      </c>
      <c r="AF54">
        <f t="shared" si="16"/>
        <v>1</v>
      </c>
      <c r="AG54">
        <f t="shared" si="17"/>
        <v>0</v>
      </c>
      <c r="AK54">
        <f>AA54*(1+What_if_Analysis!$B$4)</f>
        <v>18</v>
      </c>
      <c r="AL54" s="5">
        <f>MIN(Z54,What_if_Analysis!$B$2)</f>
        <v>0</v>
      </c>
      <c r="AM54">
        <f t="shared" si="18"/>
        <v>6942.9600000000009</v>
      </c>
      <c r="AN54">
        <f>AM54-(AK54*(T54*(1+What_if_Analysis!$B$3)))</f>
        <v>-694.29600000000028</v>
      </c>
    </row>
    <row r="55" spans="1:40" x14ac:dyDescent="0.3">
      <c r="A55" t="s">
        <v>68</v>
      </c>
      <c r="B55" s="3">
        <v>45678</v>
      </c>
      <c r="C55" s="3" t="str">
        <f t="shared" si="2"/>
        <v>Jan-2025</v>
      </c>
      <c r="D55" s="3" t="str">
        <f t="shared" si="3"/>
        <v>Q1-2025</v>
      </c>
      <c r="E55" s="3">
        <v>45704</v>
      </c>
      <c r="F55" s="3" t="str">
        <f t="shared" si="4"/>
        <v>Valid</v>
      </c>
      <c r="G55" s="12">
        <f t="shared" si="5"/>
        <v>26</v>
      </c>
      <c r="H55" s="3">
        <f t="shared" si="6"/>
        <v>45704</v>
      </c>
      <c r="I55" t="s">
        <v>649</v>
      </c>
      <c r="J55" t="str">
        <f t="shared" si="7"/>
        <v>Europe → France → Lyon</v>
      </c>
      <c r="K55" s="3" t="str">
        <f t="shared" si="8"/>
        <v>France-2025-01</v>
      </c>
      <c r="L55" t="s">
        <v>657</v>
      </c>
      <c r="M55" t="s">
        <v>679</v>
      </c>
      <c r="N55" t="s">
        <v>701</v>
      </c>
      <c r="O55" t="s">
        <v>710</v>
      </c>
      <c r="P55" t="s">
        <v>719</v>
      </c>
      <c r="Q55" t="s">
        <v>731</v>
      </c>
      <c r="R55" t="s">
        <v>787</v>
      </c>
      <c r="S55" s="5">
        <v>204.11</v>
      </c>
      <c r="T55" s="5">
        <v>236.87</v>
      </c>
      <c r="U55" s="5" t="str">
        <f t="shared" si="9"/>
        <v>Valid</v>
      </c>
      <c r="V55" s="5">
        <f t="shared" si="0"/>
        <v>236.87</v>
      </c>
      <c r="W55" s="5" t="str">
        <f t="shared" si="10"/>
        <v>Low</v>
      </c>
      <c r="X55" s="5">
        <v>0.182</v>
      </c>
      <c r="Y55" s="5" t="str">
        <f t="shared" si="11"/>
        <v>Valid</v>
      </c>
      <c r="Z55" s="5">
        <f t="shared" si="12"/>
        <v>0.182</v>
      </c>
      <c r="AA55" s="5">
        <v>13</v>
      </c>
      <c r="AB55">
        <f t="shared" si="13"/>
        <v>2518.8755800000004</v>
      </c>
      <c r="AC55">
        <f t="shared" si="1"/>
        <v>2653.4300000000003</v>
      </c>
      <c r="AD55">
        <f t="shared" si="14"/>
        <v>-134.55441999999994</v>
      </c>
      <c r="AE55">
        <f t="shared" si="15"/>
        <v>-5.3418446337075494E-2</v>
      </c>
      <c r="AF55">
        <f t="shared" si="16"/>
        <v>0</v>
      </c>
      <c r="AG55">
        <f t="shared" si="17"/>
        <v>0</v>
      </c>
      <c r="AK55">
        <f>AA55*(1+What_if_Analysis!$B$4)</f>
        <v>15.6</v>
      </c>
      <c r="AL55" s="5">
        <f>MIN(Z55,What_if_Analysis!$B$2)</f>
        <v>0.05</v>
      </c>
      <c r="AM55">
        <f t="shared" si="18"/>
        <v>3510.4133999999999</v>
      </c>
      <c r="AN55">
        <f>AM55-(AK55*(T55*(1+What_if_Analysis!$B$3)))</f>
        <v>-554.27580000000034</v>
      </c>
    </row>
    <row r="56" spans="1:40" x14ac:dyDescent="0.3">
      <c r="A56" t="s">
        <v>69</v>
      </c>
      <c r="B56" s="3">
        <v>45168</v>
      </c>
      <c r="C56" s="3" t="str">
        <f t="shared" si="2"/>
        <v>Aug-2023</v>
      </c>
      <c r="D56" s="3" t="str">
        <f t="shared" si="3"/>
        <v>Q3-2023</v>
      </c>
      <c r="E56" s="3">
        <v>45170</v>
      </c>
      <c r="F56" s="3" t="str">
        <f t="shared" si="4"/>
        <v>Valid</v>
      </c>
      <c r="G56" s="12">
        <f t="shared" si="5"/>
        <v>2</v>
      </c>
      <c r="H56" s="3">
        <f t="shared" si="6"/>
        <v>45170</v>
      </c>
      <c r="I56" t="s">
        <v>649</v>
      </c>
      <c r="J56" t="str">
        <f t="shared" si="7"/>
        <v>Europe → Germany → Munich</v>
      </c>
      <c r="K56" s="3" t="str">
        <f t="shared" si="8"/>
        <v>Germany-2023-08</v>
      </c>
      <c r="L56" t="s">
        <v>656</v>
      </c>
      <c r="M56" t="s">
        <v>684</v>
      </c>
      <c r="N56" t="s">
        <v>701</v>
      </c>
      <c r="O56" t="s">
        <v>711</v>
      </c>
      <c r="P56" t="s">
        <v>725</v>
      </c>
      <c r="Q56" t="s">
        <v>729</v>
      </c>
      <c r="R56" t="s">
        <v>788</v>
      </c>
      <c r="S56" s="5">
        <v>44.42</v>
      </c>
      <c r="T56" s="5">
        <v>41.9</v>
      </c>
      <c r="U56" s="5" t="str">
        <f t="shared" si="9"/>
        <v>Valid</v>
      </c>
      <c r="V56" s="5">
        <f t="shared" si="0"/>
        <v>41.9</v>
      </c>
      <c r="W56" s="5" t="str">
        <f t="shared" si="10"/>
        <v>Low</v>
      </c>
      <c r="X56" s="5">
        <v>0.14399999999999999</v>
      </c>
      <c r="Y56" s="5" t="str">
        <f t="shared" si="11"/>
        <v>Valid</v>
      </c>
      <c r="Z56" s="5">
        <f t="shared" si="12"/>
        <v>0.14399999999999999</v>
      </c>
      <c r="AA56" s="5">
        <v>6</v>
      </c>
      <c r="AB56">
        <f t="shared" si="13"/>
        <v>215.19839999999996</v>
      </c>
      <c r="AC56">
        <f t="shared" si="1"/>
        <v>266.52</v>
      </c>
      <c r="AD56">
        <f t="shared" si="14"/>
        <v>-51.321600000000018</v>
      </c>
      <c r="AE56">
        <f t="shared" si="15"/>
        <v>-0.23848504449847224</v>
      </c>
      <c r="AF56">
        <f t="shared" si="16"/>
        <v>1</v>
      </c>
      <c r="AG56">
        <f t="shared" si="17"/>
        <v>0</v>
      </c>
      <c r="AK56">
        <f>AA56*(1+What_if_Analysis!$B$4)</f>
        <v>7.1999999999999993</v>
      </c>
      <c r="AL56" s="5">
        <f>MIN(Z56,What_if_Analysis!$B$2)</f>
        <v>0.05</v>
      </c>
      <c r="AM56">
        <f t="shared" si="18"/>
        <v>286.59599999999995</v>
      </c>
      <c r="AN56">
        <f>AM56-(AK56*(T56*(1+What_if_Analysis!$B$3)))</f>
        <v>-45.252000000000066</v>
      </c>
    </row>
    <row r="57" spans="1:40" x14ac:dyDescent="0.3">
      <c r="A57" t="s">
        <v>70</v>
      </c>
      <c r="B57" s="3">
        <v>45753</v>
      </c>
      <c r="C57" s="3" t="str">
        <f t="shared" si="2"/>
        <v>Apr-2025</v>
      </c>
      <c r="D57" s="3" t="str">
        <f t="shared" si="3"/>
        <v>Q2-2025</v>
      </c>
      <c r="E57" s="3">
        <v>45777</v>
      </c>
      <c r="F57" s="3" t="str">
        <f t="shared" si="4"/>
        <v>Valid</v>
      </c>
      <c r="G57" s="12">
        <f t="shared" si="5"/>
        <v>24</v>
      </c>
      <c r="H57" s="3">
        <f t="shared" si="6"/>
        <v>45777</v>
      </c>
      <c r="I57" t="s">
        <v>648</v>
      </c>
      <c r="J57" t="str">
        <f t="shared" si="7"/>
        <v>Americas → Brazil → Brasília</v>
      </c>
      <c r="K57" s="3" t="str">
        <f t="shared" si="8"/>
        <v>Brazil-2025-04</v>
      </c>
      <c r="L57" t="s">
        <v>655</v>
      </c>
      <c r="M57" t="s">
        <v>672</v>
      </c>
      <c r="N57" t="s">
        <v>702</v>
      </c>
      <c r="O57" t="s">
        <v>708</v>
      </c>
      <c r="P57" t="s">
        <v>723</v>
      </c>
      <c r="Q57" t="s">
        <v>732</v>
      </c>
      <c r="R57" t="s">
        <v>789</v>
      </c>
      <c r="S57" s="5">
        <v>855.78</v>
      </c>
      <c r="T57" s="5">
        <v>977.38</v>
      </c>
      <c r="U57" s="5" t="str">
        <f t="shared" si="9"/>
        <v>Valid</v>
      </c>
      <c r="V57" s="5">
        <f t="shared" si="0"/>
        <v>977.38</v>
      </c>
      <c r="W57" s="5" t="str">
        <f t="shared" si="10"/>
        <v>Medium</v>
      </c>
      <c r="X57" s="5">
        <v>0.14699999999999999</v>
      </c>
      <c r="Y57" s="5" t="str">
        <f t="shared" si="11"/>
        <v>Valid</v>
      </c>
      <c r="Z57" s="5">
        <f t="shared" si="12"/>
        <v>0.14699999999999999</v>
      </c>
      <c r="AA57" s="5">
        <v>38</v>
      </c>
      <c r="AB57">
        <f t="shared" si="13"/>
        <v>31680.795320000001</v>
      </c>
      <c r="AC57">
        <f t="shared" si="1"/>
        <v>32519.64</v>
      </c>
      <c r="AD57">
        <f t="shared" si="14"/>
        <v>-838.84467999999833</v>
      </c>
      <c r="AE57">
        <f t="shared" si="15"/>
        <v>-2.6478018355506307E-2</v>
      </c>
      <c r="AF57">
        <f t="shared" si="16"/>
        <v>0</v>
      </c>
      <c r="AG57">
        <f t="shared" si="17"/>
        <v>0</v>
      </c>
      <c r="AK57">
        <f>AA57*(1+What_if_Analysis!$B$4)</f>
        <v>45.6</v>
      </c>
      <c r="AL57" s="5">
        <f>MIN(Z57,What_if_Analysis!$B$2)</f>
        <v>0.05</v>
      </c>
      <c r="AM57">
        <f t="shared" si="18"/>
        <v>42340.101599999995</v>
      </c>
      <c r="AN57">
        <f>AM57-(AK57*(T57*(1+What_if_Analysis!$B$3)))</f>
        <v>-6685.2792000000118</v>
      </c>
    </row>
    <row r="58" spans="1:40" x14ac:dyDescent="0.3">
      <c r="A58" t="s">
        <v>71</v>
      </c>
      <c r="B58" s="3">
        <v>45697</v>
      </c>
      <c r="C58" s="3" t="str">
        <f t="shared" si="2"/>
        <v>Feb-2025</v>
      </c>
      <c r="D58" s="3" t="str">
        <f t="shared" si="3"/>
        <v>Q1-2025</v>
      </c>
      <c r="E58" s="3">
        <v>45717</v>
      </c>
      <c r="F58" s="3" t="str">
        <f t="shared" si="4"/>
        <v>Valid</v>
      </c>
      <c r="G58" s="12">
        <f t="shared" si="5"/>
        <v>20</v>
      </c>
      <c r="H58" s="3">
        <f t="shared" si="6"/>
        <v>45717</v>
      </c>
      <c r="I58" t="s">
        <v>648</v>
      </c>
      <c r="J58" t="str">
        <f t="shared" si="7"/>
        <v>Americas → Brazil → São Paulo</v>
      </c>
      <c r="K58" s="3" t="str">
        <f t="shared" si="8"/>
        <v>Brazil-2025-02</v>
      </c>
      <c r="L58" t="s">
        <v>655</v>
      </c>
      <c r="M58" t="s">
        <v>670</v>
      </c>
      <c r="N58" t="s">
        <v>701</v>
      </c>
      <c r="O58" t="s">
        <v>710</v>
      </c>
      <c r="P58" t="s">
        <v>717</v>
      </c>
      <c r="Q58" t="s">
        <v>731</v>
      </c>
      <c r="R58" t="s">
        <v>790</v>
      </c>
      <c r="S58" s="5">
        <v>1154.6400000000001</v>
      </c>
      <c r="T58" s="5">
        <v>2794.13</v>
      </c>
      <c r="U58" s="5" t="str">
        <f t="shared" si="9"/>
        <v>Valid</v>
      </c>
      <c r="V58" s="5">
        <f t="shared" si="0"/>
        <v>2794.13</v>
      </c>
      <c r="W58" s="5" t="str">
        <f t="shared" si="10"/>
        <v>High</v>
      </c>
      <c r="X58" s="5">
        <v>3.5000000000000003E-2</v>
      </c>
      <c r="Y58" s="5" t="str">
        <f t="shared" si="11"/>
        <v>Valid</v>
      </c>
      <c r="Z58" s="5">
        <f t="shared" si="12"/>
        <v>3.5000000000000003E-2</v>
      </c>
      <c r="AA58" s="5">
        <v>11</v>
      </c>
      <c r="AB58">
        <f t="shared" si="13"/>
        <v>29659.68995</v>
      </c>
      <c r="AC58">
        <f t="shared" si="1"/>
        <v>12701.04</v>
      </c>
      <c r="AD58">
        <f t="shared" si="14"/>
        <v>16958.649949999999</v>
      </c>
      <c r="AE58">
        <f t="shared" si="15"/>
        <v>0.57177435025749479</v>
      </c>
      <c r="AF58">
        <f t="shared" si="16"/>
        <v>0</v>
      </c>
      <c r="AG58">
        <f t="shared" si="17"/>
        <v>0</v>
      </c>
      <c r="AK58">
        <f>AA58*(1+What_if_Analysis!$B$4)</f>
        <v>13.2</v>
      </c>
      <c r="AL58" s="5">
        <f>MIN(Z58,What_if_Analysis!$B$2)</f>
        <v>3.5000000000000003E-2</v>
      </c>
      <c r="AM58">
        <f t="shared" si="18"/>
        <v>35591.627939999998</v>
      </c>
      <c r="AN58">
        <f>AM58-(AK58*(T58*(1+What_if_Analysis!$B$3)))</f>
        <v>-4979.139660000008</v>
      </c>
    </row>
    <row r="59" spans="1:40" x14ac:dyDescent="0.3">
      <c r="A59" t="s">
        <v>72</v>
      </c>
      <c r="B59" s="3">
        <v>45643</v>
      </c>
      <c r="C59" s="3" t="str">
        <f t="shared" si="2"/>
        <v>Dec-2024</v>
      </c>
      <c r="D59" s="3" t="str">
        <f t="shared" si="3"/>
        <v>Q4-2024</v>
      </c>
      <c r="E59" s="3">
        <v>45644</v>
      </c>
      <c r="F59" s="3" t="str">
        <f t="shared" si="4"/>
        <v>Valid</v>
      </c>
      <c r="G59" s="12">
        <f t="shared" si="5"/>
        <v>1</v>
      </c>
      <c r="H59" s="3">
        <f t="shared" si="6"/>
        <v>45644</v>
      </c>
      <c r="I59" t="s">
        <v>649</v>
      </c>
      <c r="J59" t="str">
        <f t="shared" si="7"/>
        <v>Europe → Germany → Munich</v>
      </c>
      <c r="K59" s="3" t="str">
        <f t="shared" si="8"/>
        <v>Germany-2024-12</v>
      </c>
      <c r="L59" t="s">
        <v>656</v>
      </c>
      <c r="M59" t="s">
        <v>684</v>
      </c>
      <c r="N59" t="s">
        <v>702</v>
      </c>
      <c r="O59" t="s">
        <v>707</v>
      </c>
      <c r="P59" t="s">
        <v>716</v>
      </c>
      <c r="Q59" t="s">
        <v>733</v>
      </c>
      <c r="R59" t="s">
        <v>791</v>
      </c>
      <c r="S59" s="5">
        <v>346.82</v>
      </c>
      <c r="T59" s="5">
        <v>701.95</v>
      </c>
      <c r="U59" s="5" t="str">
        <f t="shared" si="9"/>
        <v>Valid</v>
      </c>
      <c r="V59" s="5">
        <f t="shared" si="0"/>
        <v>701.95</v>
      </c>
      <c r="W59" s="5" t="str">
        <f t="shared" si="10"/>
        <v>Medium</v>
      </c>
      <c r="X59" s="5">
        <v>0.14699999999999999</v>
      </c>
      <c r="Y59" s="5" t="str">
        <f t="shared" si="11"/>
        <v>Valid</v>
      </c>
      <c r="Z59" s="5">
        <f t="shared" si="12"/>
        <v>0.14699999999999999</v>
      </c>
      <c r="AA59" s="5">
        <v>8</v>
      </c>
      <c r="AB59">
        <f t="shared" si="13"/>
        <v>4790.1068000000005</v>
      </c>
      <c r="AC59">
        <f t="shared" si="1"/>
        <v>2774.56</v>
      </c>
      <c r="AD59">
        <f t="shared" si="14"/>
        <v>2015.5468000000005</v>
      </c>
      <c r="AE59">
        <f t="shared" si="15"/>
        <v>0.42077283120284509</v>
      </c>
      <c r="AF59">
        <f t="shared" si="16"/>
        <v>1</v>
      </c>
      <c r="AG59">
        <f t="shared" si="17"/>
        <v>0</v>
      </c>
      <c r="AK59">
        <f>AA59*(1+What_if_Analysis!$B$4)</f>
        <v>9.6</v>
      </c>
      <c r="AL59" s="5">
        <f>MIN(Z59,What_if_Analysis!$B$2)</f>
        <v>0.05</v>
      </c>
      <c r="AM59">
        <f t="shared" si="18"/>
        <v>6401.7839999999997</v>
      </c>
      <c r="AN59">
        <f>AM59-(AK59*(T59*(1+What_if_Analysis!$B$3)))</f>
        <v>-1010.8080000000009</v>
      </c>
    </row>
    <row r="60" spans="1:40" x14ac:dyDescent="0.3">
      <c r="A60" t="s">
        <v>73</v>
      </c>
      <c r="B60" s="3">
        <v>45817</v>
      </c>
      <c r="C60" s="3" t="str">
        <f t="shared" si="2"/>
        <v>Jun-2025</v>
      </c>
      <c r="D60" s="3" t="str">
        <f t="shared" si="3"/>
        <v>Q2-2025</v>
      </c>
      <c r="E60" s="3">
        <v>45826</v>
      </c>
      <c r="F60" s="3" t="str">
        <f t="shared" si="4"/>
        <v>Valid</v>
      </c>
      <c r="G60" s="12">
        <f t="shared" si="5"/>
        <v>9</v>
      </c>
      <c r="H60" s="3">
        <f t="shared" si="6"/>
        <v>45826</v>
      </c>
      <c r="I60" t="s">
        <v>649</v>
      </c>
      <c r="J60" t="str">
        <f t="shared" si="7"/>
        <v>Europe → France → Marseille</v>
      </c>
      <c r="K60" s="3" t="str">
        <f t="shared" si="8"/>
        <v>France-2025-06</v>
      </c>
      <c r="L60" t="s">
        <v>657</v>
      </c>
      <c r="M60" t="s">
        <v>673</v>
      </c>
      <c r="N60" t="s">
        <v>705</v>
      </c>
      <c r="O60" t="s">
        <v>709</v>
      </c>
      <c r="P60" t="s">
        <v>722</v>
      </c>
      <c r="Q60" t="s">
        <v>733</v>
      </c>
      <c r="R60" t="s">
        <v>792</v>
      </c>
      <c r="S60" s="5">
        <v>1225.5</v>
      </c>
      <c r="T60" s="5">
        <v>-5.27</v>
      </c>
      <c r="U60" s="5" t="str">
        <f t="shared" si="9"/>
        <v>Invalid Price</v>
      </c>
      <c r="V60" s="5">
        <f t="shared" si="0"/>
        <v>1242.0129545454542</v>
      </c>
      <c r="W60" s="5" t="str">
        <f t="shared" si="10"/>
        <v>Medium</v>
      </c>
      <c r="X60" s="5">
        <v>7.4999999999999997E-2</v>
      </c>
      <c r="Y60" s="5" t="str">
        <f t="shared" si="11"/>
        <v>Valid</v>
      </c>
      <c r="Z60" s="5">
        <f t="shared" si="12"/>
        <v>7.4999999999999997E-2</v>
      </c>
      <c r="AA60" s="5">
        <v>56</v>
      </c>
      <c r="AB60">
        <f t="shared" si="13"/>
        <v>64336.27104545453</v>
      </c>
      <c r="AC60">
        <f t="shared" si="1"/>
        <v>68628</v>
      </c>
      <c r="AD60">
        <f t="shared" si="14"/>
        <v>-4291.7289545454696</v>
      </c>
      <c r="AE60">
        <f t="shared" si="15"/>
        <v>-6.6707766626904738E-2</v>
      </c>
      <c r="AF60">
        <f t="shared" si="16"/>
        <v>0</v>
      </c>
      <c r="AG60">
        <f t="shared" si="17"/>
        <v>0</v>
      </c>
      <c r="AK60">
        <f>AA60*(1+What_if_Analysis!$B$4)</f>
        <v>67.2</v>
      </c>
      <c r="AL60" s="5">
        <f>MIN(Z60,What_if_Analysis!$B$2)</f>
        <v>0.05</v>
      </c>
      <c r="AM60">
        <f t="shared" si="18"/>
        <v>79290.107018181807</v>
      </c>
      <c r="AN60">
        <f>AM60-(AK60*(T60*(1+What_if_Analysis!$B$3)))</f>
        <v>79679.665418181801</v>
      </c>
    </row>
    <row r="61" spans="1:40" x14ac:dyDescent="0.3">
      <c r="A61" t="s">
        <v>74</v>
      </c>
      <c r="B61" s="3">
        <v>45779</v>
      </c>
      <c r="C61" s="3" t="str">
        <f t="shared" si="2"/>
        <v>May-2025</v>
      </c>
      <c r="D61" s="3" t="str">
        <f t="shared" si="3"/>
        <v>Q2-2025</v>
      </c>
      <c r="E61" s="3">
        <v>45790</v>
      </c>
      <c r="F61" s="3" t="str">
        <f t="shared" si="4"/>
        <v>Valid</v>
      </c>
      <c r="G61" s="12">
        <f t="shared" si="5"/>
        <v>11</v>
      </c>
      <c r="H61" s="3">
        <f t="shared" si="6"/>
        <v>45790</v>
      </c>
      <c r="I61" t="s">
        <v>646</v>
      </c>
      <c r="J61" t="str">
        <f t="shared" si="7"/>
        <v>Africa → Kenya → Nakuru</v>
      </c>
      <c r="K61" s="3" t="str">
        <f t="shared" si="8"/>
        <v>Kenya-2025-05</v>
      </c>
      <c r="L61" t="s">
        <v>650</v>
      </c>
      <c r="M61" t="s">
        <v>678</v>
      </c>
      <c r="N61" t="s">
        <v>705</v>
      </c>
      <c r="O61" t="s">
        <v>708</v>
      </c>
      <c r="P61" t="s">
        <v>720</v>
      </c>
      <c r="Q61" t="s">
        <v>733</v>
      </c>
      <c r="R61" t="s">
        <v>793</v>
      </c>
      <c r="S61" s="5">
        <v>1057.5999999999999</v>
      </c>
      <c r="T61" s="5">
        <v>1437.06</v>
      </c>
      <c r="U61" s="5" t="str">
        <f t="shared" si="9"/>
        <v>Valid</v>
      </c>
      <c r="V61" s="5">
        <f t="shared" si="0"/>
        <v>1437.06</v>
      </c>
      <c r="W61" s="5" t="str">
        <f t="shared" si="10"/>
        <v>Medium</v>
      </c>
      <c r="X61" s="5">
        <v>0.20499999999999999</v>
      </c>
      <c r="Y61" s="5" t="str">
        <f t="shared" si="11"/>
        <v>Valid</v>
      </c>
      <c r="Z61" s="5">
        <f t="shared" si="12"/>
        <v>0.20499999999999999</v>
      </c>
      <c r="AA61" s="5">
        <v>4</v>
      </c>
      <c r="AB61">
        <f t="shared" si="13"/>
        <v>4569.8508000000002</v>
      </c>
      <c r="AC61">
        <f t="shared" si="1"/>
        <v>4230.3999999999996</v>
      </c>
      <c r="AD61">
        <f t="shared" si="14"/>
        <v>339.45080000000053</v>
      </c>
      <c r="AE61">
        <f t="shared" si="15"/>
        <v>7.4280499485891424E-2</v>
      </c>
      <c r="AF61">
        <f t="shared" si="16"/>
        <v>0</v>
      </c>
      <c r="AG61">
        <f t="shared" si="17"/>
        <v>1</v>
      </c>
      <c r="AK61">
        <f>AA61*(1+What_if_Analysis!$B$4)</f>
        <v>4.8</v>
      </c>
      <c r="AL61" s="5">
        <f>MIN(Z61,What_if_Analysis!$B$2)</f>
        <v>0.05</v>
      </c>
      <c r="AM61">
        <f t="shared" si="18"/>
        <v>6552.9935999999998</v>
      </c>
      <c r="AN61">
        <f>AM61-(AK61*(T61*(1+What_if_Analysis!$B$3)))</f>
        <v>-1034.6832000000004</v>
      </c>
    </row>
    <row r="62" spans="1:40" x14ac:dyDescent="0.3">
      <c r="A62" t="s">
        <v>75</v>
      </c>
      <c r="B62" s="3">
        <v>45361</v>
      </c>
      <c r="C62" s="3" t="str">
        <f t="shared" si="2"/>
        <v>Mar-2024</v>
      </c>
      <c r="D62" s="3" t="str">
        <f t="shared" si="3"/>
        <v>Q1-2024</v>
      </c>
      <c r="E62" s="3">
        <v>45391</v>
      </c>
      <c r="F62" s="3" t="str">
        <f t="shared" si="4"/>
        <v>Valid</v>
      </c>
      <c r="G62" s="12">
        <f t="shared" si="5"/>
        <v>30</v>
      </c>
      <c r="H62" s="3">
        <f t="shared" si="6"/>
        <v>45391</v>
      </c>
      <c r="I62" t="s">
        <v>649</v>
      </c>
      <c r="J62" t="str">
        <f t="shared" si="7"/>
        <v>Europe → France → Lyon</v>
      </c>
      <c r="K62" s="3" t="str">
        <f t="shared" si="8"/>
        <v>France-2024-03</v>
      </c>
      <c r="L62" t="s">
        <v>657</v>
      </c>
      <c r="M62" t="s">
        <v>679</v>
      </c>
      <c r="N62" t="s">
        <v>701</v>
      </c>
      <c r="O62" t="s">
        <v>711</v>
      </c>
      <c r="P62" t="s">
        <v>714</v>
      </c>
      <c r="Q62" t="s">
        <v>727</v>
      </c>
      <c r="R62" t="s">
        <v>794</v>
      </c>
      <c r="S62" s="5">
        <v>1176.56</v>
      </c>
      <c r="T62" s="5">
        <v>1911.89</v>
      </c>
      <c r="U62" s="5" t="str">
        <f t="shared" si="9"/>
        <v>Valid</v>
      </c>
      <c r="V62" s="5">
        <f t="shared" si="0"/>
        <v>1911.89</v>
      </c>
      <c r="W62" s="5" t="str">
        <f t="shared" si="10"/>
        <v>Medium</v>
      </c>
      <c r="X62" s="5">
        <v>0.11899999999999999</v>
      </c>
      <c r="Y62" s="5" t="str">
        <f t="shared" si="11"/>
        <v>Valid</v>
      </c>
      <c r="Z62" s="5">
        <f t="shared" si="12"/>
        <v>0.11899999999999999</v>
      </c>
      <c r="AA62" s="5">
        <v>20</v>
      </c>
      <c r="AB62">
        <f t="shared" si="13"/>
        <v>33687.501800000005</v>
      </c>
      <c r="AC62">
        <f t="shared" si="1"/>
        <v>23531.199999999997</v>
      </c>
      <c r="AD62">
        <f t="shared" si="14"/>
        <v>10156.301800000008</v>
      </c>
      <c r="AE62">
        <f t="shared" si="15"/>
        <v>0.30148575160892477</v>
      </c>
      <c r="AF62">
        <f t="shared" si="16"/>
        <v>0</v>
      </c>
      <c r="AG62">
        <f t="shared" si="17"/>
        <v>0</v>
      </c>
      <c r="AK62">
        <f>AA62*(1+What_if_Analysis!$B$4)</f>
        <v>24</v>
      </c>
      <c r="AL62" s="5">
        <f>MIN(Z62,What_if_Analysis!$B$2)</f>
        <v>0.05</v>
      </c>
      <c r="AM62">
        <f t="shared" si="18"/>
        <v>43591.091999999997</v>
      </c>
      <c r="AN62">
        <f>AM62-(AK62*(T62*(1+What_if_Analysis!$B$3)))</f>
        <v>-6882.804000000011</v>
      </c>
    </row>
    <row r="63" spans="1:40" x14ac:dyDescent="0.3">
      <c r="A63" t="s">
        <v>76</v>
      </c>
      <c r="B63" s="3">
        <v>45910</v>
      </c>
      <c r="C63" s="3" t="str">
        <f t="shared" si="2"/>
        <v>Sept-2025</v>
      </c>
      <c r="D63" s="3" t="str">
        <f t="shared" si="3"/>
        <v>Q3-2025</v>
      </c>
      <c r="E63" s="3">
        <v>45912</v>
      </c>
      <c r="F63" s="3" t="str">
        <f t="shared" si="4"/>
        <v>Valid</v>
      </c>
      <c r="G63" s="12">
        <f t="shared" si="5"/>
        <v>2</v>
      </c>
      <c r="H63" s="3">
        <f t="shared" si="6"/>
        <v>45912</v>
      </c>
      <c r="I63" t="s">
        <v>647</v>
      </c>
      <c r="J63" t="str">
        <f t="shared" si="7"/>
        <v>Asia → Japan → Tokyo</v>
      </c>
      <c r="K63" s="3" t="str">
        <f t="shared" si="8"/>
        <v>Japan-2025-09</v>
      </c>
      <c r="L63" t="s">
        <v>652</v>
      </c>
      <c r="M63" t="s">
        <v>689</v>
      </c>
      <c r="N63" t="s">
        <v>704</v>
      </c>
      <c r="O63" t="s">
        <v>708</v>
      </c>
      <c r="P63" t="s">
        <v>719</v>
      </c>
      <c r="Q63" t="s">
        <v>727</v>
      </c>
      <c r="R63" t="s">
        <v>795</v>
      </c>
      <c r="S63" s="5">
        <v>1470.15</v>
      </c>
      <c r="T63" s="5">
        <v>2593.7800000000002</v>
      </c>
      <c r="U63" s="5" t="str">
        <f t="shared" si="9"/>
        <v>Valid</v>
      </c>
      <c r="V63" s="5">
        <f t="shared" si="0"/>
        <v>2593.7800000000002</v>
      </c>
      <c r="W63" s="5" t="str">
        <f t="shared" si="10"/>
        <v>High</v>
      </c>
      <c r="X63" s="5">
        <v>0.11</v>
      </c>
      <c r="Y63" s="5" t="str">
        <f t="shared" si="11"/>
        <v>Valid</v>
      </c>
      <c r="Z63" s="5">
        <f t="shared" si="12"/>
        <v>0.11</v>
      </c>
      <c r="AA63" s="5">
        <v>12</v>
      </c>
      <c r="AB63">
        <f t="shared" si="13"/>
        <v>27701.570400000001</v>
      </c>
      <c r="AC63">
        <f t="shared" si="1"/>
        <v>17641.800000000003</v>
      </c>
      <c r="AD63">
        <f t="shared" si="14"/>
        <v>10059.770399999998</v>
      </c>
      <c r="AE63">
        <f t="shared" si="15"/>
        <v>0.36314801849645306</v>
      </c>
      <c r="AF63">
        <f t="shared" si="16"/>
        <v>1</v>
      </c>
      <c r="AG63">
        <f t="shared" si="17"/>
        <v>0</v>
      </c>
      <c r="AK63">
        <f>AA63*(1+What_if_Analysis!$B$4)</f>
        <v>14.399999999999999</v>
      </c>
      <c r="AL63" s="5">
        <f>MIN(Z63,What_if_Analysis!$B$2)</f>
        <v>0.05</v>
      </c>
      <c r="AM63">
        <f t="shared" si="18"/>
        <v>35482.910400000001</v>
      </c>
      <c r="AN63">
        <f>AM63-(AK63*(T63*(1+What_if_Analysis!$B$3)))</f>
        <v>-5602.5648000000001</v>
      </c>
    </row>
    <row r="64" spans="1:40" x14ac:dyDescent="0.3">
      <c r="A64" t="s">
        <v>77</v>
      </c>
      <c r="B64" s="3">
        <v>45774</v>
      </c>
      <c r="C64" s="3" t="str">
        <f t="shared" si="2"/>
        <v>Apr-2025</v>
      </c>
      <c r="D64" s="3" t="str">
        <f t="shared" si="3"/>
        <v>Q2-2025</v>
      </c>
      <c r="E64" s="3">
        <v>45802</v>
      </c>
      <c r="F64" s="3" t="str">
        <f t="shared" si="4"/>
        <v>Valid</v>
      </c>
      <c r="G64" s="12">
        <f t="shared" si="5"/>
        <v>28</v>
      </c>
      <c r="H64" s="3">
        <f t="shared" si="6"/>
        <v>45802</v>
      </c>
      <c r="I64" t="s">
        <v>649</v>
      </c>
      <c r="J64" t="str">
        <f t="shared" si="7"/>
        <v>Europe → France → Paris</v>
      </c>
      <c r="K64" s="3" t="str">
        <f t="shared" si="8"/>
        <v>France-2025-04</v>
      </c>
      <c r="L64" t="s">
        <v>657</v>
      </c>
      <c r="M64" t="s">
        <v>690</v>
      </c>
      <c r="N64" t="s">
        <v>705</v>
      </c>
      <c r="O64" t="s">
        <v>709</v>
      </c>
      <c r="P64" t="s">
        <v>714</v>
      </c>
      <c r="Q64" t="s">
        <v>730</v>
      </c>
      <c r="R64" t="s">
        <v>796</v>
      </c>
      <c r="S64" s="5">
        <v>603.45000000000005</v>
      </c>
      <c r="T64" s="5">
        <v>1244.08</v>
      </c>
      <c r="U64" s="5" t="str">
        <f t="shared" si="9"/>
        <v>Valid</v>
      </c>
      <c r="V64" s="5">
        <f t="shared" si="0"/>
        <v>1244.08</v>
      </c>
      <c r="W64" s="5" t="str">
        <f t="shared" si="10"/>
        <v>Medium</v>
      </c>
      <c r="X64" s="5">
        <v>0.2</v>
      </c>
      <c r="Y64" s="5" t="str">
        <f t="shared" si="11"/>
        <v>Valid</v>
      </c>
      <c r="Z64" s="5">
        <f t="shared" si="12"/>
        <v>0.2</v>
      </c>
      <c r="AA64" s="5">
        <v>11</v>
      </c>
      <c r="AB64">
        <f t="shared" si="13"/>
        <v>10947.904</v>
      </c>
      <c r="AC64">
        <f t="shared" si="1"/>
        <v>6637.9500000000007</v>
      </c>
      <c r="AD64">
        <f t="shared" si="14"/>
        <v>4309.9539999999997</v>
      </c>
      <c r="AE64">
        <f t="shared" si="15"/>
        <v>0.39367846119220623</v>
      </c>
      <c r="AF64">
        <f t="shared" si="16"/>
        <v>0</v>
      </c>
      <c r="AG64">
        <f t="shared" si="17"/>
        <v>0</v>
      </c>
      <c r="AK64">
        <f>AA64*(1+What_if_Analysis!$B$4)</f>
        <v>13.2</v>
      </c>
      <c r="AL64" s="5">
        <f>MIN(Z64,What_if_Analysis!$B$2)</f>
        <v>0.05</v>
      </c>
      <c r="AM64">
        <f t="shared" si="18"/>
        <v>15600.763199999999</v>
      </c>
      <c r="AN64">
        <f>AM64-(AK64*(T64*(1+What_if_Analysis!$B$3)))</f>
        <v>-2463.2784000000011</v>
      </c>
    </row>
    <row r="65" spans="1:40" x14ac:dyDescent="0.3">
      <c r="A65" t="s">
        <v>78</v>
      </c>
      <c r="B65" s="3">
        <v>45598</v>
      </c>
      <c r="C65" s="3" t="str">
        <f t="shared" si="2"/>
        <v>Nov-2024</v>
      </c>
      <c r="D65" s="3" t="str">
        <f t="shared" si="3"/>
        <v>Q4-2024</v>
      </c>
      <c r="E65" s="3">
        <v>45614</v>
      </c>
      <c r="F65" s="3" t="str">
        <f t="shared" si="4"/>
        <v>Valid</v>
      </c>
      <c r="G65" s="12">
        <f t="shared" si="5"/>
        <v>16</v>
      </c>
      <c r="H65" s="3">
        <f t="shared" si="6"/>
        <v>45614</v>
      </c>
      <c r="I65" t="s">
        <v>647</v>
      </c>
      <c r="J65" t="str">
        <f t="shared" si="7"/>
        <v>Asia → India → Mumbai</v>
      </c>
      <c r="K65" s="3" t="str">
        <f t="shared" si="8"/>
        <v>India-2024-11</v>
      </c>
      <c r="L65" t="s">
        <v>654</v>
      </c>
      <c r="M65" t="s">
        <v>691</v>
      </c>
      <c r="N65" t="s">
        <v>705</v>
      </c>
      <c r="O65" t="s">
        <v>710</v>
      </c>
      <c r="P65" t="s">
        <v>719</v>
      </c>
      <c r="Q65" t="s">
        <v>732</v>
      </c>
      <c r="R65" t="s">
        <v>797</v>
      </c>
      <c r="S65" s="5">
        <v>1233.58</v>
      </c>
      <c r="T65" s="5">
        <v>1912.51</v>
      </c>
      <c r="U65" s="5" t="str">
        <f t="shared" si="9"/>
        <v>Valid</v>
      </c>
      <c r="V65" s="5">
        <f t="shared" si="0"/>
        <v>1912.51</v>
      </c>
      <c r="W65" s="5" t="str">
        <f t="shared" si="10"/>
        <v>High</v>
      </c>
      <c r="X65" s="5">
        <v>0.255</v>
      </c>
      <c r="Y65" s="5" t="str">
        <f t="shared" si="11"/>
        <v>Valid</v>
      </c>
      <c r="Z65" s="5">
        <f t="shared" si="12"/>
        <v>0.255</v>
      </c>
      <c r="AA65" s="5">
        <v>51</v>
      </c>
      <c r="AB65">
        <f t="shared" si="13"/>
        <v>72665.817450000002</v>
      </c>
      <c r="AC65">
        <f t="shared" si="1"/>
        <v>62912.579999999994</v>
      </c>
      <c r="AD65">
        <f t="shared" si="14"/>
        <v>9753.2374500000078</v>
      </c>
      <c r="AE65">
        <f t="shared" si="15"/>
        <v>0.134220432553601</v>
      </c>
      <c r="AF65">
        <f t="shared" si="16"/>
        <v>0</v>
      </c>
      <c r="AG65">
        <f t="shared" si="17"/>
        <v>1</v>
      </c>
      <c r="AK65">
        <f>AA65*(1+What_if_Analysis!$B$4)</f>
        <v>61.199999999999996</v>
      </c>
      <c r="AL65" s="5">
        <f>MIN(Z65,What_if_Analysis!$B$2)</f>
        <v>0.05</v>
      </c>
      <c r="AM65">
        <f t="shared" si="18"/>
        <v>111193.3314</v>
      </c>
      <c r="AN65">
        <f>AM65-(AK65*(T65*(1+What_if_Analysis!$B$3)))</f>
        <v>-17556.841799999995</v>
      </c>
    </row>
    <row r="66" spans="1:40" x14ac:dyDescent="0.3">
      <c r="A66" t="s">
        <v>79</v>
      </c>
      <c r="B66" s="3">
        <v>44972</v>
      </c>
      <c r="C66" s="3" t="str">
        <f t="shared" si="2"/>
        <v>Feb-2023</v>
      </c>
      <c r="D66" s="3" t="str">
        <f t="shared" si="3"/>
        <v>Q1-2023</v>
      </c>
      <c r="E66" s="3">
        <v>44983</v>
      </c>
      <c r="F66" s="3" t="str">
        <f t="shared" si="4"/>
        <v>Valid</v>
      </c>
      <c r="G66" s="12">
        <f t="shared" si="5"/>
        <v>11</v>
      </c>
      <c r="H66" s="3">
        <f t="shared" si="6"/>
        <v>44983</v>
      </c>
      <c r="I66" t="s">
        <v>646</v>
      </c>
      <c r="J66" t="str">
        <f t="shared" si="7"/>
        <v>Africa → South Africa → Johannesburg</v>
      </c>
      <c r="K66" s="3" t="str">
        <f t="shared" si="8"/>
        <v>South Africa-2023-02</v>
      </c>
      <c r="L66" t="s">
        <v>661</v>
      </c>
      <c r="M66" t="s">
        <v>682</v>
      </c>
      <c r="N66" t="s">
        <v>703</v>
      </c>
      <c r="O66" t="s">
        <v>707</v>
      </c>
      <c r="P66" t="s">
        <v>723</v>
      </c>
      <c r="Q66" t="s">
        <v>731</v>
      </c>
      <c r="R66" t="s">
        <v>798</v>
      </c>
      <c r="S66" s="5">
        <v>498.5</v>
      </c>
      <c r="T66" s="5">
        <v>755.87</v>
      </c>
      <c r="U66" s="5" t="str">
        <f t="shared" si="9"/>
        <v>Valid</v>
      </c>
      <c r="V66" s="5">
        <f t="shared" ref="V66:V129" si="19">IF(T66&lt;0,AVERAGEIF($Q$2:$Q$633,Q66,$T$2:$T$633),T66)</f>
        <v>755.87</v>
      </c>
      <c r="W66" s="5" t="str">
        <f t="shared" si="10"/>
        <v>Medium</v>
      </c>
      <c r="X66" s="5">
        <v>0.13</v>
      </c>
      <c r="Y66" s="5" t="str">
        <f t="shared" si="11"/>
        <v>Valid</v>
      </c>
      <c r="Z66" s="5">
        <f t="shared" si="12"/>
        <v>0.13</v>
      </c>
      <c r="AA66" s="5">
        <v>40</v>
      </c>
      <c r="AB66">
        <f t="shared" si="13"/>
        <v>26304.275999999998</v>
      </c>
      <c r="AC66">
        <f t="shared" ref="AC66:AC129" si="20">S66*AA66</f>
        <v>19940</v>
      </c>
      <c r="AD66">
        <f t="shared" si="14"/>
        <v>6364.275999999998</v>
      </c>
      <c r="AE66">
        <f t="shared" si="15"/>
        <v>0.24194834330357537</v>
      </c>
      <c r="AF66">
        <f t="shared" si="16"/>
        <v>0</v>
      </c>
      <c r="AG66">
        <f t="shared" si="17"/>
        <v>0</v>
      </c>
      <c r="AK66">
        <f>AA66*(1+What_if_Analysis!$B$4)</f>
        <v>48</v>
      </c>
      <c r="AL66" s="5">
        <f>MIN(Z66,What_if_Analysis!$B$2)</f>
        <v>0.05</v>
      </c>
      <c r="AM66">
        <f t="shared" si="18"/>
        <v>34467.671999999999</v>
      </c>
      <c r="AN66">
        <f>AM66-(AK66*(T66*(1+What_if_Analysis!$B$3)))</f>
        <v>-5442.2640000000029</v>
      </c>
    </row>
    <row r="67" spans="1:40" x14ac:dyDescent="0.3">
      <c r="A67" t="s">
        <v>80</v>
      </c>
      <c r="B67" s="3">
        <v>45263</v>
      </c>
      <c r="C67" s="3" t="str">
        <f t="shared" ref="C67:C130" si="21">TEXT(B67,"mmm-yyyy")</f>
        <v>Dec-2023</v>
      </c>
      <c r="D67" s="3" t="str">
        <f t="shared" ref="D67:D130" si="22">"Q" &amp; ROUNDUP(MONTH(B67)/3,0) &amp; "-" &amp; YEAR(B67)</f>
        <v>Q4-2023</v>
      </c>
      <c r="E67" s="3">
        <v>45286</v>
      </c>
      <c r="F67" s="3" t="str">
        <f t="shared" ref="F67:F130" si="23">IF(E67&lt;B67,"Invalid RequiredDate","Valid")</f>
        <v>Valid</v>
      </c>
      <c r="G67" s="12">
        <f t="shared" ref="G67:G130" si="24">MEDIAN($E$2:$E$633-$B$2:$B$633)</f>
        <v>23</v>
      </c>
      <c r="H67" s="3">
        <f t="shared" ref="H67:H130" si="25">IF(E67&lt;B67,B67+$G$2,E67)</f>
        <v>45286</v>
      </c>
      <c r="I67" t="s">
        <v>648</v>
      </c>
      <c r="J67" t="str">
        <f t="shared" ref="J67:J130" si="26">I67 &amp; " → " &amp; L67 &amp; " → " &amp; M67</f>
        <v>Americas → Brazil → Rio de Janeiro</v>
      </c>
      <c r="K67" s="3" t="str">
        <f t="shared" ref="K67:K130" si="27">L67 &amp; "-" &amp; TEXT(C67,"YYYY-MM")</f>
        <v>Brazil-2023-12</v>
      </c>
      <c r="L67" t="s">
        <v>655</v>
      </c>
      <c r="M67" t="s">
        <v>692</v>
      </c>
      <c r="N67" t="s">
        <v>702</v>
      </c>
      <c r="O67" t="s">
        <v>707</v>
      </c>
      <c r="P67" t="s">
        <v>719</v>
      </c>
      <c r="Q67" t="s">
        <v>730</v>
      </c>
      <c r="R67" t="s">
        <v>799</v>
      </c>
      <c r="S67" s="5">
        <v>1303.1099999999999</v>
      </c>
      <c r="T67" s="5">
        <v>1145.67</v>
      </c>
      <c r="U67" s="5" t="str">
        <f t="shared" ref="U67:U130" si="28">IF(T67&lt;0,"Invalid Price","Valid")</f>
        <v>Valid</v>
      </c>
      <c r="V67" s="5">
        <f t="shared" si="19"/>
        <v>1145.67</v>
      </c>
      <c r="W67" s="5" t="str">
        <f t="shared" ref="W67:W130" si="29">IF(V67&lt;=616.86,"Low",IF(V67&lt;1912.05,"Medium","High"))</f>
        <v>Medium</v>
      </c>
      <c r="X67" s="5">
        <v>0.184</v>
      </c>
      <c r="Y67" s="5" t="str">
        <f t="shared" ref="Y67:Y130" si="30">IF(X67&gt;30%,"High Discount","Valid")</f>
        <v>Valid</v>
      </c>
      <c r="Z67" s="5">
        <f t="shared" ref="Z67:Z130" si="31">IF(X67&gt;30%,30%,X67)</f>
        <v>0.184</v>
      </c>
      <c r="AA67" s="5">
        <v>13</v>
      </c>
      <c r="AB67">
        <f t="shared" ref="AB67:AB130" si="32">V67 * AA67 * (1 - Z67)</f>
        <v>12153.267360000002</v>
      </c>
      <c r="AC67">
        <f t="shared" si="20"/>
        <v>16940.43</v>
      </c>
      <c r="AD67">
        <f t="shared" ref="AD67:AD130" si="33">AB67-AC67</f>
        <v>-4787.1626399999986</v>
      </c>
      <c r="AE67">
        <f t="shared" ref="AE67:AE130" si="34">IF(AB67=0, 0, AD67 / AB67)</f>
        <v>-0.39389922875851208</v>
      </c>
      <c r="AF67">
        <f t="shared" ref="AF67:AF130" si="35">IF(G67&lt;=7,1,0)</f>
        <v>0</v>
      </c>
      <c r="AG67">
        <f t="shared" ref="AG67:AG130" si="36">IF(Z67&gt;20%,1,0)</f>
        <v>0</v>
      </c>
      <c r="AK67">
        <f>AA67*(1+What_if_Analysis!$B$4)</f>
        <v>15.6</v>
      </c>
      <c r="AL67" s="5">
        <f>MIN(Z67,What_if_Analysis!$B$2)</f>
        <v>0.05</v>
      </c>
      <c r="AM67">
        <f t="shared" ref="AM67:AM130" si="37">AK67*V67*(1-AL67)</f>
        <v>16978.829399999999</v>
      </c>
      <c r="AN67">
        <f>AM67-(AK67*(T67*(1+What_if_Analysis!$B$3)))</f>
        <v>-2680.8678000000036</v>
      </c>
    </row>
    <row r="68" spans="1:40" x14ac:dyDescent="0.3">
      <c r="A68" t="s">
        <v>81</v>
      </c>
      <c r="B68" s="3">
        <v>45004</v>
      </c>
      <c r="C68" s="3" t="str">
        <f t="shared" si="21"/>
        <v>Mar-2023</v>
      </c>
      <c r="D68" s="3" t="str">
        <f t="shared" si="22"/>
        <v>Q1-2023</v>
      </c>
      <c r="E68" s="3">
        <v>45025</v>
      </c>
      <c r="F68" s="3" t="str">
        <f t="shared" si="23"/>
        <v>Valid</v>
      </c>
      <c r="G68" s="12">
        <f t="shared" si="24"/>
        <v>21</v>
      </c>
      <c r="H68" s="3">
        <f t="shared" si="25"/>
        <v>45025</v>
      </c>
      <c r="I68" t="s">
        <v>649</v>
      </c>
      <c r="J68" t="str">
        <f t="shared" si="26"/>
        <v>Europe → United Kingdom → Manchester</v>
      </c>
      <c r="K68" s="3" t="str">
        <f t="shared" si="27"/>
        <v>United Kingdom-2023-03</v>
      </c>
      <c r="L68" t="s">
        <v>658</v>
      </c>
      <c r="M68" t="s">
        <v>693</v>
      </c>
      <c r="N68" t="s">
        <v>704</v>
      </c>
      <c r="O68" t="s">
        <v>707</v>
      </c>
      <c r="P68" t="s">
        <v>716</v>
      </c>
      <c r="Q68" t="s">
        <v>733</v>
      </c>
      <c r="R68" t="s">
        <v>800</v>
      </c>
      <c r="S68" s="5">
        <v>1082.17</v>
      </c>
      <c r="T68" s="5">
        <v>1234.0999999999999</v>
      </c>
      <c r="U68" s="5" t="str">
        <f t="shared" si="28"/>
        <v>Valid</v>
      </c>
      <c r="V68" s="5">
        <f t="shared" si="19"/>
        <v>1234.0999999999999</v>
      </c>
      <c r="W68" s="5" t="str">
        <f t="shared" si="29"/>
        <v>Medium</v>
      </c>
      <c r="X68" s="5">
        <v>0.189</v>
      </c>
      <c r="Y68" s="5" t="str">
        <f t="shared" si="30"/>
        <v>Valid</v>
      </c>
      <c r="Z68" s="5">
        <f t="shared" si="31"/>
        <v>0.189</v>
      </c>
      <c r="AA68" s="5">
        <v>16</v>
      </c>
      <c r="AB68">
        <f t="shared" si="32"/>
        <v>16013.681599999998</v>
      </c>
      <c r="AC68">
        <f t="shared" si="20"/>
        <v>17314.72</v>
      </c>
      <c r="AD68">
        <f t="shared" si="33"/>
        <v>-1301.0384000000031</v>
      </c>
      <c r="AE68">
        <f t="shared" si="34"/>
        <v>-8.124542703534228E-2</v>
      </c>
      <c r="AF68">
        <f t="shared" si="35"/>
        <v>0</v>
      </c>
      <c r="AG68">
        <f t="shared" si="36"/>
        <v>0</v>
      </c>
      <c r="AK68">
        <f>AA68*(1+What_if_Analysis!$B$4)</f>
        <v>19.2</v>
      </c>
      <c r="AL68" s="5">
        <f>MIN(Z68,What_if_Analysis!$B$2)</f>
        <v>0.05</v>
      </c>
      <c r="AM68">
        <f t="shared" si="37"/>
        <v>22509.983999999997</v>
      </c>
      <c r="AN68">
        <f>AM68-(AK68*(T68*(1+What_if_Analysis!$B$3)))</f>
        <v>-3554.2080000000024</v>
      </c>
    </row>
    <row r="69" spans="1:40" x14ac:dyDescent="0.3">
      <c r="A69" t="s">
        <v>82</v>
      </c>
      <c r="B69" s="3">
        <v>45434</v>
      </c>
      <c r="C69" s="3" t="str">
        <f t="shared" si="21"/>
        <v>May-2024</v>
      </c>
      <c r="D69" s="3" t="str">
        <f t="shared" si="22"/>
        <v>Q2-2024</v>
      </c>
      <c r="E69" s="3">
        <v>45449</v>
      </c>
      <c r="F69" s="3" t="str">
        <f t="shared" si="23"/>
        <v>Valid</v>
      </c>
      <c r="G69" s="12">
        <f t="shared" si="24"/>
        <v>15</v>
      </c>
      <c r="H69" s="3">
        <f t="shared" si="25"/>
        <v>45449</v>
      </c>
      <c r="I69" t="s">
        <v>647</v>
      </c>
      <c r="J69" t="str">
        <f t="shared" si="26"/>
        <v>Asia → Japan → Nagoya</v>
      </c>
      <c r="K69" s="3" t="str">
        <f t="shared" si="27"/>
        <v>Japan-2024-05</v>
      </c>
      <c r="L69" t="s">
        <v>652</v>
      </c>
      <c r="M69" t="s">
        <v>694</v>
      </c>
      <c r="N69" t="s">
        <v>701</v>
      </c>
      <c r="O69" t="s">
        <v>710</v>
      </c>
      <c r="P69" t="s">
        <v>712</v>
      </c>
      <c r="Q69" t="s">
        <v>732</v>
      </c>
      <c r="R69" t="s">
        <v>801</v>
      </c>
      <c r="S69" s="5">
        <v>673.88</v>
      </c>
      <c r="T69" s="5">
        <v>1228.01</v>
      </c>
      <c r="U69" s="5" t="str">
        <f t="shared" si="28"/>
        <v>Valid</v>
      </c>
      <c r="V69" s="5">
        <f t="shared" si="19"/>
        <v>1228.01</v>
      </c>
      <c r="W69" s="5" t="str">
        <f t="shared" si="29"/>
        <v>Medium</v>
      </c>
      <c r="X69" s="5">
        <v>0.105</v>
      </c>
      <c r="Y69" s="5" t="str">
        <f t="shared" si="30"/>
        <v>Valid</v>
      </c>
      <c r="Z69" s="5">
        <f t="shared" si="31"/>
        <v>0.105</v>
      </c>
      <c r="AA69" s="5">
        <v>13</v>
      </c>
      <c r="AB69">
        <f t="shared" si="32"/>
        <v>14287.896349999999</v>
      </c>
      <c r="AC69">
        <f t="shared" si="20"/>
        <v>8760.44</v>
      </c>
      <c r="AD69">
        <f t="shared" si="33"/>
        <v>5527.4563499999986</v>
      </c>
      <c r="AE69">
        <f t="shared" si="34"/>
        <v>0.38686285332689996</v>
      </c>
      <c r="AF69">
        <f t="shared" si="35"/>
        <v>0</v>
      </c>
      <c r="AG69">
        <f t="shared" si="36"/>
        <v>0</v>
      </c>
      <c r="AK69">
        <f>AA69*(1+What_if_Analysis!$B$4)</f>
        <v>15.6</v>
      </c>
      <c r="AL69" s="5">
        <f>MIN(Z69,What_if_Analysis!$B$2)</f>
        <v>0.05</v>
      </c>
      <c r="AM69">
        <f t="shared" si="37"/>
        <v>18199.108199999999</v>
      </c>
      <c r="AN69">
        <f>AM69-(AK69*(T69*(1+What_if_Analysis!$B$3)))</f>
        <v>-2873.5434000000023</v>
      </c>
    </row>
    <row r="70" spans="1:40" x14ac:dyDescent="0.3">
      <c r="A70" t="s">
        <v>83</v>
      </c>
      <c r="B70" s="3">
        <v>45157</v>
      </c>
      <c r="C70" s="3" t="str">
        <f t="shared" si="21"/>
        <v>Aug-2023</v>
      </c>
      <c r="D70" s="3" t="str">
        <f t="shared" si="22"/>
        <v>Q3-2023</v>
      </c>
      <c r="E70" s="3">
        <v>45176</v>
      </c>
      <c r="F70" s="3" t="str">
        <f t="shared" si="23"/>
        <v>Valid</v>
      </c>
      <c r="G70" s="12">
        <f t="shared" si="24"/>
        <v>19</v>
      </c>
      <c r="H70" s="3">
        <f t="shared" si="25"/>
        <v>45176</v>
      </c>
      <c r="I70" t="s">
        <v>646</v>
      </c>
      <c r="J70" t="str">
        <f t="shared" si="26"/>
        <v>Africa → South Africa → Johannesburg</v>
      </c>
      <c r="K70" s="3" t="str">
        <f t="shared" si="27"/>
        <v>South Africa-2023-08</v>
      </c>
      <c r="L70" t="s">
        <v>661</v>
      </c>
      <c r="M70" t="s">
        <v>682</v>
      </c>
      <c r="N70" t="s">
        <v>706</v>
      </c>
      <c r="O70" t="s">
        <v>707</v>
      </c>
      <c r="P70" t="s">
        <v>726</v>
      </c>
      <c r="Q70" t="s">
        <v>732</v>
      </c>
      <c r="R70" t="s">
        <v>802</v>
      </c>
      <c r="S70" s="5">
        <v>494.61</v>
      </c>
      <c r="T70" s="5">
        <v>605.23</v>
      </c>
      <c r="U70" s="5" t="str">
        <f t="shared" si="28"/>
        <v>Valid</v>
      </c>
      <c r="V70" s="5">
        <f t="shared" si="19"/>
        <v>605.23</v>
      </c>
      <c r="W70" s="5" t="str">
        <f t="shared" si="29"/>
        <v>Low</v>
      </c>
      <c r="X70" s="5">
        <v>0.20399999999999999</v>
      </c>
      <c r="Y70" s="5" t="str">
        <f t="shared" si="30"/>
        <v>Valid</v>
      </c>
      <c r="Z70" s="5">
        <f t="shared" si="31"/>
        <v>0.20399999999999999</v>
      </c>
      <c r="AA70" s="5">
        <v>18</v>
      </c>
      <c r="AB70">
        <f t="shared" si="32"/>
        <v>8671.7354400000004</v>
      </c>
      <c r="AC70">
        <f t="shared" si="20"/>
        <v>8902.98</v>
      </c>
      <c r="AD70">
        <f t="shared" si="33"/>
        <v>-231.24455999999918</v>
      </c>
      <c r="AE70">
        <f t="shared" si="34"/>
        <v>-2.6666468505639647E-2</v>
      </c>
      <c r="AF70">
        <f t="shared" si="35"/>
        <v>0</v>
      </c>
      <c r="AG70">
        <f t="shared" si="36"/>
        <v>1</v>
      </c>
      <c r="AK70">
        <f>AA70*(1+What_if_Analysis!$B$4)</f>
        <v>21.599999999999998</v>
      </c>
      <c r="AL70" s="5">
        <f>MIN(Z70,What_if_Analysis!$B$2)</f>
        <v>0.05</v>
      </c>
      <c r="AM70">
        <f t="shared" si="37"/>
        <v>12419.319599999999</v>
      </c>
      <c r="AN70">
        <f>AM70-(AK70*(T70*(1+What_if_Analysis!$B$3)))</f>
        <v>-1960.9452000000001</v>
      </c>
    </row>
    <row r="71" spans="1:40" x14ac:dyDescent="0.3">
      <c r="A71" t="s">
        <v>84</v>
      </c>
      <c r="B71" s="3">
        <v>45037</v>
      </c>
      <c r="C71" s="3" t="str">
        <f t="shared" si="21"/>
        <v>Apr-2023</v>
      </c>
      <c r="D71" s="3" t="str">
        <f t="shared" si="22"/>
        <v>Q2-2023</v>
      </c>
      <c r="E71" s="3">
        <v>45056</v>
      </c>
      <c r="F71" s="3" t="str">
        <f t="shared" si="23"/>
        <v>Valid</v>
      </c>
      <c r="G71" s="12">
        <f t="shared" si="24"/>
        <v>19</v>
      </c>
      <c r="H71" s="3">
        <f t="shared" si="25"/>
        <v>45056</v>
      </c>
      <c r="I71" t="s">
        <v>647</v>
      </c>
      <c r="J71" t="str">
        <f t="shared" si="26"/>
        <v>Asia → China → Shanghai</v>
      </c>
      <c r="K71" s="3" t="str">
        <f t="shared" si="27"/>
        <v>China-2023-04</v>
      </c>
      <c r="L71" t="s">
        <v>659</v>
      </c>
      <c r="M71" t="s">
        <v>685</v>
      </c>
      <c r="N71" t="s">
        <v>701</v>
      </c>
      <c r="O71" t="s">
        <v>707</v>
      </c>
      <c r="P71" t="s">
        <v>720</v>
      </c>
      <c r="Q71" t="s">
        <v>727</v>
      </c>
      <c r="R71" t="s">
        <v>803</v>
      </c>
      <c r="S71" s="5">
        <v>882.33</v>
      </c>
      <c r="T71" s="5">
        <v>1880.15</v>
      </c>
      <c r="U71" s="5" t="str">
        <f t="shared" si="28"/>
        <v>Valid</v>
      </c>
      <c r="V71" s="5">
        <f t="shared" si="19"/>
        <v>1880.15</v>
      </c>
      <c r="W71" s="5" t="str">
        <f t="shared" si="29"/>
        <v>Medium</v>
      </c>
      <c r="X71" s="5">
        <v>0.05</v>
      </c>
      <c r="Y71" s="5" t="str">
        <f t="shared" si="30"/>
        <v>Valid</v>
      </c>
      <c r="Z71" s="5">
        <f t="shared" si="31"/>
        <v>0.05</v>
      </c>
      <c r="AA71" s="5">
        <v>5</v>
      </c>
      <c r="AB71">
        <f t="shared" si="32"/>
        <v>8930.7124999999996</v>
      </c>
      <c r="AC71">
        <f t="shared" si="20"/>
        <v>4411.6500000000005</v>
      </c>
      <c r="AD71">
        <f t="shared" si="33"/>
        <v>4519.0624999999991</v>
      </c>
      <c r="AE71">
        <f t="shared" si="34"/>
        <v>0.50601365792482955</v>
      </c>
      <c r="AF71">
        <f t="shared" si="35"/>
        <v>0</v>
      </c>
      <c r="AG71">
        <f t="shared" si="36"/>
        <v>0</v>
      </c>
      <c r="AK71">
        <f>AA71*(1+What_if_Analysis!$B$4)</f>
        <v>6</v>
      </c>
      <c r="AL71" s="5">
        <f>MIN(Z71,What_if_Analysis!$B$2)</f>
        <v>0.05</v>
      </c>
      <c r="AM71">
        <f t="shared" si="37"/>
        <v>10716.855000000001</v>
      </c>
      <c r="AN71">
        <f>AM71-(AK71*(T71*(1+What_if_Analysis!$B$3)))</f>
        <v>-1692.1350000000002</v>
      </c>
    </row>
    <row r="72" spans="1:40" x14ac:dyDescent="0.3">
      <c r="A72" t="s">
        <v>85</v>
      </c>
      <c r="B72" s="3">
        <v>45369</v>
      </c>
      <c r="C72" s="3" t="str">
        <f t="shared" si="21"/>
        <v>Mar-2024</v>
      </c>
      <c r="D72" s="3" t="str">
        <f t="shared" si="22"/>
        <v>Q1-2024</v>
      </c>
      <c r="E72" s="3">
        <v>45372</v>
      </c>
      <c r="F72" s="3" t="str">
        <f t="shared" si="23"/>
        <v>Valid</v>
      </c>
      <c r="G72" s="12">
        <f t="shared" si="24"/>
        <v>3</v>
      </c>
      <c r="H72" s="3">
        <f t="shared" si="25"/>
        <v>45372</v>
      </c>
      <c r="I72" t="s">
        <v>649</v>
      </c>
      <c r="J72" t="str">
        <f t="shared" si="26"/>
        <v>Europe → Germany → Munich</v>
      </c>
      <c r="K72" s="3" t="str">
        <f t="shared" si="27"/>
        <v>Germany-2024-03</v>
      </c>
      <c r="L72" t="s">
        <v>656</v>
      </c>
      <c r="M72" t="s">
        <v>684</v>
      </c>
      <c r="N72" t="s">
        <v>705</v>
      </c>
      <c r="O72" t="s">
        <v>708</v>
      </c>
      <c r="P72" t="s">
        <v>724</v>
      </c>
      <c r="Q72" t="s">
        <v>733</v>
      </c>
      <c r="R72" t="s">
        <v>804</v>
      </c>
      <c r="S72" s="5">
        <v>910.63</v>
      </c>
      <c r="T72" s="5">
        <v>1269.4000000000001</v>
      </c>
      <c r="U72" s="5" t="str">
        <f t="shared" si="28"/>
        <v>Valid</v>
      </c>
      <c r="V72" s="5">
        <f t="shared" si="19"/>
        <v>1269.4000000000001</v>
      </c>
      <c r="W72" s="5" t="str">
        <f t="shared" si="29"/>
        <v>Medium</v>
      </c>
      <c r="X72" s="5">
        <v>6.8000000000000005E-2</v>
      </c>
      <c r="Y72" s="5" t="str">
        <f t="shared" si="30"/>
        <v>Valid</v>
      </c>
      <c r="Z72" s="5">
        <f t="shared" si="31"/>
        <v>6.8000000000000005E-2</v>
      </c>
      <c r="AA72" s="5">
        <v>9</v>
      </c>
      <c r="AB72">
        <f t="shared" si="32"/>
        <v>10647.727199999999</v>
      </c>
      <c r="AC72">
        <f t="shared" si="20"/>
        <v>8195.67</v>
      </c>
      <c r="AD72">
        <f t="shared" si="33"/>
        <v>2452.0571999999993</v>
      </c>
      <c r="AE72">
        <f t="shared" si="34"/>
        <v>0.23028925834989455</v>
      </c>
      <c r="AF72">
        <f t="shared" si="35"/>
        <v>1</v>
      </c>
      <c r="AG72">
        <f t="shared" si="36"/>
        <v>0</v>
      </c>
      <c r="AK72">
        <f>AA72*(1+What_if_Analysis!$B$4)</f>
        <v>10.799999999999999</v>
      </c>
      <c r="AL72" s="5">
        <f>MIN(Z72,What_if_Analysis!$B$2)</f>
        <v>0.05</v>
      </c>
      <c r="AM72">
        <f t="shared" si="37"/>
        <v>13024.044</v>
      </c>
      <c r="AN72">
        <f>AM72-(AK72*(T72*(1+What_if_Analysis!$B$3)))</f>
        <v>-2056.4279999999999</v>
      </c>
    </row>
    <row r="73" spans="1:40" x14ac:dyDescent="0.3">
      <c r="A73" t="s">
        <v>86</v>
      </c>
      <c r="B73" s="3">
        <v>45756</v>
      </c>
      <c r="C73" s="3" t="str">
        <f t="shared" si="21"/>
        <v>Apr-2025</v>
      </c>
      <c r="D73" s="3" t="str">
        <f t="shared" si="22"/>
        <v>Q2-2025</v>
      </c>
      <c r="E73" s="3">
        <v>45783</v>
      </c>
      <c r="F73" s="3" t="str">
        <f t="shared" si="23"/>
        <v>Valid</v>
      </c>
      <c r="G73" s="12">
        <f t="shared" si="24"/>
        <v>27</v>
      </c>
      <c r="H73" s="3">
        <f t="shared" si="25"/>
        <v>45783</v>
      </c>
      <c r="I73" t="s">
        <v>648</v>
      </c>
      <c r="J73" t="str">
        <f t="shared" si="26"/>
        <v>Americas → Brazil → Brasília</v>
      </c>
      <c r="K73" s="3" t="str">
        <f t="shared" si="27"/>
        <v>Brazil-2025-04</v>
      </c>
      <c r="L73" t="s">
        <v>655</v>
      </c>
      <c r="M73" t="s">
        <v>672</v>
      </c>
      <c r="N73" t="s">
        <v>706</v>
      </c>
      <c r="O73" t="s">
        <v>709</v>
      </c>
      <c r="P73" t="s">
        <v>721</v>
      </c>
      <c r="Q73" t="s">
        <v>731</v>
      </c>
      <c r="R73" t="s">
        <v>805</v>
      </c>
      <c r="S73" s="5">
        <v>264.19</v>
      </c>
      <c r="T73" s="5">
        <v>620.92999999999995</v>
      </c>
      <c r="U73" s="5" t="str">
        <f t="shared" si="28"/>
        <v>Valid</v>
      </c>
      <c r="V73" s="5">
        <f t="shared" si="19"/>
        <v>620.92999999999995</v>
      </c>
      <c r="W73" s="5" t="str">
        <f t="shared" si="29"/>
        <v>Medium</v>
      </c>
      <c r="X73" s="5">
        <v>0.14199999999999999</v>
      </c>
      <c r="Y73" s="5" t="str">
        <f t="shared" si="30"/>
        <v>Valid</v>
      </c>
      <c r="Z73" s="5">
        <f t="shared" si="31"/>
        <v>0.14199999999999999</v>
      </c>
      <c r="AA73" s="5">
        <v>12</v>
      </c>
      <c r="AB73">
        <f t="shared" si="32"/>
        <v>6393.0952799999995</v>
      </c>
      <c r="AC73">
        <f t="shared" si="20"/>
        <v>3170.2799999999997</v>
      </c>
      <c r="AD73">
        <f t="shared" si="33"/>
        <v>3222.8152799999998</v>
      </c>
      <c r="AE73">
        <f t="shared" si="34"/>
        <v>0.50410875152794532</v>
      </c>
      <c r="AF73">
        <f t="shared" si="35"/>
        <v>0</v>
      </c>
      <c r="AG73">
        <f t="shared" si="36"/>
        <v>0</v>
      </c>
      <c r="AK73">
        <f>AA73*(1+What_if_Analysis!$B$4)</f>
        <v>14.399999999999999</v>
      </c>
      <c r="AL73" s="5">
        <f>MIN(Z73,What_if_Analysis!$B$2)</f>
        <v>0.05</v>
      </c>
      <c r="AM73">
        <f t="shared" si="37"/>
        <v>8494.3223999999973</v>
      </c>
      <c r="AN73">
        <f>AM73-(AK73*(T73*(1+What_if_Analysis!$B$3)))</f>
        <v>-1341.2088000000022</v>
      </c>
    </row>
    <row r="74" spans="1:40" x14ac:dyDescent="0.3">
      <c r="A74" t="s">
        <v>87</v>
      </c>
      <c r="B74" s="3">
        <v>45394</v>
      </c>
      <c r="C74" s="3" t="str">
        <f t="shared" si="21"/>
        <v>Apr-2024</v>
      </c>
      <c r="D74" s="3" t="str">
        <f t="shared" si="22"/>
        <v>Q2-2024</v>
      </c>
      <c r="E74" s="3">
        <v>45419</v>
      </c>
      <c r="F74" s="3" t="str">
        <f t="shared" si="23"/>
        <v>Valid</v>
      </c>
      <c r="G74" s="12">
        <f t="shared" si="24"/>
        <v>25</v>
      </c>
      <c r="H74" s="3">
        <f t="shared" si="25"/>
        <v>45419</v>
      </c>
      <c r="I74" t="s">
        <v>646</v>
      </c>
      <c r="J74" t="str">
        <f t="shared" si="26"/>
        <v>Africa → South Africa → Johannesburg</v>
      </c>
      <c r="K74" s="3" t="str">
        <f t="shared" si="27"/>
        <v>South Africa-2024-04</v>
      </c>
      <c r="L74" t="s">
        <v>661</v>
      </c>
      <c r="M74" t="s">
        <v>682</v>
      </c>
      <c r="N74" t="s">
        <v>702</v>
      </c>
      <c r="O74" t="s">
        <v>710</v>
      </c>
      <c r="P74" t="s">
        <v>720</v>
      </c>
      <c r="Q74" t="s">
        <v>731</v>
      </c>
      <c r="R74" t="s">
        <v>806</v>
      </c>
      <c r="S74" s="5">
        <v>1376.51</v>
      </c>
      <c r="T74" s="5">
        <v>1455.91</v>
      </c>
      <c r="U74" s="5" t="str">
        <f t="shared" si="28"/>
        <v>Valid</v>
      </c>
      <c r="V74" s="5">
        <f t="shared" si="19"/>
        <v>1455.91</v>
      </c>
      <c r="W74" s="5" t="str">
        <f t="shared" si="29"/>
        <v>Medium</v>
      </c>
      <c r="X74" s="5">
        <v>0.185</v>
      </c>
      <c r="Y74" s="5" t="str">
        <f t="shared" si="30"/>
        <v>Valid</v>
      </c>
      <c r="Z74" s="5">
        <f t="shared" si="31"/>
        <v>0.185</v>
      </c>
      <c r="AA74" s="5">
        <v>17</v>
      </c>
      <c r="AB74">
        <f t="shared" si="32"/>
        <v>20171.63305</v>
      </c>
      <c r="AC74">
        <f t="shared" si="20"/>
        <v>23400.67</v>
      </c>
      <c r="AD74">
        <f t="shared" si="33"/>
        <v>-3229.0369499999979</v>
      </c>
      <c r="AE74">
        <f t="shared" si="34"/>
        <v>-0.1600781127634085</v>
      </c>
      <c r="AF74">
        <f t="shared" si="35"/>
        <v>0</v>
      </c>
      <c r="AG74">
        <f t="shared" si="36"/>
        <v>0</v>
      </c>
      <c r="AK74">
        <f>AA74*(1+What_if_Analysis!$B$4)</f>
        <v>20.399999999999999</v>
      </c>
      <c r="AL74" s="5">
        <f>MIN(Z74,What_if_Analysis!$B$2)</f>
        <v>0.05</v>
      </c>
      <c r="AM74">
        <f t="shared" si="37"/>
        <v>28215.535799999998</v>
      </c>
      <c r="AN74">
        <f>AM74-(AK74*(T74*(1+What_if_Analysis!$B$3)))</f>
        <v>-4455.0846000000056</v>
      </c>
    </row>
    <row r="75" spans="1:40" x14ac:dyDescent="0.3">
      <c r="A75" t="s">
        <v>88</v>
      </c>
      <c r="B75" s="3">
        <v>45641</v>
      </c>
      <c r="C75" s="3" t="str">
        <f t="shared" si="21"/>
        <v>Dec-2024</v>
      </c>
      <c r="D75" s="3" t="str">
        <f t="shared" si="22"/>
        <v>Q4-2024</v>
      </c>
      <c r="E75" s="3">
        <v>45646</v>
      </c>
      <c r="F75" s="3" t="str">
        <f t="shared" si="23"/>
        <v>Valid</v>
      </c>
      <c r="G75" s="12">
        <f t="shared" si="24"/>
        <v>5</v>
      </c>
      <c r="H75" s="3">
        <f t="shared" si="25"/>
        <v>45646</v>
      </c>
      <c r="I75" t="s">
        <v>647</v>
      </c>
      <c r="J75" t="str">
        <f t="shared" si="26"/>
        <v>Asia → China → Shenzhen</v>
      </c>
      <c r="K75" s="3" t="str">
        <f t="shared" si="27"/>
        <v>China-2024-12</v>
      </c>
      <c r="L75" t="s">
        <v>659</v>
      </c>
      <c r="M75" t="s">
        <v>676</v>
      </c>
      <c r="N75" t="s">
        <v>705</v>
      </c>
      <c r="O75" t="s">
        <v>711</v>
      </c>
      <c r="P75" t="s">
        <v>713</v>
      </c>
      <c r="Q75" t="s">
        <v>729</v>
      </c>
      <c r="R75" t="s">
        <v>807</v>
      </c>
      <c r="S75" s="5">
        <v>717.55</v>
      </c>
      <c r="T75" s="5">
        <v>546.42999999999995</v>
      </c>
      <c r="U75" s="5" t="str">
        <f t="shared" si="28"/>
        <v>Valid</v>
      </c>
      <c r="V75" s="5">
        <f t="shared" si="19"/>
        <v>546.42999999999995</v>
      </c>
      <c r="W75" s="5" t="str">
        <f t="shared" si="29"/>
        <v>Low</v>
      </c>
      <c r="X75" s="5">
        <v>4.7E-2</v>
      </c>
      <c r="Y75" s="5" t="str">
        <f t="shared" si="30"/>
        <v>Valid</v>
      </c>
      <c r="Z75" s="5">
        <f t="shared" si="31"/>
        <v>4.7E-2</v>
      </c>
      <c r="AA75" s="5">
        <v>18</v>
      </c>
      <c r="AB75">
        <f t="shared" si="32"/>
        <v>9373.460219999999</v>
      </c>
      <c r="AC75">
        <f t="shared" si="20"/>
        <v>12915.9</v>
      </c>
      <c r="AD75">
        <f t="shared" si="33"/>
        <v>-3542.4397800000006</v>
      </c>
      <c r="AE75">
        <f t="shared" si="34"/>
        <v>-0.37792231437026369</v>
      </c>
      <c r="AF75">
        <f t="shared" si="35"/>
        <v>1</v>
      </c>
      <c r="AG75">
        <f t="shared" si="36"/>
        <v>0</v>
      </c>
      <c r="AK75">
        <f>AA75*(1+What_if_Analysis!$B$4)</f>
        <v>21.599999999999998</v>
      </c>
      <c r="AL75" s="5">
        <f>MIN(Z75,What_if_Analysis!$B$2)</f>
        <v>4.7E-2</v>
      </c>
      <c r="AM75">
        <f t="shared" si="37"/>
        <v>11248.152263999997</v>
      </c>
      <c r="AN75">
        <f>AM75-(AK75*(T75*(1+What_if_Analysis!$B$3)))</f>
        <v>-1735.0245360000008</v>
      </c>
    </row>
    <row r="76" spans="1:40" x14ac:dyDescent="0.3">
      <c r="A76" t="s">
        <v>89</v>
      </c>
      <c r="B76" s="3">
        <v>45066</v>
      </c>
      <c r="C76" s="3" t="str">
        <f t="shared" si="21"/>
        <v>May-2023</v>
      </c>
      <c r="D76" s="3" t="str">
        <f t="shared" si="22"/>
        <v>Q2-2023</v>
      </c>
      <c r="E76" s="3">
        <v>45064</v>
      </c>
      <c r="F76" s="3" t="str">
        <f t="shared" si="23"/>
        <v>Invalid RequiredDate</v>
      </c>
      <c r="G76" s="12">
        <f t="shared" si="24"/>
        <v>-2</v>
      </c>
      <c r="H76" s="3">
        <f t="shared" si="25"/>
        <v>45092</v>
      </c>
      <c r="I76" t="s">
        <v>646</v>
      </c>
      <c r="J76" t="str">
        <f t="shared" si="26"/>
        <v>Africa → South Africa → Durban</v>
      </c>
      <c r="K76" s="3" t="str">
        <f t="shared" si="27"/>
        <v>South Africa-2023-05</v>
      </c>
      <c r="L76" t="s">
        <v>661</v>
      </c>
      <c r="M76" t="s">
        <v>687</v>
      </c>
      <c r="N76" t="s">
        <v>701</v>
      </c>
      <c r="O76" t="s">
        <v>710</v>
      </c>
      <c r="P76" t="s">
        <v>720</v>
      </c>
      <c r="Q76" t="s">
        <v>727</v>
      </c>
      <c r="R76" t="s">
        <v>808</v>
      </c>
      <c r="S76" s="5">
        <v>917.88</v>
      </c>
      <c r="T76" s="5">
        <v>1347.92</v>
      </c>
      <c r="U76" s="5" t="str">
        <f t="shared" si="28"/>
        <v>Valid</v>
      </c>
      <c r="V76" s="5">
        <f t="shared" si="19"/>
        <v>1347.92</v>
      </c>
      <c r="W76" s="5" t="str">
        <f t="shared" si="29"/>
        <v>Medium</v>
      </c>
      <c r="X76" s="5">
        <v>0.34300000000000003</v>
      </c>
      <c r="Y76" s="5" t="str">
        <f t="shared" si="30"/>
        <v>High Discount</v>
      </c>
      <c r="Z76" s="5">
        <f t="shared" si="31"/>
        <v>0.3</v>
      </c>
      <c r="AA76" s="5">
        <v>5</v>
      </c>
      <c r="AB76">
        <f t="shared" si="32"/>
        <v>4717.72</v>
      </c>
      <c r="AC76">
        <f t="shared" si="20"/>
        <v>4589.3999999999996</v>
      </c>
      <c r="AD76">
        <f t="shared" si="33"/>
        <v>128.32000000000062</v>
      </c>
      <c r="AE76">
        <f t="shared" si="34"/>
        <v>2.7199579457873848E-2</v>
      </c>
      <c r="AF76">
        <f t="shared" si="35"/>
        <v>1</v>
      </c>
      <c r="AG76">
        <f t="shared" si="36"/>
        <v>1</v>
      </c>
      <c r="AK76">
        <f>AA76*(1+What_if_Analysis!$B$4)</f>
        <v>6</v>
      </c>
      <c r="AL76" s="5">
        <f>MIN(Z76,What_if_Analysis!$B$2)</f>
        <v>0.05</v>
      </c>
      <c r="AM76">
        <f t="shared" si="37"/>
        <v>7683.1440000000002</v>
      </c>
      <c r="AN76">
        <f>AM76-(AK76*(T76*(1+What_if_Analysis!$B$3)))</f>
        <v>-1213.1280000000006</v>
      </c>
    </row>
    <row r="77" spans="1:40" x14ac:dyDescent="0.3">
      <c r="A77" t="s">
        <v>90</v>
      </c>
      <c r="B77" s="3">
        <v>45187</v>
      </c>
      <c r="C77" s="3" t="str">
        <f t="shared" si="21"/>
        <v>Sept-2023</v>
      </c>
      <c r="D77" s="3" t="str">
        <f t="shared" si="22"/>
        <v>Q3-2023</v>
      </c>
      <c r="E77" s="3">
        <v>45207</v>
      </c>
      <c r="F77" s="3" t="str">
        <f t="shared" si="23"/>
        <v>Valid</v>
      </c>
      <c r="G77" s="12">
        <f t="shared" si="24"/>
        <v>20</v>
      </c>
      <c r="H77" s="3">
        <f t="shared" si="25"/>
        <v>45207</v>
      </c>
      <c r="I77" t="s">
        <v>647</v>
      </c>
      <c r="J77" t="str">
        <f t="shared" si="26"/>
        <v>Asia → India → Delhi</v>
      </c>
      <c r="K77" s="3" t="str">
        <f t="shared" si="27"/>
        <v>India-2023-09</v>
      </c>
      <c r="L77" t="s">
        <v>654</v>
      </c>
      <c r="M77" t="s">
        <v>680</v>
      </c>
      <c r="N77" t="s">
        <v>705</v>
      </c>
      <c r="O77" t="s">
        <v>711</v>
      </c>
      <c r="P77" t="s">
        <v>717</v>
      </c>
      <c r="Q77" t="s">
        <v>727</v>
      </c>
      <c r="R77" t="s">
        <v>809</v>
      </c>
      <c r="S77" s="5">
        <v>825.64</v>
      </c>
      <c r="T77" s="5">
        <v>1108.43</v>
      </c>
      <c r="U77" s="5" t="str">
        <f t="shared" si="28"/>
        <v>Valid</v>
      </c>
      <c r="V77" s="5">
        <f t="shared" si="19"/>
        <v>1108.43</v>
      </c>
      <c r="W77" s="5" t="str">
        <f t="shared" si="29"/>
        <v>Medium</v>
      </c>
      <c r="X77" s="5">
        <v>0.114</v>
      </c>
      <c r="Y77" s="5" t="str">
        <f t="shared" si="30"/>
        <v>Valid</v>
      </c>
      <c r="Z77" s="5">
        <f t="shared" si="31"/>
        <v>0.114</v>
      </c>
      <c r="AA77" s="5">
        <v>7</v>
      </c>
      <c r="AB77">
        <f t="shared" si="32"/>
        <v>6874.4828600000001</v>
      </c>
      <c r="AC77">
        <f t="shared" si="20"/>
        <v>5779.48</v>
      </c>
      <c r="AD77">
        <f t="shared" si="33"/>
        <v>1095.0028600000005</v>
      </c>
      <c r="AE77">
        <f t="shared" si="34"/>
        <v>0.15928512475773349</v>
      </c>
      <c r="AF77">
        <f t="shared" si="35"/>
        <v>0</v>
      </c>
      <c r="AG77">
        <f t="shared" si="36"/>
        <v>0</v>
      </c>
      <c r="AK77">
        <f>AA77*(1+What_if_Analysis!$B$4)</f>
        <v>8.4</v>
      </c>
      <c r="AL77" s="5">
        <f>MIN(Z77,What_if_Analysis!$B$2)</f>
        <v>0.05</v>
      </c>
      <c r="AM77">
        <f t="shared" si="37"/>
        <v>8845.2714000000014</v>
      </c>
      <c r="AN77">
        <f>AM77-(AK77*(T77*(1+What_if_Analysis!$B$3)))</f>
        <v>-1396.6218000000008</v>
      </c>
    </row>
    <row r="78" spans="1:40" x14ac:dyDescent="0.3">
      <c r="A78" t="s">
        <v>91</v>
      </c>
      <c r="B78" s="3">
        <v>45532</v>
      </c>
      <c r="C78" s="3" t="str">
        <f t="shared" si="21"/>
        <v>Aug-2024</v>
      </c>
      <c r="D78" s="3" t="str">
        <f t="shared" si="22"/>
        <v>Q3-2024</v>
      </c>
      <c r="E78" s="3">
        <v>45560</v>
      </c>
      <c r="F78" s="3" t="str">
        <f t="shared" si="23"/>
        <v>Valid</v>
      </c>
      <c r="G78" s="12">
        <f t="shared" si="24"/>
        <v>28</v>
      </c>
      <c r="H78" s="3">
        <f t="shared" si="25"/>
        <v>45560</v>
      </c>
      <c r="I78" t="s">
        <v>648</v>
      </c>
      <c r="J78" t="str">
        <f t="shared" si="26"/>
        <v>Americas → Brazil → Rio de Janeiro</v>
      </c>
      <c r="K78" s="3" t="str">
        <f t="shared" si="27"/>
        <v>Brazil-2024-08</v>
      </c>
      <c r="L78" t="s">
        <v>655</v>
      </c>
      <c r="M78" t="s">
        <v>692</v>
      </c>
      <c r="N78" t="s">
        <v>703</v>
      </c>
      <c r="O78" t="s">
        <v>708</v>
      </c>
      <c r="P78" t="s">
        <v>1423</v>
      </c>
      <c r="Q78" t="s">
        <v>733</v>
      </c>
      <c r="R78" t="s">
        <v>810</v>
      </c>
      <c r="S78" s="5">
        <v>1394.65</v>
      </c>
      <c r="T78" s="5">
        <v>3144.1</v>
      </c>
      <c r="U78" s="5" t="str">
        <f t="shared" si="28"/>
        <v>Valid</v>
      </c>
      <c r="V78" s="5">
        <f t="shared" si="19"/>
        <v>3144.1</v>
      </c>
      <c r="W78" s="5" t="str">
        <f t="shared" si="29"/>
        <v>High</v>
      </c>
      <c r="X78" s="5">
        <v>0.13400000000000001</v>
      </c>
      <c r="Y78" s="5" t="str">
        <f t="shared" si="30"/>
        <v>Valid</v>
      </c>
      <c r="Z78" s="5">
        <f t="shared" si="31"/>
        <v>0.13400000000000001</v>
      </c>
      <c r="AA78" s="5">
        <v>13</v>
      </c>
      <c r="AB78">
        <f t="shared" si="32"/>
        <v>35396.277799999996</v>
      </c>
      <c r="AC78">
        <f t="shared" si="20"/>
        <v>18130.45</v>
      </c>
      <c r="AD78">
        <f t="shared" si="33"/>
        <v>17265.827799999995</v>
      </c>
      <c r="AE78">
        <f t="shared" si="34"/>
        <v>0.4877865378263021</v>
      </c>
      <c r="AF78">
        <f t="shared" si="35"/>
        <v>0</v>
      </c>
      <c r="AG78">
        <f t="shared" si="36"/>
        <v>0</v>
      </c>
      <c r="AK78">
        <f>AA78*(1+What_if_Analysis!$B$4)</f>
        <v>15.6</v>
      </c>
      <c r="AL78" s="5">
        <f>MIN(Z78,What_if_Analysis!$B$2)</f>
        <v>0.05</v>
      </c>
      <c r="AM78">
        <f t="shared" si="37"/>
        <v>46595.561999999998</v>
      </c>
      <c r="AN78">
        <f>AM78-(AK78*(T78*(1+What_if_Analysis!$B$3)))</f>
        <v>-7357.1940000000031</v>
      </c>
    </row>
    <row r="79" spans="1:40" x14ac:dyDescent="0.3">
      <c r="A79" t="s">
        <v>92</v>
      </c>
      <c r="B79" s="3">
        <v>45473</v>
      </c>
      <c r="C79" s="3" t="str">
        <f t="shared" si="21"/>
        <v>Jun-2024</v>
      </c>
      <c r="D79" s="3" t="str">
        <f t="shared" si="22"/>
        <v>Q2-2024</v>
      </c>
      <c r="E79" s="3">
        <v>45471</v>
      </c>
      <c r="F79" s="3" t="str">
        <f t="shared" si="23"/>
        <v>Invalid RequiredDate</v>
      </c>
      <c r="G79" s="12">
        <f t="shared" si="24"/>
        <v>-2</v>
      </c>
      <c r="H79" s="3">
        <f t="shared" si="25"/>
        <v>45499</v>
      </c>
      <c r="I79" t="s">
        <v>648</v>
      </c>
      <c r="J79" t="str">
        <f t="shared" si="26"/>
        <v>Americas → Brazil → Rio de Janeiro</v>
      </c>
      <c r="K79" s="3" t="str">
        <f t="shared" si="27"/>
        <v>Brazil-2024-06</v>
      </c>
      <c r="L79" t="s">
        <v>655</v>
      </c>
      <c r="M79" t="s">
        <v>692</v>
      </c>
      <c r="N79" t="s">
        <v>705</v>
      </c>
      <c r="O79" t="s">
        <v>711</v>
      </c>
      <c r="P79" t="s">
        <v>716</v>
      </c>
      <c r="Q79" t="s">
        <v>733</v>
      </c>
      <c r="R79" t="s">
        <v>811</v>
      </c>
      <c r="S79" s="5">
        <v>1112.98</v>
      </c>
      <c r="T79" s="5">
        <v>2095.73</v>
      </c>
      <c r="U79" s="5" t="str">
        <f t="shared" si="28"/>
        <v>Valid</v>
      </c>
      <c r="V79" s="5">
        <f t="shared" si="19"/>
        <v>2095.73</v>
      </c>
      <c r="W79" s="5" t="str">
        <f t="shared" si="29"/>
        <v>High</v>
      </c>
      <c r="X79" s="5">
        <v>7.1999999999999995E-2</v>
      </c>
      <c r="Y79" s="5" t="str">
        <f t="shared" si="30"/>
        <v>Valid</v>
      </c>
      <c r="Z79" s="5">
        <f t="shared" si="31"/>
        <v>7.1999999999999995E-2</v>
      </c>
      <c r="AA79" s="5">
        <v>17</v>
      </c>
      <c r="AB79">
        <f t="shared" si="32"/>
        <v>33062.236480000007</v>
      </c>
      <c r="AC79">
        <f t="shared" si="20"/>
        <v>18920.66</v>
      </c>
      <c r="AD79">
        <f t="shared" si="33"/>
        <v>14141.576480000007</v>
      </c>
      <c r="AE79">
        <f t="shared" si="34"/>
        <v>0.42772594916724777</v>
      </c>
      <c r="AF79">
        <f t="shared" si="35"/>
        <v>1</v>
      </c>
      <c r="AG79">
        <f t="shared" si="36"/>
        <v>0</v>
      </c>
      <c r="AK79">
        <f>AA79*(1+What_if_Analysis!$B$4)</f>
        <v>20.399999999999999</v>
      </c>
      <c r="AL79" s="5">
        <f>MIN(Z79,What_if_Analysis!$B$2)</f>
        <v>0.05</v>
      </c>
      <c r="AM79">
        <f t="shared" si="37"/>
        <v>40615.2474</v>
      </c>
      <c r="AN79">
        <f>AM79-(AK79*(T79*(1+What_if_Analysis!$B$3)))</f>
        <v>-6412.9338000000062</v>
      </c>
    </row>
    <row r="80" spans="1:40" x14ac:dyDescent="0.3">
      <c r="A80" t="s">
        <v>93</v>
      </c>
      <c r="B80" s="3">
        <v>45091</v>
      </c>
      <c r="C80" s="3" t="str">
        <f t="shared" si="21"/>
        <v>Jun-2023</v>
      </c>
      <c r="D80" s="3" t="str">
        <f t="shared" si="22"/>
        <v>Q2-2023</v>
      </c>
      <c r="E80" s="3">
        <v>45093</v>
      </c>
      <c r="F80" s="3" t="str">
        <f t="shared" si="23"/>
        <v>Valid</v>
      </c>
      <c r="G80" s="12">
        <f t="shared" si="24"/>
        <v>2</v>
      </c>
      <c r="H80" s="3">
        <f t="shared" si="25"/>
        <v>45093</v>
      </c>
      <c r="I80" t="s">
        <v>649</v>
      </c>
      <c r="J80" t="str">
        <f t="shared" si="26"/>
        <v>Europe → United Kingdom → Manchester</v>
      </c>
      <c r="K80" s="3" t="str">
        <f t="shared" si="27"/>
        <v>United Kingdom-2023-06</v>
      </c>
      <c r="L80" t="s">
        <v>658</v>
      </c>
      <c r="M80" t="s">
        <v>693</v>
      </c>
      <c r="N80" t="s">
        <v>703</v>
      </c>
      <c r="O80" t="s">
        <v>711</v>
      </c>
      <c r="P80" t="s">
        <v>723</v>
      </c>
      <c r="Q80" t="s">
        <v>727</v>
      </c>
      <c r="R80" t="s">
        <v>812</v>
      </c>
      <c r="S80" s="5">
        <v>357.36</v>
      </c>
      <c r="T80" s="5">
        <v>703.62</v>
      </c>
      <c r="U80" s="5" t="str">
        <f t="shared" si="28"/>
        <v>Valid</v>
      </c>
      <c r="V80" s="5">
        <f t="shared" si="19"/>
        <v>703.62</v>
      </c>
      <c r="W80" s="5" t="str">
        <f t="shared" si="29"/>
        <v>Medium</v>
      </c>
      <c r="X80" s="5">
        <v>0.25700000000000001</v>
      </c>
      <c r="Y80" s="5" t="str">
        <f t="shared" si="30"/>
        <v>Valid</v>
      </c>
      <c r="Z80" s="5">
        <f t="shared" si="31"/>
        <v>0.25700000000000001</v>
      </c>
      <c r="AA80" s="5">
        <v>20</v>
      </c>
      <c r="AB80">
        <f t="shared" si="32"/>
        <v>10455.7932</v>
      </c>
      <c r="AC80">
        <f t="shared" si="20"/>
        <v>7147.2000000000007</v>
      </c>
      <c r="AD80">
        <f t="shared" si="33"/>
        <v>3308.5931999999993</v>
      </c>
      <c r="AE80">
        <f t="shared" si="34"/>
        <v>0.31643636563125593</v>
      </c>
      <c r="AF80">
        <f t="shared" si="35"/>
        <v>1</v>
      </c>
      <c r="AG80">
        <f t="shared" si="36"/>
        <v>1</v>
      </c>
      <c r="AK80">
        <f>AA80*(1+What_if_Analysis!$B$4)</f>
        <v>24</v>
      </c>
      <c r="AL80" s="5">
        <f>MIN(Z80,What_if_Analysis!$B$2)</f>
        <v>0.05</v>
      </c>
      <c r="AM80">
        <f t="shared" si="37"/>
        <v>16042.536</v>
      </c>
      <c r="AN80">
        <f>AM80-(AK80*(T80*(1+What_if_Analysis!$B$3)))</f>
        <v>-2533.0320000000029</v>
      </c>
    </row>
    <row r="81" spans="1:40" x14ac:dyDescent="0.3">
      <c r="A81" t="s">
        <v>94</v>
      </c>
      <c r="B81" s="3">
        <v>45617</v>
      </c>
      <c r="C81" s="3" t="str">
        <f t="shared" si="21"/>
        <v>Nov-2024</v>
      </c>
      <c r="D81" s="3" t="str">
        <f t="shared" si="22"/>
        <v>Q4-2024</v>
      </c>
      <c r="E81" s="3">
        <v>45647</v>
      </c>
      <c r="F81" s="3" t="str">
        <f t="shared" si="23"/>
        <v>Valid</v>
      </c>
      <c r="G81" s="12">
        <f t="shared" si="24"/>
        <v>30</v>
      </c>
      <c r="H81" s="3">
        <f t="shared" si="25"/>
        <v>45647</v>
      </c>
      <c r="I81" t="s">
        <v>649</v>
      </c>
      <c r="J81" t="str">
        <f t="shared" si="26"/>
        <v>Europe → France → Marseille</v>
      </c>
      <c r="K81" s="3" t="str">
        <f t="shared" si="27"/>
        <v>France-2024-11</v>
      </c>
      <c r="L81" t="s">
        <v>657</v>
      </c>
      <c r="M81" t="s">
        <v>673</v>
      </c>
      <c r="N81" t="s">
        <v>705</v>
      </c>
      <c r="O81" t="s">
        <v>711</v>
      </c>
      <c r="P81" t="s">
        <v>714</v>
      </c>
      <c r="Q81" t="s">
        <v>732</v>
      </c>
      <c r="R81" t="s">
        <v>813</v>
      </c>
      <c r="S81" s="5">
        <v>1122.68</v>
      </c>
      <c r="T81" s="5">
        <v>1997.19</v>
      </c>
      <c r="U81" s="5" t="str">
        <f t="shared" si="28"/>
        <v>Valid</v>
      </c>
      <c r="V81" s="5">
        <f t="shared" si="19"/>
        <v>1997.19</v>
      </c>
      <c r="W81" s="5" t="str">
        <f t="shared" si="29"/>
        <v>High</v>
      </c>
      <c r="X81" s="5">
        <v>0.186</v>
      </c>
      <c r="Y81" s="5" t="str">
        <f t="shared" si="30"/>
        <v>Valid</v>
      </c>
      <c r="Z81" s="5">
        <f t="shared" si="31"/>
        <v>0.186</v>
      </c>
      <c r="AA81" s="5">
        <v>3</v>
      </c>
      <c r="AB81">
        <f t="shared" si="32"/>
        <v>4877.1379800000004</v>
      </c>
      <c r="AC81">
        <f t="shared" si="20"/>
        <v>3368.04</v>
      </c>
      <c r="AD81">
        <f t="shared" si="33"/>
        <v>1509.0979800000005</v>
      </c>
      <c r="AE81">
        <f t="shared" si="34"/>
        <v>0.30942285951073306</v>
      </c>
      <c r="AF81">
        <f t="shared" si="35"/>
        <v>0</v>
      </c>
      <c r="AG81">
        <f t="shared" si="36"/>
        <v>0</v>
      </c>
      <c r="AK81">
        <f>AA81*(1+What_if_Analysis!$B$4)</f>
        <v>3.5999999999999996</v>
      </c>
      <c r="AL81" s="5">
        <f>MIN(Z81,What_if_Analysis!$B$2)</f>
        <v>0.05</v>
      </c>
      <c r="AM81">
        <f t="shared" si="37"/>
        <v>6830.389799999999</v>
      </c>
      <c r="AN81">
        <f>AM81-(AK81*(T81*(1+What_if_Analysis!$B$3)))</f>
        <v>-1078.4826000000003</v>
      </c>
    </row>
    <row r="82" spans="1:40" x14ac:dyDescent="0.3">
      <c r="A82" t="s">
        <v>95</v>
      </c>
      <c r="B82" s="3">
        <v>44965</v>
      </c>
      <c r="C82" s="3" t="str">
        <f t="shared" si="21"/>
        <v>Feb-2023</v>
      </c>
      <c r="D82" s="3" t="str">
        <f t="shared" si="22"/>
        <v>Q1-2023</v>
      </c>
      <c r="E82" s="3">
        <v>44968</v>
      </c>
      <c r="F82" s="3" t="str">
        <f t="shared" si="23"/>
        <v>Valid</v>
      </c>
      <c r="G82" s="12">
        <f t="shared" si="24"/>
        <v>3</v>
      </c>
      <c r="H82" s="3">
        <f t="shared" si="25"/>
        <v>44968</v>
      </c>
      <c r="I82" t="s">
        <v>646</v>
      </c>
      <c r="J82" t="str">
        <f t="shared" si="26"/>
        <v>Africa → South Africa → Cape Town</v>
      </c>
      <c r="K82" s="3" t="str">
        <f t="shared" si="27"/>
        <v>South Africa-2023-02</v>
      </c>
      <c r="L82" t="s">
        <v>661</v>
      </c>
      <c r="M82" t="s">
        <v>695</v>
      </c>
      <c r="N82" t="s">
        <v>701</v>
      </c>
      <c r="O82" t="s">
        <v>711</v>
      </c>
      <c r="P82" t="s">
        <v>724</v>
      </c>
      <c r="Q82" t="s">
        <v>729</v>
      </c>
      <c r="R82" t="s">
        <v>814</v>
      </c>
      <c r="S82" s="5">
        <v>1410.05</v>
      </c>
      <c r="T82" s="5">
        <v>2763.95</v>
      </c>
      <c r="U82" s="5" t="str">
        <f t="shared" si="28"/>
        <v>Valid</v>
      </c>
      <c r="V82" s="5">
        <f t="shared" si="19"/>
        <v>2763.95</v>
      </c>
      <c r="W82" s="5" t="str">
        <f t="shared" si="29"/>
        <v>High</v>
      </c>
      <c r="X82" s="5">
        <v>0.161</v>
      </c>
      <c r="Y82" s="5" t="str">
        <f t="shared" si="30"/>
        <v>Valid</v>
      </c>
      <c r="Z82" s="5">
        <f t="shared" si="31"/>
        <v>0.161</v>
      </c>
      <c r="AA82" s="5">
        <v>26</v>
      </c>
      <c r="AB82">
        <f t="shared" si="32"/>
        <v>60292.805299999993</v>
      </c>
      <c r="AC82">
        <f t="shared" si="20"/>
        <v>36661.299999999996</v>
      </c>
      <c r="AD82">
        <f t="shared" si="33"/>
        <v>23631.505299999997</v>
      </c>
      <c r="AE82">
        <f t="shared" si="34"/>
        <v>0.39194569206750779</v>
      </c>
      <c r="AF82">
        <f t="shared" si="35"/>
        <v>1</v>
      </c>
      <c r="AG82">
        <f t="shared" si="36"/>
        <v>0</v>
      </c>
      <c r="AK82">
        <f>AA82*(1+What_if_Analysis!$B$4)</f>
        <v>31.2</v>
      </c>
      <c r="AL82" s="5">
        <f>MIN(Z82,What_if_Analysis!$B$2)</f>
        <v>0.05</v>
      </c>
      <c r="AM82">
        <f t="shared" si="37"/>
        <v>81923.477999999988</v>
      </c>
      <c r="AN82">
        <f>AM82-(AK82*(T82*(1+What_if_Analysis!$B$3)))</f>
        <v>-12935.286000000022</v>
      </c>
    </row>
    <row r="83" spans="1:40" x14ac:dyDescent="0.3">
      <c r="A83" t="s">
        <v>96</v>
      </c>
      <c r="B83" s="3">
        <v>45157</v>
      </c>
      <c r="C83" s="3" t="str">
        <f t="shared" si="21"/>
        <v>Aug-2023</v>
      </c>
      <c r="D83" s="3" t="str">
        <f t="shared" si="22"/>
        <v>Q3-2023</v>
      </c>
      <c r="E83" s="3">
        <v>45181</v>
      </c>
      <c r="F83" s="3" t="str">
        <f t="shared" si="23"/>
        <v>Valid</v>
      </c>
      <c r="G83" s="12">
        <f t="shared" si="24"/>
        <v>24</v>
      </c>
      <c r="H83" s="3">
        <f t="shared" si="25"/>
        <v>45181</v>
      </c>
      <c r="I83" t="s">
        <v>648</v>
      </c>
      <c r="J83" t="str">
        <f t="shared" si="26"/>
        <v>Americas → Canada → Vancouver</v>
      </c>
      <c r="K83" s="3" t="str">
        <f t="shared" si="27"/>
        <v>Canada-2023-08</v>
      </c>
      <c r="L83" t="s">
        <v>653</v>
      </c>
      <c r="M83" t="s">
        <v>688</v>
      </c>
      <c r="N83" t="s">
        <v>706</v>
      </c>
      <c r="O83" t="s">
        <v>707</v>
      </c>
      <c r="P83" t="s">
        <v>714</v>
      </c>
      <c r="Q83" t="s">
        <v>728</v>
      </c>
      <c r="R83" t="s">
        <v>815</v>
      </c>
      <c r="S83" s="5">
        <v>1183.95</v>
      </c>
      <c r="T83" s="5">
        <v>1503.53</v>
      </c>
      <c r="U83" s="5" t="str">
        <f t="shared" si="28"/>
        <v>Valid</v>
      </c>
      <c r="V83" s="5">
        <f t="shared" si="19"/>
        <v>1503.53</v>
      </c>
      <c r="W83" s="5" t="str">
        <f t="shared" si="29"/>
        <v>Medium</v>
      </c>
      <c r="X83" s="5">
        <v>0.24099999999999999</v>
      </c>
      <c r="Y83" s="5" t="str">
        <f t="shared" si="30"/>
        <v>Valid</v>
      </c>
      <c r="Z83" s="5">
        <f t="shared" si="31"/>
        <v>0.24099999999999999</v>
      </c>
      <c r="AA83" s="5">
        <v>16</v>
      </c>
      <c r="AB83">
        <f t="shared" si="32"/>
        <v>18258.868320000001</v>
      </c>
      <c r="AC83">
        <f t="shared" si="20"/>
        <v>18943.2</v>
      </c>
      <c r="AD83">
        <f t="shared" si="33"/>
        <v>-684.33167999999932</v>
      </c>
      <c r="AE83">
        <f t="shared" si="34"/>
        <v>-3.7479413729623705E-2</v>
      </c>
      <c r="AF83">
        <f t="shared" si="35"/>
        <v>0</v>
      </c>
      <c r="AG83">
        <f t="shared" si="36"/>
        <v>1</v>
      </c>
      <c r="AK83">
        <f>AA83*(1+What_if_Analysis!$B$4)</f>
        <v>19.2</v>
      </c>
      <c r="AL83" s="5">
        <f>MIN(Z83,What_if_Analysis!$B$2)</f>
        <v>0.05</v>
      </c>
      <c r="AM83">
        <f t="shared" si="37"/>
        <v>27424.387199999997</v>
      </c>
      <c r="AN83">
        <f>AM83-(AK83*(T83*(1+What_if_Analysis!$B$3)))</f>
        <v>-4330.1664000000019</v>
      </c>
    </row>
    <row r="84" spans="1:40" x14ac:dyDescent="0.3">
      <c r="A84" t="s">
        <v>97</v>
      </c>
      <c r="B84" s="3">
        <v>45791</v>
      </c>
      <c r="C84" s="3" t="str">
        <f t="shared" si="21"/>
        <v>May-2025</v>
      </c>
      <c r="D84" s="3" t="str">
        <f t="shared" si="22"/>
        <v>Q2-2025</v>
      </c>
      <c r="E84" s="3">
        <v>45801</v>
      </c>
      <c r="F84" s="3" t="str">
        <f t="shared" si="23"/>
        <v>Valid</v>
      </c>
      <c r="G84" s="12">
        <f t="shared" si="24"/>
        <v>10</v>
      </c>
      <c r="H84" s="3">
        <f t="shared" si="25"/>
        <v>45801</v>
      </c>
      <c r="I84" t="s">
        <v>649</v>
      </c>
      <c r="J84" t="str">
        <f t="shared" si="26"/>
        <v>Europe → France → Paris</v>
      </c>
      <c r="K84" s="3" t="str">
        <f t="shared" si="27"/>
        <v>France-2025-05</v>
      </c>
      <c r="L84" t="s">
        <v>657</v>
      </c>
      <c r="M84" t="s">
        <v>690</v>
      </c>
      <c r="N84" t="s">
        <v>705</v>
      </c>
      <c r="O84" t="s">
        <v>709</v>
      </c>
      <c r="P84" t="s">
        <v>723</v>
      </c>
      <c r="Q84" t="s">
        <v>727</v>
      </c>
      <c r="R84" t="s">
        <v>816</v>
      </c>
      <c r="S84" s="5">
        <v>170.39</v>
      </c>
      <c r="T84" s="5">
        <v>388.04</v>
      </c>
      <c r="U84" s="5" t="str">
        <f t="shared" si="28"/>
        <v>Valid</v>
      </c>
      <c r="V84" s="5">
        <f t="shared" si="19"/>
        <v>388.04</v>
      </c>
      <c r="W84" s="5" t="str">
        <f t="shared" si="29"/>
        <v>Low</v>
      </c>
      <c r="X84" s="5">
        <v>8.4000000000000005E-2</v>
      </c>
      <c r="Y84" s="5" t="str">
        <f t="shared" si="30"/>
        <v>Valid</v>
      </c>
      <c r="Z84" s="5">
        <f t="shared" si="31"/>
        <v>8.4000000000000005E-2</v>
      </c>
      <c r="AA84" s="5">
        <v>15</v>
      </c>
      <c r="AB84">
        <f t="shared" si="32"/>
        <v>5331.6696000000002</v>
      </c>
      <c r="AC84">
        <f t="shared" si="20"/>
        <v>2555.85</v>
      </c>
      <c r="AD84">
        <f t="shared" si="33"/>
        <v>2775.8196000000003</v>
      </c>
      <c r="AE84">
        <f t="shared" si="34"/>
        <v>0.52062858508711796</v>
      </c>
      <c r="AF84">
        <f t="shared" si="35"/>
        <v>0</v>
      </c>
      <c r="AG84">
        <f t="shared" si="36"/>
        <v>0</v>
      </c>
      <c r="AK84">
        <f>AA84*(1+What_if_Analysis!$B$4)</f>
        <v>18</v>
      </c>
      <c r="AL84" s="5">
        <f>MIN(Z84,What_if_Analysis!$B$2)</f>
        <v>0.05</v>
      </c>
      <c r="AM84">
        <f t="shared" si="37"/>
        <v>6635.4840000000004</v>
      </c>
      <c r="AN84">
        <f>AM84-(AK84*(T84*(1+What_if_Analysis!$B$3)))</f>
        <v>-1047.7080000000005</v>
      </c>
    </row>
    <row r="85" spans="1:40" x14ac:dyDescent="0.3">
      <c r="A85" t="s">
        <v>98</v>
      </c>
      <c r="B85" s="3">
        <v>45770</v>
      </c>
      <c r="C85" s="3" t="str">
        <f t="shared" si="21"/>
        <v>Apr-2025</v>
      </c>
      <c r="D85" s="3" t="str">
        <f t="shared" si="22"/>
        <v>Q2-2025</v>
      </c>
      <c r="E85" s="3">
        <v>45769</v>
      </c>
      <c r="F85" s="3" t="str">
        <f t="shared" si="23"/>
        <v>Invalid RequiredDate</v>
      </c>
      <c r="G85" s="12">
        <f t="shared" si="24"/>
        <v>-1</v>
      </c>
      <c r="H85" s="3">
        <f t="shared" si="25"/>
        <v>45796</v>
      </c>
      <c r="I85" t="s">
        <v>648</v>
      </c>
      <c r="J85" t="str">
        <f t="shared" si="26"/>
        <v>Americas → USA → San Francisco</v>
      </c>
      <c r="K85" s="3" t="str">
        <f t="shared" si="27"/>
        <v>USA-2025-04</v>
      </c>
      <c r="L85" t="s">
        <v>660</v>
      </c>
      <c r="M85" t="s">
        <v>686</v>
      </c>
      <c r="N85" t="s">
        <v>703</v>
      </c>
      <c r="O85" t="s">
        <v>710</v>
      </c>
      <c r="P85" t="s">
        <v>726</v>
      </c>
      <c r="Q85" t="s">
        <v>732</v>
      </c>
      <c r="R85" t="s">
        <v>817</v>
      </c>
      <c r="S85" s="5">
        <v>23.24</v>
      </c>
      <c r="T85" s="5">
        <v>44.57</v>
      </c>
      <c r="U85" s="5" t="str">
        <f t="shared" si="28"/>
        <v>Valid</v>
      </c>
      <c r="V85" s="5">
        <f t="shared" si="19"/>
        <v>44.57</v>
      </c>
      <c r="W85" s="5" t="str">
        <f t="shared" si="29"/>
        <v>Low</v>
      </c>
      <c r="X85" s="5">
        <v>0.215</v>
      </c>
      <c r="Y85" s="5" t="str">
        <f t="shared" si="30"/>
        <v>Valid</v>
      </c>
      <c r="Z85" s="5">
        <f t="shared" si="31"/>
        <v>0.215</v>
      </c>
      <c r="AA85" s="5">
        <v>15</v>
      </c>
      <c r="AB85">
        <f t="shared" si="32"/>
        <v>524.81174999999996</v>
      </c>
      <c r="AC85">
        <f t="shared" si="20"/>
        <v>348.59999999999997</v>
      </c>
      <c r="AD85">
        <f t="shared" si="33"/>
        <v>176.21174999999999</v>
      </c>
      <c r="AE85">
        <f t="shared" si="34"/>
        <v>0.33576182316802167</v>
      </c>
      <c r="AF85">
        <f t="shared" si="35"/>
        <v>1</v>
      </c>
      <c r="AG85">
        <f t="shared" si="36"/>
        <v>1</v>
      </c>
      <c r="AK85">
        <f>AA85*(1+What_if_Analysis!$B$4)</f>
        <v>18</v>
      </c>
      <c r="AL85" s="5">
        <f>MIN(Z85,What_if_Analysis!$B$2)</f>
        <v>0.05</v>
      </c>
      <c r="AM85">
        <f t="shared" si="37"/>
        <v>762.14699999999993</v>
      </c>
      <c r="AN85">
        <f>AM85-(AK85*(T85*(1+What_if_Analysis!$B$3)))</f>
        <v>-120.33900000000006</v>
      </c>
    </row>
    <row r="86" spans="1:40" x14ac:dyDescent="0.3">
      <c r="A86" t="s">
        <v>99</v>
      </c>
      <c r="B86" s="3">
        <v>45741</v>
      </c>
      <c r="C86" s="3" t="str">
        <f t="shared" si="21"/>
        <v>Mar-2025</v>
      </c>
      <c r="D86" s="3" t="str">
        <f t="shared" si="22"/>
        <v>Q1-2025</v>
      </c>
      <c r="E86" s="3">
        <v>45764</v>
      </c>
      <c r="F86" s="3" t="str">
        <f t="shared" si="23"/>
        <v>Valid</v>
      </c>
      <c r="G86" s="12">
        <f t="shared" si="24"/>
        <v>23</v>
      </c>
      <c r="H86" s="3">
        <f t="shared" si="25"/>
        <v>45764</v>
      </c>
      <c r="I86" t="s">
        <v>649</v>
      </c>
      <c r="J86" t="str">
        <f t="shared" si="26"/>
        <v>Europe → United Kingdom → London</v>
      </c>
      <c r="K86" s="3" t="str">
        <f t="shared" si="27"/>
        <v>United Kingdom-2025-03</v>
      </c>
      <c r="L86" t="s">
        <v>658</v>
      </c>
      <c r="M86" t="s">
        <v>683</v>
      </c>
      <c r="N86" t="s">
        <v>704</v>
      </c>
      <c r="O86" t="s">
        <v>707</v>
      </c>
      <c r="P86" t="s">
        <v>722</v>
      </c>
      <c r="Q86" t="s">
        <v>729</v>
      </c>
      <c r="R86" t="s">
        <v>818</v>
      </c>
      <c r="S86" s="5">
        <v>1421.19</v>
      </c>
      <c r="T86" s="5">
        <v>1808.26</v>
      </c>
      <c r="U86" s="5" t="str">
        <f t="shared" si="28"/>
        <v>Valid</v>
      </c>
      <c r="V86" s="5">
        <f t="shared" si="19"/>
        <v>1808.26</v>
      </c>
      <c r="W86" s="5" t="str">
        <f t="shared" si="29"/>
        <v>Medium</v>
      </c>
      <c r="X86" s="5">
        <v>0.104</v>
      </c>
      <c r="Y86" s="5" t="str">
        <f t="shared" si="30"/>
        <v>Valid</v>
      </c>
      <c r="Z86" s="5">
        <f t="shared" si="31"/>
        <v>0.104</v>
      </c>
      <c r="AA86" s="5">
        <v>13</v>
      </c>
      <c r="AB86">
        <f t="shared" si="32"/>
        <v>21062.61248</v>
      </c>
      <c r="AC86">
        <f t="shared" si="20"/>
        <v>18475.47</v>
      </c>
      <c r="AD86">
        <f t="shared" si="33"/>
        <v>2587.1424799999986</v>
      </c>
      <c r="AE86">
        <f t="shared" si="34"/>
        <v>0.12283103449093123</v>
      </c>
      <c r="AF86">
        <f t="shared" si="35"/>
        <v>0</v>
      </c>
      <c r="AG86">
        <f t="shared" si="36"/>
        <v>0</v>
      </c>
      <c r="AK86">
        <f>AA86*(1+What_if_Analysis!$B$4)</f>
        <v>15.6</v>
      </c>
      <c r="AL86" s="5">
        <f>MIN(Z86,What_if_Analysis!$B$2)</f>
        <v>0.05</v>
      </c>
      <c r="AM86">
        <f t="shared" si="37"/>
        <v>26798.413199999999</v>
      </c>
      <c r="AN86">
        <f>AM86-(AK86*(T86*(1+What_if_Analysis!$B$3)))</f>
        <v>-4231.3284000000058</v>
      </c>
    </row>
    <row r="87" spans="1:40" x14ac:dyDescent="0.3">
      <c r="A87" t="s">
        <v>100</v>
      </c>
      <c r="B87" s="3">
        <v>45282</v>
      </c>
      <c r="C87" s="3" t="str">
        <f t="shared" si="21"/>
        <v>Dec-2023</v>
      </c>
      <c r="D87" s="3" t="str">
        <f t="shared" si="22"/>
        <v>Q4-2023</v>
      </c>
      <c r="E87" s="3">
        <v>45283</v>
      </c>
      <c r="F87" s="3" t="str">
        <f t="shared" si="23"/>
        <v>Valid</v>
      </c>
      <c r="G87" s="12">
        <f t="shared" si="24"/>
        <v>1</v>
      </c>
      <c r="H87" s="3">
        <f t="shared" si="25"/>
        <v>45283</v>
      </c>
      <c r="I87" t="s">
        <v>646</v>
      </c>
      <c r="J87" t="str">
        <f t="shared" si="26"/>
        <v>Africa → South Africa → Cape Town</v>
      </c>
      <c r="K87" s="3" t="str">
        <f t="shared" si="27"/>
        <v>South Africa-2023-12</v>
      </c>
      <c r="L87" t="s">
        <v>661</v>
      </c>
      <c r="M87" t="s">
        <v>695</v>
      </c>
      <c r="N87" t="s">
        <v>703</v>
      </c>
      <c r="O87" t="s">
        <v>709</v>
      </c>
      <c r="P87" t="s">
        <v>726</v>
      </c>
      <c r="Q87" t="s">
        <v>727</v>
      </c>
      <c r="R87" t="s">
        <v>819</v>
      </c>
      <c r="S87" s="5">
        <v>1186.18</v>
      </c>
      <c r="T87" s="5">
        <v>1285.0899999999999</v>
      </c>
      <c r="U87" s="5" t="str">
        <f t="shared" si="28"/>
        <v>Valid</v>
      </c>
      <c r="V87" s="5">
        <f t="shared" si="19"/>
        <v>1285.0899999999999</v>
      </c>
      <c r="W87" s="5" t="str">
        <f t="shared" si="29"/>
        <v>Medium</v>
      </c>
      <c r="X87" s="5">
        <v>7.0000000000000007E-2</v>
      </c>
      <c r="Y87" s="5" t="str">
        <f t="shared" si="30"/>
        <v>Valid</v>
      </c>
      <c r="Z87" s="5">
        <f t="shared" si="31"/>
        <v>7.0000000000000007E-2</v>
      </c>
      <c r="AA87" s="5">
        <v>11</v>
      </c>
      <c r="AB87">
        <f t="shared" si="32"/>
        <v>13146.470699999998</v>
      </c>
      <c r="AC87">
        <f t="shared" si="20"/>
        <v>13047.980000000001</v>
      </c>
      <c r="AD87">
        <f t="shared" si="33"/>
        <v>98.49069999999665</v>
      </c>
      <c r="AE87">
        <f t="shared" si="34"/>
        <v>7.4917977796121861E-3</v>
      </c>
      <c r="AF87">
        <f t="shared" si="35"/>
        <v>1</v>
      </c>
      <c r="AG87">
        <f t="shared" si="36"/>
        <v>0</v>
      </c>
      <c r="AK87">
        <f>AA87*(1+What_if_Analysis!$B$4)</f>
        <v>13.2</v>
      </c>
      <c r="AL87" s="5">
        <f>MIN(Z87,What_if_Analysis!$B$2)</f>
        <v>0.05</v>
      </c>
      <c r="AM87">
        <f t="shared" si="37"/>
        <v>16115.028599999998</v>
      </c>
      <c r="AN87">
        <f>AM87-(AK87*(T87*(1+What_if_Analysis!$B$3)))</f>
        <v>-2544.4782000000014</v>
      </c>
    </row>
    <row r="88" spans="1:40" x14ac:dyDescent="0.3">
      <c r="A88" t="s">
        <v>101</v>
      </c>
      <c r="B88" s="3">
        <v>45388</v>
      </c>
      <c r="C88" s="3" t="str">
        <f t="shared" si="21"/>
        <v>Apr-2024</v>
      </c>
      <c r="D88" s="3" t="str">
        <f t="shared" si="22"/>
        <v>Q2-2024</v>
      </c>
      <c r="E88" s="3">
        <v>45407</v>
      </c>
      <c r="F88" s="3" t="str">
        <f t="shared" si="23"/>
        <v>Valid</v>
      </c>
      <c r="G88" s="12">
        <f t="shared" si="24"/>
        <v>19</v>
      </c>
      <c r="H88" s="3">
        <f t="shared" si="25"/>
        <v>45407</v>
      </c>
      <c r="I88" t="s">
        <v>647</v>
      </c>
      <c r="J88" t="str">
        <f t="shared" si="26"/>
        <v>Asia → China → Shanghai</v>
      </c>
      <c r="K88" s="3" t="str">
        <f t="shared" si="27"/>
        <v>China-2024-04</v>
      </c>
      <c r="L88" t="s">
        <v>659</v>
      </c>
      <c r="M88" t="s">
        <v>685</v>
      </c>
      <c r="N88" t="s">
        <v>701</v>
      </c>
      <c r="O88" t="s">
        <v>707</v>
      </c>
      <c r="P88" t="s">
        <v>723</v>
      </c>
      <c r="Q88" t="s">
        <v>727</v>
      </c>
      <c r="R88" t="s">
        <v>820</v>
      </c>
      <c r="S88" s="5">
        <v>1366.48</v>
      </c>
      <c r="T88" s="5">
        <v>1678.14</v>
      </c>
      <c r="U88" s="5" t="str">
        <f t="shared" si="28"/>
        <v>Valid</v>
      </c>
      <c r="V88" s="5">
        <f t="shared" si="19"/>
        <v>1678.14</v>
      </c>
      <c r="W88" s="5" t="str">
        <f t="shared" si="29"/>
        <v>Medium</v>
      </c>
      <c r="X88" s="5">
        <v>0.154</v>
      </c>
      <c r="Y88" s="5" t="str">
        <f t="shared" si="30"/>
        <v>Valid</v>
      </c>
      <c r="Z88" s="5">
        <f t="shared" si="31"/>
        <v>0.154</v>
      </c>
      <c r="AA88" s="5">
        <v>10</v>
      </c>
      <c r="AB88">
        <f t="shared" si="32"/>
        <v>14197.064400000001</v>
      </c>
      <c r="AC88">
        <f t="shared" si="20"/>
        <v>13664.8</v>
      </c>
      <c r="AD88">
        <f t="shared" si="33"/>
        <v>532.26440000000184</v>
      </c>
      <c r="AE88">
        <f t="shared" si="34"/>
        <v>3.7491159087790132E-2</v>
      </c>
      <c r="AF88">
        <f t="shared" si="35"/>
        <v>0</v>
      </c>
      <c r="AG88">
        <f t="shared" si="36"/>
        <v>0</v>
      </c>
      <c r="AK88">
        <f>AA88*(1+What_if_Analysis!$B$4)</f>
        <v>12</v>
      </c>
      <c r="AL88" s="5">
        <f>MIN(Z88,What_if_Analysis!$B$2)</f>
        <v>0.05</v>
      </c>
      <c r="AM88">
        <f t="shared" si="37"/>
        <v>19130.795999999998</v>
      </c>
      <c r="AN88">
        <f>AM88-(AK88*(T88*(1+What_if_Analysis!$B$3)))</f>
        <v>-3020.6520000000055</v>
      </c>
    </row>
    <row r="89" spans="1:40" x14ac:dyDescent="0.3">
      <c r="A89" t="s">
        <v>102</v>
      </c>
      <c r="B89" s="3">
        <v>45876</v>
      </c>
      <c r="C89" s="3" t="str">
        <f t="shared" si="21"/>
        <v>Aug-2025</v>
      </c>
      <c r="D89" s="3" t="str">
        <f t="shared" si="22"/>
        <v>Q3-2025</v>
      </c>
      <c r="E89" s="3">
        <v>45888</v>
      </c>
      <c r="F89" s="3" t="str">
        <f t="shared" si="23"/>
        <v>Valid</v>
      </c>
      <c r="G89" s="12">
        <f t="shared" si="24"/>
        <v>12</v>
      </c>
      <c r="H89" s="3">
        <f t="shared" si="25"/>
        <v>45888</v>
      </c>
      <c r="I89" t="s">
        <v>646</v>
      </c>
      <c r="J89" t="str">
        <f t="shared" si="26"/>
        <v>Africa → Kenya → Nakuru</v>
      </c>
      <c r="K89" s="3" t="str">
        <f t="shared" si="27"/>
        <v>Kenya-2025-08</v>
      </c>
      <c r="L89" t="s">
        <v>650</v>
      </c>
      <c r="M89" t="s">
        <v>678</v>
      </c>
      <c r="N89" t="s">
        <v>701</v>
      </c>
      <c r="O89" t="s">
        <v>1424</v>
      </c>
      <c r="P89" t="s">
        <v>724</v>
      </c>
      <c r="Q89" t="s">
        <v>727</v>
      </c>
      <c r="R89" t="s">
        <v>821</v>
      </c>
      <c r="S89" s="5">
        <v>601.51</v>
      </c>
      <c r="T89" s="5">
        <v>679.35</v>
      </c>
      <c r="U89" s="5" t="str">
        <f t="shared" si="28"/>
        <v>Valid</v>
      </c>
      <c r="V89" s="5">
        <f t="shared" si="19"/>
        <v>679.35</v>
      </c>
      <c r="W89" s="5" t="str">
        <f t="shared" si="29"/>
        <v>Medium</v>
      </c>
      <c r="X89" s="5">
        <v>0.188</v>
      </c>
      <c r="Y89" s="5" t="str">
        <f t="shared" si="30"/>
        <v>Valid</v>
      </c>
      <c r="Z89" s="5">
        <f t="shared" si="31"/>
        <v>0.188</v>
      </c>
      <c r="AA89" s="5">
        <v>3</v>
      </c>
      <c r="AB89">
        <f t="shared" si="32"/>
        <v>1654.8966000000003</v>
      </c>
      <c r="AC89">
        <f t="shared" si="20"/>
        <v>1804.53</v>
      </c>
      <c r="AD89">
        <f t="shared" si="33"/>
        <v>-149.63339999999971</v>
      </c>
      <c r="AE89">
        <f t="shared" si="34"/>
        <v>-9.0418579626062243E-2</v>
      </c>
      <c r="AF89">
        <f t="shared" si="35"/>
        <v>0</v>
      </c>
      <c r="AG89">
        <f t="shared" si="36"/>
        <v>0</v>
      </c>
      <c r="AK89">
        <f>AA89*(1+What_if_Analysis!$B$4)</f>
        <v>3.5999999999999996</v>
      </c>
      <c r="AL89" s="5">
        <f>MIN(Z89,What_if_Analysis!$B$2)</f>
        <v>0.05</v>
      </c>
      <c r="AM89">
        <f t="shared" si="37"/>
        <v>2323.377</v>
      </c>
      <c r="AN89">
        <f>AM89-(AK89*(T89*(1+What_if_Analysis!$B$3)))</f>
        <v>-366.84900000000016</v>
      </c>
    </row>
    <row r="90" spans="1:40" x14ac:dyDescent="0.3">
      <c r="A90" t="s">
        <v>103</v>
      </c>
      <c r="B90" s="3">
        <v>45312</v>
      </c>
      <c r="C90" s="3" t="str">
        <f t="shared" si="21"/>
        <v>Jan-2024</v>
      </c>
      <c r="D90" s="3" t="str">
        <f t="shared" si="22"/>
        <v>Q1-2024</v>
      </c>
      <c r="E90" s="3">
        <v>45316</v>
      </c>
      <c r="F90" s="3" t="str">
        <f t="shared" si="23"/>
        <v>Valid</v>
      </c>
      <c r="G90" s="12">
        <f t="shared" si="24"/>
        <v>4</v>
      </c>
      <c r="H90" s="3">
        <f t="shared" si="25"/>
        <v>45316</v>
      </c>
      <c r="I90" t="s">
        <v>647</v>
      </c>
      <c r="J90" t="str">
        <f t="shared" si="26"/>
        <v>Asia → India → Delhi</v>
      </c>
      <c r="K90" s="3" t="str">
        <f t="shared" si="27"/>
        <v>India-2024-01</v>
      </c>
      <c r="L90" t="s">
        <v>654</v>
      </c>
      <c r="M90" t="s">
        <v>680</v>
      </c>
      <c r="N90" t="s">
        <v>704</v>
      </c>
      <c r="O90" t="s">
        <v>711</v>
      </c>
      <c r="P90" t="s">
        <v>712</v>
      </c>
      <c r="Q90" t="s">
        <v>732</v>
      </c>
      <c r="R90" t="s">
        <v>822</v>
      </c>
      <c r="S90" s="5">
        <v>523.70000000000005</v>
      </c>
      <c r="T90" s="5">
        <v>1109.92</v>
      </c>
      <c r="U90" s="5" t="str">
        <f t="shared" si="28"/>
        <v>Valid</v>
      </c>
      <c r="V90" s="5">
        <f t="shared" si="19"/>
        <v>1109.92</v>
      </c>
      <c r="W90" s="5" t="str">
        <f t="shared" si="29"/>
        <v>Medium</v>
      </c>
      <c r="X90" s="5">
        <v>0.03</v>
      </c>
      <c r="Y90" s="5" t="str">
        <f t="shared" si="30"/>
        <v>Valid</v>
      </c>
      <c r="Z90" s="5">
        <f t="shared" si="31"/>
        <v>0.03</v>
      </c>
      <c r="AA90" s="5">
        <v>11</v>
      </c>
      <c r="AB90">
        <f t="shared" si="32"/>
        <v>11842.8464</v>
      </c>
      <c r="AC90">
        <f t="shared" si="20"/>
        <v>5760.7000000000007</v>
      </c>
      <c r="AD90">
        <f t="shared" si="33"/>
        <v>6082.1463999999996</v>
      </c>
      <c r="AE90">
        <f t="shared" si="34"/>
        <v>0.51357133197302973</v>
      </c>
      <c r="AF90">
        <f t="shared" si="35"/>
        <v>1</v>
      </c>
      <c r="AG90">
        <f t="shared" si="36"/>
        <v>0</v>
      </c>
      <c r="AK90">
        <f>AA90*(1+What_if_Analysis!$B$4)</f>
        <v>13.2</v>
      </c>
      <c r="AL90" s="5">
        <f>MIN(Z90,What_if_Analysis!$B$2)</f>
        <v>0.03</v>
      </c>
      <c r="AM90">
        <f t="shared" si="37"/>
        <v>14211.415679999998</v>
      </c>
      <c r="AN90">
        <f>AM90-(AK90*(T90*(1+What_if_Analysis!$B$3)))</f>
        <v>-1904.6227200000048</v>
      </c>
    </row>
    <row r="91" spans="1:40" x14ac:dyDescent="0.3">
      <c r="A91" t="s">
        <v>104</v>
      </c>
      <c r="B91" s="3">
        <v>45106</v>
      </c>
      <c r="C91" s="3" t="str">
        <f t="shared" si="21"/>
        <v>Jun-2023</v>
      </c>
      <c r="D91" s="3" t="str">
        <f t="shared" si="22"/>
        <v>Q2-2023</v>
      </c>
      <c r="E91" s="3">
        <v>45109</v>
      </c>
      <c r="F91" s="3" t="str">
        <f t="shared" si="23"/>
        <v>Valid</v>
      </c>
      <c r="G91" s="12">
        <f t="shared" si="24"/>
        <v>3</v>
      </c>
      <c r="H91" s="3">
        <f t="shared" si="25"/>
        <v>45109</v>
      </c>
      <c r="I91" t="s">
        <v>647</v>
      </c>
      <c r="J91" t="str">
        <f t="shared" si="26"/>
        <v>Asia → Japan → Nagoya</v>
      </c>
      <c r="K91" s="3" t="str">
        <f t="shared" si="27"/>
        <v>Japan-2023-06</v>
      </c>
      <c r="L91" t="s">
        <v>652</v>
      </c>
      <c r="M91" t="s">
        <v>694</v>
      </c>
      <c r="N91" t="s">
        <v>702</v>
      </c>
      <c r="O91" t="s">
        <v>709</v>
      </c>
      <c r="P91" t="s">
        <v>721</v>
      </c>
      <c r="Q91" t="s">
        <v>732</v>
      </c>
      <c r="R91" t="s">
        <v>823</v>
      </c>
      <c r="S91" s="5">
        <v>55.65</v>
      </c>
      <c r="T91" s="5">
        <v>83.57</v>
      </c>
      <c r="U91" s="5" t="str">
        <f t="shared" si="28"/>
        <v>Valid</v>
      </c>
      <c r="V91" s="5">
        <f t="shared" si="19"/>
        <v>83.57</v>
      </c>
      <c r="W91" s="5" t="str">
        <f t="shared" si="29"/>
        <v>Low</v>
      </c>
      <c r="X91" s="5">
        <v>6.6000000000000003E-2</v>
      </c>
      <c r="Y91" s="5" t="str">
        <f t="shared" si="30"/>
        <v>Valid</v>
      </c>
      <c r="Z91" s="5">
        <f t="shared" si="31"/>
        <v>6.6000000000000003E-2</v>
      </c>
      <c r="AA91" s="5">
        <v>8</v>
      </c>
      <c r="AB91">
        <f t="shared" si="32"/>
        <v>624.43503999999996</v>
      </c>
      <c r="AC91">
        <f t="shared" si="20"/>
        <v>445.2</v>
      </c>
      <c r="AD91">
        <f t="shared" si="33"/>
        <v>179.23503999999997</v>
      </c>
      <c r="AE91">
        <f t="shared" si="34"/>
        <v>0.2870355257449998</v>
      </c>
      <c r="AF91">
        <f t="shared" si="35"/>
        <v>1</v>
      </c>
      <c r="AG91">
        <f t="shared" si="36"/>
        <v>0</v>
      </c>
      <c r="AK91">
        <f>AA91*(1+What_if_Analysis!$B$4)</f>
        <v>9.6</v>
      </c>
      <c r="AL91" s="5">
        <f>MIN(Z91,What_if_Analysis!$B$2)</f>
        <v>0.05</v>
      </c>
      <c r="AM91">
        <f t="shared" si="37"/>
        <v>762.15839999999992</v>
      </c>
      <c r="AN91">
        <f>AM91-(AK91*(T91*(1+What_if_Analysis!$B$3)))</f>
        <v>-120.34080000000017</v>
      </c>
    </row>
    <row r="92" spans="1:40" x14ac:dyDescent="0.3">
      <c r="A92" t="s">
        <v>105</v>
      </c>
      <c r="B92" s="3">
        <v>45775</v>
      </c>
      <c r="C92" s="3" t="str">
        <f t="shared" si="21"/>
        <v>Apr-2025</v>
      </c>
      <c r="D92" s="3" t="str">
        <f t="shared" si="22"/>
        <v>Q2-2025</v>
      </c>
      <c r="E92" s="3">
        <v>45792</v>
      </c>
      <c r="F92" s="3" t="str">
        <f t="shared" si="23"/>
        <v>Valid</v>
      </c>
      <c r="G92" s="12">
        <f t="shared" si="24"/>
        <v>17</v>
      </c>
      <c r="H92" s="3">
        <f t="shared" si="25"/>
        <v>45792</v>
      </c>
      <c r="I92" t="s">
        <v>647</v>
      </c>
      <c r="J92" t="str">
        <f t="shared" si="26"/>
        <v>Asia → Japan → Nagoya</v>
      </c>
      <c r="K92" s="3" t="str">
        <f t="shared" si="27"/>
        <v>Japan-2025-04</v>
      </c>
      <c r="L92" t="s">
        <v>652</v>
      </c>
      <c r="M92" t="s">
        <v>694</v>
      </c>
      <c r="N92" t="s">
        <v>702</v>
      </c>
      <c r="O92" t="s">
        <v>711</v>
      </c>
      <c r="P92" t="s">
        <v>725</v>
      </c>
      <c r="Q92" t="s">
        <v>729</v>
      </c>
      <c r="R92" t="s">
        <v>824</v>
      </c>
      <c r="S92" s="5">
        <v>691.19</v>
      </c>
      <c r="T92" s="5">
        <v>1284.3</v>
      </c>
      <c r="U92" s="5" t="str">
        <f t="shared" si="28"/>
        <v>Valid</v>
      </c>
      <c r="V92" s="5">
        <f t="shared" si="19"/>
        <v>1284.3</v>
      </c>
      <c r="W92" s="5" t="str">
        <f t="shared" si="29"/>
        <v>Medium</v>
      </c>
      <c r="X92" s="5">
        <v>7.3999999999999996E-2</v>
      </c>
      <c r="Y92" s="5" t="str">
        <f t="shared" si="30"/>
        <v>Valid</v>
      </c>
      <c r="Z92" s="5">
        <f t="shared" si="31"/>
        <v>7.3999999999999996E-2</v>
      </c>
      <c r="AA92" s="5">
        <v>7</v>
      </c>
      <c r="AB92">
        <f t="shared" si="32"/>
        <v>8324.8326000000015</v>
      </c>
      <c r="AC92">
        <f t="shared" si="20"/>
        <v>4838.33</v>
      </c>
      <c r="AD92">
        <f t="shared" si="33"/>
        <v>3486.5026000000016</v>
      </c>
      <c r="AE92">
        <f t="shared" si="34"/>
        <v>0.41880753253825198</v>
      </c>
      <c r="AF92">
        <f t="shared" si="35"/>
        <v>0</v>
      </c>
      <c r="AG92">
        <f t="shared" si="36"/>
        <v>0</v>
      </c>
      <c r="AK92">
        <f>AA92*(1+What_if_Analysis!$B$4)</f>
        <v>8.4</v>
      </c>
      <c r="AL92" s="5">
        <f>MIN(Z92,What_if_Analysis!$B$2)</f>
        <v>0.05</v>
      </c>
      <c r="AM92">
        <f t="shared" si="37"/>
        <v>10248.714</v>
      </c>
      <c r="AN92">
        <f>AM92-(AK92*(T92*(1+What_if_Analysis!$B$3)))</f>
        <v>-1618.2180000000008</v>
      </c>
    </row>
    <row r="93" spans="1:40" x14ac:dyDescent="0.3">
      <c r="A93" t="s">
        <v>106</v>
      </c>
      <c r="B93" s="3">
        <v>45817</v>
      </c>
      <c r="C93" s="3" t="str">
        <f t="shared" si="21"/>
        <v>Jun-2025</v>
      </c>
      <c r="D93" s="3" t="str">
        <f t="shared" si="22"/>
        <v>Q2-2025</v>
      </c>
      <c r="E93" s="3">
        <v>45833</v>
      </c>
      <c r="F93" s="3" t="str">
        <f t="shared" si="23"/>
        <v>Valid</v>
      </c>
      <c r="G93" s="12">
        <f t="shared" si="24"/>
        <v>16</v>
      </c>
      <c r="H93" s="3">
        <f t="shared" si="25"/>
        <v>45833</v>
      </c>
      <c r="I93" t="s">
        <v>647</v>
      </c>
      <c r="J93" t="str">
        <f t="shared" si="26"/>
        <v>Asia → India → Hyderabad</v>
      </c>
      <c r="K93" s="3" t="str">
        <f t="shared" si="27"/>
        <v>India-2025-06</v>
      </c>
      <c r="L93" t="s">
        <v>654</v>
      </c>
      <c r="M93" t="s">
        <v>696</v>
      </c>
      <c r="N93" t="s">
        <v>706</v>
      </c>
      <c r="O93" t="s">
        <v>710</v>
      </c>
      <c r="P93" t="s">
        <v>724</v>
      </c>
      <c r="Q93" t="s">
        <v>730</v>
      </c>
      <c r="R93" t="s">
        <v>825</v>
      </c>
      <c r="S93" s="5">
        <v>527.33000000000004</v>
      </c>
      <c r="T93" s="5">
        <v>911.72</v>
      </c>
      <c r="U93" s="5" t="str">
        <f t="shared" si="28"/>
        <v>Valid</v>
      </c>
      <c r="V93" s="5">
        <f t="shared" si="19"/>
        <v>911.72</v>
      </c>
      <c r="W93" s="5" t="str">
        <f t="shared" si="29"/>
        <v>Medium</v>
      </c>
      <c r="X93" s="5">
        <v>0.14399999999999999</v>
      </c>
      <c r="Y93" s="5" t="str">
        <f t="shared" si="30"/>
        <v>Valid</v>
      </c>
      <c r="Z93" s="5">
        <f t="shared" si="31"/>
        <v>0.14399999999999999</v>
      </c>
      <c r="AA93" s="5">
        <v>25</v>
      </c>
      <c r="AB93">
        <f t="shared" si="32"/>
        <v>19510.808000000001</v>
      </c>
      <c r="AC93">
        <f t="shared" si="20"/>
        <v>13183.250000000002</v>
      </c>
      <c r="AD93">
        <f t="shared" si="33"/>
        <v>6327.5579999999991</v>
      </c>
      <c r="AE93">
        <f t="shared" si="34"/>
        <v>0.32431040272652978</v>
      </c>
      <c r="AF93">
        <f t="shared" si="35"/>
        <v>0</v>
      </c>
      <c r="AG93">
        <f t="shared" si="36"/>
        <v>0</v>
      </c>
      <c r="AK93">
        <f>AA93*(1+What_if_Analysis!$B$4)</f>
        <v>30</v>
      </c>
      <c r="AL93" s="5">
        <f>MIN(Z93,What_if_Analysis!$B$2)</f>
        <v>0.05</v>
      </c>
      <c r="AM93">
        <f t="shared" si="37"/>
        <v>25984.02</v>
      </c>
      <c r="AN93">
        <f>AM93-(AK93*(T93*(1+What_if_Analysis!$B$3)))</f>
        <v>-4102.7400000000052</v>
      </c>
    </row>
    <row r="94" spans="1:40" x14ac:dyDescent="0.3">
      <c r="A94" t="s">
        <v>107</v>
      </c>
      <c r="B94" s="3">
        <v>45101</v>
      </c>
      <c r="C94" s="3" t="str">
        <f t="shared" si="21"/>
        <v>Jun-2023</v>
      </c>
      <c r="D94" s="3" t="str">
        <f t="shared" si="22"/>
        <v>Q2-2023</v>
      </c>
      <c r="E94" s="3">
        <v>45100</v>
      </c>
      <c r="F94" s="3" t="str">
        <f t="shared" si="23"/>
        <v>Invalid RequiredDate</v>
      </c>
      <c r="G94" s="12">
        <f t="shared" si="24"/>
        <v>-1</v>
      </c>
      <c r="H94" s="3">
        <f t="shared" si="25"/>
        <v>45127</v>
      </c>
      <c r="I94" t="s">
        <v>648</v>
      </c>
      <c r="J94" t="str">
        <f t="shared" si="26"/>
        <v>Americas → Brazil → Rio de Janeiro</v>
      </c>
      <c r="K94" s="3" t="str">
        <f t="shared" si="27"/>
        <v>Brazil-2023-06</v>
      </c>
      <c r="L94" t="s">
        <v>655</v>
      </c>
      <c r="M94" t="s">
        <v>692</v>
      </c>
      <c r="N94" t="s">
        <v>703</v>
      </c>
      <c r="O94" t="s">
        <v>707</v>
      </c>
      <c r="P94" t="s">
        <v>718</v>
      </c>
      <c r="Q94" t="s">
        <v>728</v>
      </c>
      <c r="R94" t="s">
        <v>826</v>
      </c>
      <c r="S94" s="5">
        <v>804.01</v>
      </c>
      <c r="T94" s="5">
        <v>1405.07</v>
      </c>
      <c r="U94" s="5" t="str">
        <f t="shared" si="28"/>
        <v>Valid</v>
      </c>
      <c r="V94" s="5">
        <f t="shared" si="19"/>
        <v>1405.07</v>
      </c>
      <c r="W94" s="5" t="str">
        <f t="shared" si="29"/>
        <v>Medium</v>
      </c>
      <c r="X94" s="5">
        <v>9.6000000000000002E-2</v>
      </c>
      <c r="Y94" s="5" t="str">
        <f t="shared" si="30"/>
        <v>Valid</v>
      </c>
      <c r="Z94" s="5">
        <f t="shared" si="31"/>
        <v>9.6000000000000002E-2</v>
      </c>
      <c r="AA94" s="5">
        <v>8</v>
      </c>
      <c r="AB94">
        <f t="shared" si="32"/>
        <v>10161.46624</v>
      </c>
      <c r="AC94">
        <f t="shared" si="20"/>
        <v>6432.08</v>
      </c>
      <c r="AD94">
        <f t="shared" si="33"/>
        <v>3729.3862399999998</v>
      </c>
      <c r="AE94">
        <f t="shared" si="34"/>
        <v>0.36701260939287439</v>
      </c>
      <c r="AF94">
        <f t="shared" si="35"/>
        <v>1</v>
      </c>
      <c r="AG94">
        <f t="shared" si="36"/>
        <v>0</v>
      </c>
      <c r="AK94">
        <f>AA94*(1+What_if_Analysis!$B$4)</f>
        <v>9.6</v>
      </c>
      <c r="AL94" s="5">
        <f>MIN(Z94,What_if_Analysis!$B$2)</f>
        <v>0.05</v>
      </c>
      <c r="AM94">
        <f t="shared" si="37"/>
        <v>12814.238399999998</v>
      </c>
      <c r="AN94">
        <f>AM94-(AK94*(T94*(1+What_if_Analysis!$B$3)))</f>
        <v>-2023.3008000000009</v>
      </c>
    </row>
    <row r="95" spans="1:40" x14ac:dyDescent="0.3">
      <c r="A95" t="s">
        <v>108</v>
      </c>
      <c r="B95" s="3">
        <v>45569</v>
      </c>
      <c r="C95" s="3" t="str">
        <f t="shared" si="21"/>
        <v>Oct-2024</v>
      </c>
      <c r="D95" s="3" t="str">
        <f t="shared" si="22"/>
        <v>Q4-2024</v>
      </c>
      <c r="E95" s="3">
        <v>45598</v>
      </c>
      <c r="F95" s="3" t="str">
        <f t="shared" si="23"/>
        <v>Valid</v>
      </c>
      <c r="G95" s="12">
        <f t="shared" si="24"/>
        <v>29</v>
      </c>
      <c r="H95" s="3">
        <f t="shared" si="25"/>
        <v>45598</v>
      </c>
      <c r="I95" t="s">
        <v>646</v>
      </c>
      <c r="J95" t="str">
        <f t="shared" si="26"/>
        <v>Africa → Nigeria → Abuja</v>
      </c>
      <c r="K95" s="3" t="str">
        <f t="shared" si="27"/>
        <v>Nigeria-2024-10</v>
      </c>
      <c r="L95" t="s">
        <v>651</v>
      </c>
      <c r="M95" t="s">
        <v>669</v>
      </c>
      <c r="N95" t="s">
        <v>701</v>
      </c>
      <c r="O95" t="s">
        <v>710</v>
      </c>
      <c r="P95" t="s">
        <v>721</v>
      </c>
      <c r="Q95" t="s">
        <v>733</v>
      </c>
      <c r="R95" t="s">
        <v>827</v>
      </c>
      <c r="S95" s="5">
        <v>412.09</v>
      </c>
      <c r="T95" s="5">
        <v>968.94</v>
      </c>
      <c r="U95" s="5" t="str">
        <f t="shared" si="28"/>
        <v>Valid</v>
      </c>
      <c r="V95" s="5">
        <f t="shared" si="19"/>
        <v>968.94</v>
      </c>
      <c r="W95" s="5" t="str">
        <f t="shared" si="29"/>
        <v>Medium</v>
      </c>
      <c r="X95" s="5">
        <v>9.9000000000000005E-2</v>
      </c>
      <c r="Y95" s="5" t="str">
        <f t="shared" si="30"/>
        <v>Valid</v>
      </c>
      <c r="Z95" s="5">
        <f t="shared" si="31"/>
        <v>9.9000000000000005E-2</v>
      </c>
      <c r="AA95" s="5">
        <v>23</v>
      </c>
      <c r="AB95">
        <f t="shared" si="32"/>
        <v>20079.343620000003</v>
      </c>
      <c r="AC95">
        <f t="shared" si="20"/>
        <v>9478.07</v>
      </c>
      <c r="AD95">
        <f t="shared" si="33"/>
        <v>10601.273620000004</v>
      </c>
      <c r="AE95">
        <f t="shared" si="34"/>
        <v>0.52796913189137418</v>
      </c>
      <c r="AF95">
        <f t="shared" si="35"/>
        <v>0</v>
      </c>
      <c r="AG95">
        <f t="shared" si="36"/>
        <v>0</v>
      </c>
      <c r="AK95">
        <f>AA95*(1+What_if_Analysis!$B$4)</f>
        <v>27.599999999999998</v>
      </c>
      <c r="AL95" s="5">
        <f>MIN(Z95,What_if_Analysis!$B$2)</f>
        <v>0.05</v>
      </c>
      <c r="AM95">
        <f t="shared" si="37"/>
        <v>25405.606799999998</v>
      </c>
      <c r="AN95">
        <f>AM95-(AK95*(T95*(1+What_if_Analysis!$B$3)))</f>
        <v>-4011.4116000000031</v>
      </c>
    </row>
    <row r="96" spans="1:40" x14ac:dyDescent="0.3">
      <c r="A96" t="s">
        <v>109</v>
      </c>
      <c r="B96" s="3">
        <v>45910</v>
      </c>
      <c r="C96" s="3" t="str">
        <f t="shared" si="21"/>
        <v>Sept-2025</v>
      </c>
      <c r="D96" s="3" t="str">
        <f t="shared" si="22"/>
        <v>Q3-2025</v>
      </c>
      <c r="E96" s="3">
        <v>45930</v>
      </c>
      <c r="F96" s="3" t="str">
        <f t="shared" si="23"/>
        <v>Valid</v>
      </c>
      <c r="G96" s="12">
        <f t="shared" si="24"/>
        <v>20</v>
      </c>
      <c r="H96" s="3">
        <f t="shared" si="25"/>
        <v>45930</v>
      </c>
      <c r="I96" t="s">
        <v>646</v>
      </c>
      <c r="J96" t="str">
        <f t="shared" si="26"/>
        <v>Africa → Kenya → Mombasa</v>
      </c>
      <c r="K96" s="3" t="str">
        <f t="shared" si="27"/>
        <v>Kenya-2025-09</v>
      </c>
      <c r="L96" t="s">
        <v>650</v>
      </c>
      <c r="M96" t="s">
        <v>675</v>
      </c>
      <c r="N96" t="s">
        <v>701</v>
      </c>
      <c r="O96" t="s">
        <v>711</v>
      </c>
      <c r="P96" t="s">
        <v>716</v>
      </c>
      <c r="Q96" t="s">
        <v>730</v>
      </c>
      <c r="R96" t="s">
        <v>828</v>
      </c>
      <c r="S96" s="5">
        <v>1009.48</v>
      </c>
      <c r="T96" s="5">
        <v>1088.81</v>
      </c>
      <c r="U96" s="5" t="str">
        <f t="shared" si="28"/>
        <v>Valid</v>
      </c>
      <c r="V96" s="5">
        <f t="shared" si="19"/>
        <v>1088.81</v>
      </c>
      <c r="W96" s="5" t="str">
        <f t="shared" si="29"/>
        <v>Medium</v>
      </c>
      <c r="X96" s="5">
        <v>0.16</v>
      </c>
      <c r="Y96" s="5" t="str">
        <f t="shared" si="30"/>
        <v>Valid</v>
      </c>
      <c r="Z96" s="5">
        <f t="shared" si="31"/>
        <v>0.16</v>
      </c>
      <c r="AA96" s="5">
        <v>6</v>
      </c>
      <c r="AB96">
        <f t="shared" si="32"/>
        <v>5487.6023999999998</v>
      </c>
      <c r="AC96">
        <f t="shared" si="20"/>
        <v>6056.88</v>
      </c>
      <c r="AD96">
        <f t="shared" si="33"/>
        <v>-569.27760000000035</v>
      </c>
      <c r="AE96">
        <f t="shared" si="34"/>
        <v>-0.10373885688219693</v>
      </c>
      <c r="AF96">
        <f t="shared" si="35"/>
        <v>0</v>
      </c>
      <c r="AG96">
        <f t="shared" si="36"/>
        <v>0</v>
      </c>
      <c r="AK96">
        <f>AA96*(1+What_if_Analysis!$B$4)</f>
        <v>7.1999999999999993</v>
      </c>
      <c r="AL96" s="5">
        <f>MIN(Z96,What_if_Analysis!$B$2)</f>
        <v>0.05</v>
      </c>
      <c r="AM96">
        <f t="shared" si="37"/>
        <v>7447.460399999999</v>
      </c>
      <c r="AN96">
        <f>AM96-(AK96*(T96*(1+What_if_Analysis!$B$3)))</f>
        <v>-1175.9147999999996</v>
      </c>
    </row>
    <row r="97" spans="1:40" x14ac:dyDescent="0.3">
      <c r="A97" t="s">
        <v>110</v>
      </c>
      <c r="B97" s="3">
        <v>45022</v>
      </c>
      <c r="C97" s="3" t="str">
        <f t="shared" si="21"/>
        <v>Apr-2023</v>
      </c>
      <c r="D97" s="3" t="str">
        <f t="shared" si="22"/>
        <v>Q2-2023</v>
      </c>
      <c r="E97" s="3">
        <v>45043</v>
      </c>
      <c r="F97" s="3" t="str">
        <f t="shared" si="23"/>
        <v>Valid</v>
      </c>
      <c r="G97" s="12">
        <f t="shared" si="24"/>
        <v>21</v>
      </c>
      <c r="H97" s="3">
        <f t="shared" si="25"/>
        <v>45043</v>
      </c>
      <c r="I97" t="s">
        <v>649</v>
      </c>
      <c r="J97" t="str">
        <f t="shared" si="26"/>
        <v>Europe → United Kingdom → Manchester</v>
      </c>
      <c r="K97" s="3" t="str">
        <f t="shared" si="27"/>
        <v>United Kingdom-2023-04</v>
      </c>
      <c r="L97" t="s">
        <v>658</v>
      </c>
      <c r="M97" t="s">
        <v>693</v>
      </c>
      <c r="N97" t="s">
        <v>706</v>
      </c>
      <c r="O97" t="s">
        <v>710</v>
      </c>
      <c r="P97" t="s">
        <v>714</v>
      </c>
      <c r="Q97" t="s">
        <v>728</v>
      </c>
      <c r="R97" t="s">
        <v>829</v>
      </c>
      <c r="S97" s="5">
        <v>1084.79</v>
      </c>
      <c r="T97" s="5">
        <v>2484.9899999999998</v>
      </c>
      <c r="U97" s="5" t="str">
        <f t="shared" si="28"/>
        <v>Valid</v>
      </c>
      <c r="V97" s="5">
        <f t="shared" si="19"/>
        <v>2484.9899999999998</v>
      </c>
      <c r="W97" s="5" t="str">
        <f t="shared" si="29"/>
        <v>High</v>
      </c>
      <c r="X97" s="5">
        <v>3.4000000000000002E-2</v>
      </c>
      <c r="Y97" s="5" t="str">
        <f t="shared" si="30"/>
        <v>Valid</v>
      </c>
      <c r="Z97" s="5">
        <f t="shared" si="31"/>
        <v>3.4000000000000002E-2</v>
      </c>
      <c r="AA97" s="5">
        <v>18</v>
      </c>
      <c r="AB97">
        <f t="shared" si="32"/>
        <v>43209.006119999991</v>
      </c>
      <c r="AC97">
        <f t="shared" si="20"/>
        <v>19526.22</v>
      </c>
      <c r="AD97">
        <f t="shared" si="33"/>
        <v>23682.78611999999</v>
      </c>
      <c r="AE97">
        <f t="shared" si="34"/>
        <v>0.54809837685755114</v>
      </c>
      <c r="AF97">
        <f t="shared" si="35"/>
        <v>0</v>
      </c>
      <c r="AG97">
        <f t="shared" si="36"/>
        <v>0</v>
      </c>
      <c r="AK97">
        <f>AA97*(1+What_if_Analysis!$B$4)</f>
        <v>21.599999999999998</v>
      </c>
      <c r="AL97" s="5">
        <f>MIN(Z97,What_if_Analysis!$B$2)</f>
        <v>3.4000000000000002E-2</v>
      </c>
      <c r="AM97">
        <f t="shared" si="37"/>
        <v>51850.807343999993</v>
      </c>
      <c r="AN97">
        <f>AM97-(AK97*(T97*(1+What_if_Analysis!$B$3)))</f>
        <v>-7192.5550560000047</v>
      </c>
    </row>
    <row r="98" spans="1:40" x14ac:dyDescent="0.3">
      <c r="A98" t="s">
        <v>111</v>
      </c>
      <c r="B98" s="3">
        <v>45870</v>
      </c>
      <c r="C98" s="3" t="str">
        <f t="shared" si="21"/>
        <v>Aug-2025</v>
      </c>
      <c r="D98" s="3" t="str">
        <f t="shared" si="22"/>
        <v>Q3-2025</v>
      </c>
      <c r="E98" s="3">
        <v>45885</v>
      </c>
      <c r="F98" s="3" t="str">
        <f t="shared" si="23"/>
        <v>Valid</v>
      </c>
      <c r="G98" s="12">
        <f t="shared" si="24"/>
        <v>15</v>
      </c>
      <c r="H98" s="3">
        <f t="shared" si="25"/>
        <v>45885</v>
      </c>
      <c r="I98" t="s">
        <v>647</v>
      </c>
      <c r="J98" t="str">
        <f t="shared" si="26"/>
        <v>Asia → India → unknown</v>
      </c>
      <c r="K98" s="3" t="str">
        <f t="shared" si="27"/>
        <v>India-2025-08</v>
      </c>
      <c r="L98" t="s">
        <v>654</v>
      </c>
      <c r="M98" t="s">
        <v>1422</v>
      </c>
      <c r="N98" t="s">
        <v>706</v>
      </c>
      <c r="O98" t="s">
        <v>711</v>
      </c>
      <c r="P98" t="s">
        <v>719</v>
      </c>
      <c r="Q98" t="s">
        <v>732</v>
      </c>
      <c r="R98" t="s">
        <v>830</v>
      </c>
      <c r="S98" s="5">
        <v>24.44</v>
      </c>
      <c r="T98" s="5">
        <v>28.69</v>
      </c>
      <c r="U98" s="5" t="str">
        <f t="shared" si="28"/>
        <v>Valid</v>
      </c>
      <c r="V98" s="5">
        <f t="shared" si="19"/>
        <v>28.69</v>
      </c>
      <c r="W98" s="5" t="str">
        <f t="shared" si="29"/>
        <v>Low</v>
      </c>
      <c r="X98" s="5">
        <v>0.14599999999999999</v>
      </c>
      <c r="Y98" s="5" t="str">
        <f t="shared" si="30"/>
        <v>Valid</v>
      </c>
      <c r="Z98" s="5">
        <f t="shared" si="31"/>
        <v>0.14599999999999999</v>
      </c>
      <c r="AA98" s="5">
        <v>6</v>
      </c>
      <c r="AB98">
        <f t="shared" si="32"/>
        <v>147.00756000000001</v>
      </c>
      <c r="AC98">
        <f t="shared" si="20"/>
        <v>146.64000000000001</v>
      </c>
      <c r="AD98">
        <f t="shared" si="33"/>
        <v>0.36755999999999744</v>
      </c>
      <c r="AE98">
        <f t="shared" si="34"/>
        <v>2.5002795774584476E-3</v>
      </c>
      <c r="AF98">
        <f t="shared" si="35"/>
        <v>0</v>
      </c>
      <c r="AG98">
        <f t="shared" si="36"/>
        <v>0</v>
      </c>
      <c r="AK98">
        <f>AA98*(1+What_if_Analysis!$B$4)</f>
        <v>7.1999999999999993</v>
      </c>
      <c r="AL98" s="5">
        <f>MIN(Z98,What_if_Analysis!$B$2)</f>
        <v>0.05</v>
      </c>
      <c r="AM98">
        <f t="shared" si="37"/>
        <v>196.23959999999997</v>
      </c>
      <c r="AN98">
        <f>AM98-(AK98*(T98*(1+What_if_Analysis!$B$3)))</f>
        <v>-30.985200000000049</v>
      </c>
    </row>
    <row r="99" spans="1:40" x14ac:dyDescent="0.3">
      <c r="A99" t="s">
        <v>112</v>
      </c>
      <c r="B99" s="3">
        <v>45440</v>
      </c>
      <c r="C99" s="3" t="str">
        <f t="shared" si="21"/>
        <v>May-2024</v>
      </c>
      <c r="D99" s="3" t="str">
        <f t="shared" si="22"/>
        <v>Q2-2024</v>
      </c>
      <c r="E99" s="3">
        <v>45438</v>
      </c>
      <c r="F99" s="3" t="str">
        <f t="shared" si="23"/>
        <v>Invalid RequiredDate</v>
      </c>
      <c r="G99" s="12">
        <f t="shared" si="24"/>
        <v>-2</v>
      </c>
      <c r="H99" s="3">
        <f t="shared" si="25"/>
        <v>45466</v>
      </c>
      <c r="I99" t="s">
        <v>646</v>
      </c>
      <c r="J99" t="str">
        <f t="shared" si="26"/>
        <v>Africa → Nigeria → Abuja</v>
      </c>
      <c r="K99" s="3" t="str">
        <f t="shared" si="27"/>
        <v>Nigeria-2024-05</v>
      </c>
      <c r="L99" t="s">
        <v>651</v>
      </c>
      <c r="M99" t="s">
        <v>669</v>
      </c>
      <c r="N99" t="s">
        <v>706</v>
      </c>
      <c r="O99" t="s">
        <v>708</v>
      </c>
      <c r="P99" t="s">
        <v>721</v>
      </c>
      <c r="Q99" t="s">
        <v>733</v>
      </c>
      <c r="R99" t="s">
        <v>831</v>
      </c>
      <c r="S99" s="5">
        <v>1227.08</v>
      </c>
      <c r="T99" s="5">
        <v>1896.62</v>
      </c>
      <c r="U99" s="5" t="str">
        <f t="shared" si="28"/>
        <v>Valid</v>
      </c>
      <c r="V99" s="5">
        <f t="shared" si="19"/>
        <v>1896.62</v>
      </c>
      <c r="W99" s="5" t="str">
        <f t="shared" si="29"/>
        <v>Medium</v>
      </c>
      <c r="X99" s="5">
        <v>0</v>
      </c>
      <c r="Y99" s="5" t="str">
        <f t="shared" si="30"/>
        <v>Valid</v>
      </c>
      <c r="Z99" s="5">
        <f t="shared" si="31"/>
        <v>0</v>
      </c>
      <c r="AA99" s="5">
        <v>18</v>
      </c>
      <c r="AB99">
        <f t="shared" si="32"/>
        <v>34139.159999999996</v>
      </c>
      <c r="AC99">
        <f t="shared" si="20"/>
        <v>22087.439999999999</v>
      </c>
      <c r="AD99">
        <f t="shared" si="33"/>
        <v>12051.719999999998</v>
      </c>
      <c r="AE99">
        <f t="shared" si="34"/>
        <v>0.353017473189147</v>
      </c>
      <c r="AF99">
        <f t="shared" si="35"/>
        <v>1</v>
      </c>
      <c r="AG99">
        <f t="shared" si="36"/>
        <v>0</v>
      </c>
      <c r="AK99">
        <f>AA99*(1+What_if_Analysis!$B$4)</f>
        <v>21.599999999999998</v>
      </c>
      <c r="AL99" s="5">
        <f>MIN(Z99,What_if_Analysis!$B$2)</f>
        <v>0</v>
      </c>
      <c r="AM99">
        <f t="shared" si="37"/>
        <v>40966.991999999991</v>
      </c>
      <c r="AN99">
        <f>AM99-(AK99*(T99*(1+What_if_Analysis!$B$3)))</f>
        <v>-4096.69920000001</v>
      </c>
    </row>
    <row r="100" spans="1:40" x14ac:dyDescent="0.3">
      <c r="A100" t="s">
        <v>113</v>
      </c>
      <c r="B100" s="3">
        <v>45860</v>
      </c>
      <c r="C100" s="3" t="str">
        <f t="shared" si="21"/>
        <v>Jul-2025</v>
      </c>
      <c r="D100" s="3" t="str">
        <f t="shared" si="22"/>
        <v>Q3-2025</v>
      </c>
      <c r="E100" s="3">
        <v>45887</v>
      </c>
      <c r="F100" s="3" t="str">
        <f t="shared" si="23"/>
        <v>Valid</v>
      </c>
      <c r="G100" s="12">
        <f t="shared" si="24"/>
        <v>27</v>
      </c>
      <c r="H100" s="3">
        <f t="shared" si="25"/>
        <v>45887</v>
      </c>
      <c r="I100" t="s">
        <v>647</v>
      </c>
      <c r="J100" t="str">
        <f t="shared" si="26"/>
        <v>Asia → China → Shenzhen</v>
      </c>
      <c r="K100" s="3" t="str">
        <f t="shared" si="27"/>
        <v>China-2025-07</v>
      </c>
      <c r="L100" t="s">
        <v>659</v>
      </c>
      <c r="M100" t="s">
        <v>676</v>
      </c>
      <c r="N100" t="s">
        <v>703</v>
      </c>
      <c r="O100" t="s">
        <v>709</v>
      </c>
      <c r="P100" t="s">
        <v>724</v>
      </c>
      <c r="Q100" t="s">
        <v>729</v>
      </c>
      <c r="R100" t="s">
        <v>832</v>
      </c>
      <c r="S100" s="5">
        <v>547.32000000000005</v>
      </c>
      <c r="T100" s="5">
        <v>419.17</v>
      </c>
      <c r="U100" s="5" t="str">
        <f t="shared" si="28"/>
        <v>Valid</v>
      </c>
      <c r="V100" s="5">
        <f t="shared" si="19"/>
        <v>419.17</v>
      </c>
      <c r="W100" s="5" t="str">
        <f t="shared" si="29"/>
        <v>Low</v>
      </c>
      <c r="X100" s="5">
        <v>9.1999999999999998E-2</v>
      </c>
      <c r="Y100" s="5" t="str">
        <f t="shared" si="30"/>
        <v>Valid</v>
      </c>
      <c r="Z100" s="5">
        <f t="shared" si="31"/>
        <v>9.1999999999999998E-2</v>
      </c>
      <c r="AA100" s="5">
        <v>14</v>
      </c>
      <c r="AB100">
        <f t="shared" si="32"/>
        <v>5328.4890400000004</v>
      </c>
      <c r="AC100">
        <f t="shared" si="20"/>
        <v>7662.4800000000005</v>
      </c>
      <c r="AD100">
        <f t="shared" si="33"/>
        <v>-2333.9909600000001</v>
      </c>
      <c r="AE100">
        <f t="shared" si="34"/>
        <v>-0.43802116181137907</v>
      </c>
      <c r="AF100">
        <f t="shared" si="35"/>
        <v>0</v>
      </c>
      <c r="AG100">
        <f t="shared" si="36"/>
        <v>0</v>
      </c>
      <c r="AK100">
        <f>AA100*(1+What_if_Analysis!$B$4)</f>
        <v>16.8</v>
      </c>
      <c r="AL100" s="5">
        <f>MIN(Z100,What_if_Analysis!$B$2)</f>
        <v>0.05</v>
      </c>
      <c r="AM100">
        <f t="shared" si="37"/>
        <v>6689.9531999999999</v>
      </c>
      <c r="AN100">
        <f>AM100-(AK100*(T100*(1+What_if_Analysis!$B$3)))</f>
        <v>-1056.3084000000008</v>
      </c>
    </row>
    <row r="101" spans="1:40" x14ac:dyDescent="0.3">
      <c r="A101" t="s">
        <v>114</v>
      </c>
      <c r="B101" s="3">
        <v>44985</v>
      </c>
      <c r="C101" s="3" t="str">
        <f t="shared" si="21"/>
        <v>Feb-2023</v>
      </c>
      <c r="D101" s="3" t="str">
        <f t="shared" si="22"/>
        <v>Q1-2023</v>
      </c>
      <c r="E101" s="3">
        <v>45005</v>
      </c>
      <c r="F101" s="3" t="str">
        <f t="shared" si="23"/>
        <v>Valid</v>
      </c>
      <c r="G101" s="12">
        <f t="shared" si="24"/>
        <v>20</v>
      </c>
      <c r="H101" s="3">
        <f t="shared" si="25"/>
        <v>45005</v>
      </c>
      <c r="I101" t="s">
        <v>649</v>
      </c>
      <c r="J101" t="str">
        <f t="shared" si="26"/>
        <v>Europe → Germany → Berlin</v>
      </c>
      <c r="K101" s="3" t="str">
        <f t="shared" si="27"/>
        <v>Germany-2023-02</v>
      </c>
      <c r="L101" t="s">
        <v>656</v>
      </c>
      <c r="M101" t="s">
        <v>671</v>
      </c>
      <c r="N101" t="s">
        <v>705</v>
      </c>
      <c r="O101" t="s">
        <v>711</v>
      </c>
      <c r="P101" t="s">
        <v>722</v>
      </c>
      <c r="Q101" t="s">
        <v>731</v>
      </c>
      <c r="R101" t="s">
        <v>833</v>
      </c>
      <c r="S101" s="5">
        <v>1200.78</v>
      </c>
      <c r="T101" s="5">
        <v>2001.17</v>
      </c>
      <c r="U101" s="5" t="str">
        <f t="shared" si="28"/>
        <v>Valid</v>
      </c>
      <c r="V101" s="5">
        <f t="shared" si="19"/>
        <v>2001.17</v>
      </c>
      <c r="W101" s="5" t="str">
        <f t="shared" si="29"/>
        <v>High</v>
      </c>
      <c r="X101" s="5">
        <v>0.29199999999999998</v>
      </c>
      <c r="Y101" s="5" t="str">
        <f t="shared" si="30"/>
        <v>Valid</v>
      </c>
      <c r="Z101" s="5">
        <f t="shared" si="31"/>
        <v>0.29199999999999998</v>
      </c>
      <c r="AA101" s="5">
        <v>18</v>
      </c>
      <c r="AB101">
        <f t="shared" si="32"/>
        <v>25502.910479999999</v>
      </c>
      <c r="AC101">
        <f t="shared" si="20"/>
        <v>21614.04</v>
      </c>
      <c r="AD101">
        <f t="shared" si="33"/>
        <v>3888.8704799999978</v>
      </c>
      <c r="AE101">
        <f t="shared" si="34"/>
        <v>0.15248732034132906</v>
      </c>
      <c r="AF101">
        <f t="shared" si="35"/>
        <v>0</v>
      </c>
      <c r="AG101">
        <f t="shared" si="36"/>
        <v>1</v>
      </c>
      <c r="AK101">
        <f>AA101*(1+What_if_Analysis!$B$4)</f>
        <v>21.599999999999998</v>
      </c>
      <c r="AL101" s="5">
        <f>MIN(Z101,What_if_Analysis!$B$2)</f>
        <v>0.05</v>
      </c>
      <c r="AM101">
        <f t="shared" si="37"/>
        <v>41064.008399999999</v>
      </c>
      <c r="AN101">
        <f>AM101-(AK101*(T101*(1+What_if_Analysis!$B$3)))</f>
        <v>-6483.7908000000025</v>
      </c>
    </row>
    <row r="102" spans="1:40" x14ac:dyDescent="0.3">
      <c r="A102" t="s">
        <v>115</v>
      </c>
      <c r="B102" s="3">
        <v>45684</v>
      </c>
      <c r="C102" s="3" t="str">
        <f t="shared" si="21"/>
        <v>Jan-2025</v>
      </c>
      <c r="D102" s="3" t="str">
        <f t="shared" si="22"/>
        <v>Q1-2025</v>
      </c>
      <c r="E102" s="3">
        <v>45703</v>
      </c>
      <c r="F102" s="3" t="str">
        <f t="shared" si="23"/>
        <v>Valid</v>
      </c>
      <c r="G102" s="12">
        <f t="shared" si="24"/>
        <v>19</v>
      </c>
      <c r="H102" s="3">
        <f t="shared" si="25"/>
        <v>45703</v>
      </c>
      <c r="I102" t="s">
        <v>647</v>
      </c>
      <c r="J102" t="str">
        <f t="shared" si="26"/>
        <v>Asia → China → Shenzhen</v>
      </c>
      <c r="K102" s="3" t="str">
        <f t="shared" si="27"/>
        <v>China-2025-01</v>
      </c>
      <c r="L102" t="s">
        <v>659</v>
      </c>
      <c r="M102" t="s">
        <v>676</v>
      </c>
      <c r="N102" t="s">
        <v>703</v>
      </c>
      <c r="O102" t="s">
        <v>711</v>
      </c>
      <c r="P102" t="s">
        <v>716</v>
      </c>
      <c r="Q102" t="s">
        <v>730</v>
      </c>
      <c r="R102" t="s">
        <v>834</v>
      </c>
      <c r="S102" s="5">
        <v>1253.22</v>
      </c>
      <c r="T102" s="5">
        <v>3104.71</v>
      </c>
      <c r="U102" s="5" t="str">
        <f t="shared" si="28"/>
        <v>Valid</v>
      </c>
      <c r="V102" s="5">
        <f t="shared" si="19"/>
        <v>3104.71</v>
      </c>
      <c r="W102" s="5" t="str">
        <f t="shared" si="29"/>
        <v>High</v>
      </c>
      <c r="X102" s="5">
        <v>0</v>
      </c>
      <c r="Y102" s="5" t="str">
        <f t="shared" si="30"/>
        <v>Valid</v>
      </c>
      <c r="Z102" s="5">
        <f t="shared" si="31"/>
        <v>0</v>
      </c>
      <c r="AA102" s="5">
        <v>17</v>
      </c>
      <c r="AB102">
        <f t="shared" si="32"/>
        <v>52780.07</v>
      </c>
      <c r="AC102">
        <f t="shared" si="20"/>
        <v>21304.74</v>
      </c>
      <c r="AD102">
        <f t="shared" si="33"/>
        <v>31475.329999999998</v>
      </c>
      <c r="AE102">
        <f t="shared" si="34"/>
        <v>0.59634877331538205</v>
      </c>
      <c r="AF102">
        <f t="shared" si="35"/>
        <v>0</v>
      </c>
      <c r="AG102">
        <f t="shared" si="36"/>
        <v>0</v>
      </c>
      <c r="AK102">
        <f>AA102*(1+What_if_Analysis!$B$4)</f>
        <v>20.399999999999999</v>
      </c>
      <c r="AL102" s="5">
        <f>MIN(Z102,What_if_Analysis!$B$2)</f>
        <v>0</v>
      </c>
      <c r="AM102">
        <f t="shared" si="37"/>
        <v>63336.083999999995</v>
      </c>
      <c r="AN102">
        <f>AM102-(AK102*(T102*(1+What_if_Analysis!$B$3)))</f>
        <v>-6333.6084000000046</v>
      </c>
    </row>
    <row r="103" spans="1:40" x14ac:dyDescent="0.3">
      <c r="A103" t="s">
        <v>116</v>
      </c>
      <c r="B103" s="3">
        <v>45304</v>
      </c>
      <c r="C103" s="3" t="str">
        <f t="shared" si="21"/>
        <v>Jan-2024</v>
      </c>
      <c r="D103" s="3" t="str">
        <f t="shared" si="22"/>
        <v>Q1-2024</v>
      </c>
      <c r="E103" s="3">
        <v>45313</v>
      </c>
      <c r="F103" s="3" t="str">
        <f t="shared" si="23"/>
        <v>Valid</v>
      </c>
      <c r="G103" s="12">
        <f t="shared" si="24"/>
        <v>9</v>
      </c>
      <c r="H103" s="3">
        <f t="shared" si="25"/>
        <v>45313</v>
      </c>
      <c r="I103" t="s">
        <v>647</v>
      </c>
      <c r="J103" t="str">
        <f t="shared" si="26"/>
        <v>Asia → India → Mumbai</v>
      </c>
      <c r="K103" s="3" t="str">
        <f t="shared" si="27"/>
        <v>India-2024-01</v>
      </c>
      <c r="L103" t="s">
        <v>654</v>
      </c>
      <c r="M103" t="s">
        <v>691</v>
      </c>
      <c r="N103" t="s">
        <v>706</v>
      </c>
      <c r="O103" t="s">
        <v>709</v>
      </c>
      <c r="P103" t="s">
        <v>713</v>
      </c>
      <c r="Q103" t="s">
        <v>727</v>
      </c>
      <c r="R103" t="s">
        <v>835</v>
      </c>
      <c r="S103" s="5">
        <v>313.60000000000002</v>
      </c>
      <c r="T103" s="5">
        <v>334.28</v>
      </c>
      <c r="U103" s="5" t="str">
        <f t="shared" si="28"/>
        <v>Valid</v>
      </c>
      <c r="V103" s="5">
        <f t="shared" si="19"/>
        <v>334.28</v>
      </c>
      <c r="W103" s="5" t="str">
        <f t="shared" si="29"/>
        <v>Low</v>
      </c>
      <c r="X103" s="5">
        <v>0.14000000000000001</v>
      </c>
      <c r="Y103" s="5" t="str">
        <f t="shared" si="30"/>
        <v>Valid</v>
      </c>
      <c r="Z103" s="5">
        <f t="shared" si="31"/>
        <v>0.14000000000000001</v>
      </c>
      <c r="AA103" s="5">
        <v>22</v>
      </c>
      <c r="AB103">
        <f t="shared" si="32"/>
        <v>6324.5775999999996</v>
      </c>
      <c r="AC103">
        <f t="shared" si="20"/>
        <v>6899.2000000000007</v>
      </c>
      <c r="AD103">
        <f t="shared" si="33"/>
        <v>-574.62240000000111</v>
      </c>
      <c r="AE103">
        <f t="shared" si="34"/>
        <v>-9.0855458868905517E-2</v>
      </c>
      <c r="AF103">
        <f t="shared" si="35"/>
        <v>0</v>
      </c>
      <c r="AG103">
        <f t="shared" si="36"/>
        <v>0</v>
      </c>
      <c r="AK103">
        <f>AA103*(1+What_if_Analysis!$B$4)</f>
        <v>26.4</v>
      </c>
      <c r="AL103" s="5">
        <f>MIN(Z103,What_if_Analysis!$B$2)</f>
        <v>0.05</v>
      </c>
      <c r="AM103">
        <f t="shared" si="37"/>
        <v>8383.7423999999974</v>
      </c>
      <c r="AN103">
        <f>AM103-(AK103*(T103*(1+What_if_Analysis!$B$3)))</f>
        <v>-1323.748800000003</v>
      </c>
    </row>
    <row r="104" spans="1:40" x14ac:dyDescent="0.3">
      <c r="A104" t="s">
        <v>117</v>
      </c>
      <c r="B104" s="3">
        <v>45747</v>
      </c>
      <c r="C104" s="3" t="str">
        <f t="shared" si="21"/>
        <v>Mar-2025</v>
      </c>
      <c r="D104" s="3" t="str">
        <f t="shared" si="22"/>
        <v>Q1-2025</v>
      </c>
      <c r="E104" s="3">
        <v>45751</v>
      </c>
      <c r="F104" s="3" t="str">
        <f t="shared" si="23"/>
        <v>Valid</v>
      </c>
      <c r="G104" s="12">
        <f t="shared" si="24"/>
        <v>4</v>
      </c>
      <c r="H104" s="3">
        <f t="shared" si="25"/>
        <v>45751</v>
      </c>
      <c r="I104" t="s">
        <v>646</v>
      </c>
      <c r="J104" t="str">
        <f t="shared" si="26"/>
        <v>Africa → Kenya → Nakuru</v>
      </c>
      <c r="K104" s="3" t="str">
        <f t="shared" si="27"/>
        <v>Kenya-2025-03</v>
      </c>
      <c r="L104" t="s">
        <v>650</v>
      </c>
      <c r="M104" t="s">
        <v>678</v>
      </c>
      <c r="N104" t="s">
        <v>701</v>
      </c>
      <c r="O104" t="s">
        <v>711</v>
      </c>
      <c r="P104" t="s">
        <v>712</v>
      </c>
      <c r="Q104" t="s">
        <v>731</v>
      </c>
      <c r="R104" t="s">
        <v>836</v>
      </c>
      <c r="S104" s="5">
        <v>862.08</v>
      </c>
      <c r="T104" s="5">
        <v>1952.83</v>
      </c>
      <c r="U104" s="5" t="str">
        <f t="shared" si="28"/>
        <v>Valid</v>
      </c>
      <c r="V104" s="5">
        <f t="shared" si="19"/>
        <v>1952.83</v>
      </c>
      <c r="W104" s="5" t="str">
        <f t="shared" si="29"/>
        <v>High</v>
      </c>
      <c r="X104" s="5">
        <v>0</v>
      </c>
      <c r="Y104" s="5" t="str">
        <f t="shared" si="30"/>
        <v>Valid</v>
      </c>
      <c r="Z104" s="5">
        <f t="shared" si="31"/>
        <v>0</v>
      </c>
      <c r="AA104" s="5">
        <v>7</v>
      </c>
      <c r="AB104">
        <f t="shared" si="32"/>
        <v>13669.81</v>
      </c>
      <c r="AC104">
        <f t="shared" si="20"/>
        <v>6034.56</v>
      </c>
      <c r="AD104">
        <f t="shared" si="33"/>
        <v>7635.2499999999991</v>
      </c>
      <c r="AE104">
        <f t="shared" si="34"/>
        <v>0.5585483631447693</v>
      </c>
      <c r="AF104">
        <f t="shared" si="35"/>
        <v>1</v>
      </c>
      <c r="AG104">
        <f t="shared" si="36"/>
        <v>0</v>
      </c>
      <c r="AK104">
        <f>AA104*(1+What_if_Analysis!$B$4)</f>
        <v>8.4</v>
      </c>
      <c r="AL104" s="5">
        <f>MIN(Z104,What_if_Analysis!$B$2)</f>
        <v>0</v>
      </c>
      <c r="AM104">
        <f t="shared" si="37"/>
        <v>16403.772000000001</v>
      </c>
      <c r="AN104">
        <f>AM104-(AK104*(T104*(1+What_if_Analysis!$B$3)))</f>
        <v>-1640.3772000000026</v>
      </c>
    </row>
    <row r="105" spans="1:40" x14ac:dyDescent="0.3">
      <c r="A105" t="s">
        <v>118</v>
      </c>
      <c r="B105" s="3">
        <v>45631</v>
      </c>
      <c r="C105" s="3" t="str">
        <f t="shared" si="21"/>
        <v>Dec-2024</v>
      </c>
      <c r="D105" s="3" t="str">
        <f t="shared" si="22"/>
        <v>Q4-2024</v>
      </c>
      <c r="E105" s="3">
        <v>45654</v>
      </c>
      <c r="F105" s="3" t="str">
        <f t="shared" si="23"/>
        <v>Valid</v>
      </c>
      <c r="G105" s="12">
        <f t="shared" si="24"/>
        <v>23</v>
      </c>
      <c r="H105" s="3">
        <f t="shared" si="25"/>
        <v>45654</v>
      </c>
      <c r="I105" t="s">
        <v>648</v>
      </c>
      <c r="J105" t="str">
        <f t="shared" si="26"/>
        <v>Americas → Canada → Vancouver</v>
      </c>
      <c r="K105" s="3" t="str">
        <f t="shared" si="27"/>
        <v>Canada-2024-12</v>
      </c>
      <c r="L105" t="s">
        <v>653</v>
      </c>
      <c r="M105" t="s">
        <v>688</v>
      </c>
      <c r="N105" t="s">
        <v>701</v>
      </c>
      <c r="O105" t="s">
        <v>711</v>
      </c>
      <c r="P105" t="s">
        <v>721</v>
      </c>
      <c r="Q105" t="s">
        <v>733</v>
      </c>
      <c r="R105" t="s">
        <v>837</v>
      </c>
      <c r="S105" s="5">
        <v>107.03</v>
      </c>
      <c r="T105" s="5">
        <v>242.29</v>
      </c>
      <c r="U105" s="5" t="str">
        <f t="shared" si="28"/>
        <v>Valid</v>
      </c>
      <c r="V105" s="5">
        <f t="shared" si="19"/>
        <v>242.29</v>
      </c>
      <c r="W105" s="5" t="str">
        <f t="shared" si="29"/>
        <v>Low</v>
      </c>
      <c r="X105" s="5">
        <v>0.18</v>
      </c>
      <c r="Y105" s="5" t="str">
        <f t="shared" si="30"/>
        <v>Valid</v>
      </c>
      <c r="Z105" s="5">
        <f t="shared" si="31"/>
        <v>0.18</v>
      </c>
      <c r="AA105" s="5">
        <v>30</v>
      </c>
      <c r="AB105">
        <f t="shared" si="32"/>
        <v>5960.3340000000007</v>
      </c>
      <c r="AC105">
        <f t="shared" si="20"/>
        <v>3210.9</v>
      </c>
      <c r="AD105">
        <f t="shared" si="33"/>
        <v>2749.4340000000007</v>
      </c>
      <c r="AE105">
        <f t="shared" si="34"/>
        <v>0.46128857879440988</v>
      </c>
      <c r="AF105">
        <f t="shared" si="35"/>
        <v>0</v>
      </c>
      <c r="AG105">
        <f t="shared" si="36"/>
        <v>0</v>
      </c>
      <c r="AK105">
        <f>AA105*(1+What_if_Analysis!$B$4)</f>
        <v>36</v>
      </c>
      <c r="AL105" s="5">
        <f>MIN(Z105,What_if_Analysis!$B$2)</f>
        <v>0.05</v>
      </c>
      <c r="AM105">
        <f t="shared" si="37"/>
        <v>8286.3179999999993</v>
      </c>
      <c r="AN105">
        <f>AM105-(AK105*(T105*(1+What_if_Analysis!$B$3)))</f>
        <v>-1308.3660000000018</v>
      </c>
    </row>
    <row r="106" spans="1:40" x14ac:dyDescent="0.3">
      <c r="A106" t="s">
        <v>119</v>
      </c>
      <c r="B106" s="3">
        <v>45549</v>
      </c>
      <c r="C106" s="3" t="str">
        <f t="shared" si="21"/>
        <v>Sept-2024</v>
      </c>
      <c r="D106" s="3" t="str">
        <f t="shared" si="22"/>
        <v>Q3-2024</v>
      </c>
      <c r="E106" s="3">
        <v>45570</v>
      </c>
      <c r="F106" s="3" t="str">
        <f t="shared" si="23"/>
        <v>Valid</v>
      </c>
      <c r="G106" s="12">
        <f t="shared" si="24"/>
        <v>21</v>
      </c>
      <c r="H106" s="3">
        <f t="shared" si="25"/>
        <v>45570</v>
      </c>
      <c r="I106" t="s">
        <v>647</v>
      </c>
      <c r="J106" t="str">
        <f t="shared" si="26"/>
        <v>Asia → China → Shanghai</v>
      </c>
      <c r="K106" s="3" t="str">
        <f t="shared" si="27"/>
        <v>China-2024-09</v>
      </c>
      <c r="L106" t="s">
        <v>659</v>
      </c>
      <c r="M106" t="s">
        <v>685</v>
      </c>
      <c r="N106" t="s">
        <v>705</v>
      </c>
      <c r="O106" t="s">
        <v>708</v>
      </c>
      <c r="P106" t="s">
        <v>722</v>
      </c>
      <c r="Q106" t="s">
        <v>731</v>
      </c>
      <c r="R106" t="s">
        <v>838</v>
      </c>
      <c r="S106" s="5">
        <v>1405.56</v>
      </c>
      <c r="T106" s="5">
        <v>2968.87</v>
      </c>
      <c r="U106" s="5" t="str">
        <f t="shared" si="28"/>
        <v>Valid</v>
      </c>
      <c r="V106" s="5">
        <f t="shared" si="19"/>
        <v>2968.87</v>
      </c>
      <c r="W106" s="5" t="str">
        <f t="shared" si="29"/>
        <v>High</v>
      </c>
      <c r="X106" s="5">
        <v>0.16900000000000001</v>
      </c>
      <c r="Y106" s="5" t="str">
        <f t="shared" si="30"/>
        <v>Valid</v>
      </c>
      <c r="Z106" s="5">
        <f t="shared" si="31"/>
        <v>0.16900000000000001</v>
      </c>
      <c r="AA106" s="5">
        <v>5</v>
      </c>
      <c r="AB106">
        <f t="shared" si="32"/>
        <v>12335.654849999999</v>
      </c>
      <c r="AC106">
        <f t="shared" si="20"/>
        <v>7027.7999999999993</v>
      </c>
      <c r="AD106">
        <f t="shared" si="33"/>
        <v>5307.8548499999997</v>
      </c>
      <c r="AE106">
        <f t="shared" si="34"/>
        <v>0.4302856163327235</v>
      </c>
      <c r="AF106">
        <f t="shared" si="35"/>
        <v>0</v>
      </c>
      <c r="AG106">
        <f t="shared" si="36"/>
        <v>0</v>
      </c>
      <c r="AK106">
        <f>AA106*(1+What_if_Analysis!$B$4)</f>
        <v>6</v>
      </c>
      <c r="AL106" s="5">
        <f>MIN(Z106,What_if_Analysis!$B$2)</f>
        <v>0.05</v>
      </c>
      <c r="AM106">
        <f t="shared" si="37"/>
        <v>16922.559000000001</v>
      </c>
      <c r="AN106">
        <f>AM106-(AK106*(T106*(1+What_if_Analysis!$B$3)))</f>
        <v>-2671.9830000000002</v>
      </c>
    </row>
    <row r="107" spans="1:40" x14ac:dyDescent="0.3">
      <c r="A107" t="s">
        <v>120</v>
      </c>
      <c r="B107" s="3">
        <v>45433</v>
      </c>
      <c r="C107" s="3" t="str">
        <f t="shared" si="21"/>
        <v>May-2024</v>
      </c>
      <c r="D107" s="3" t="str">
        <f t="shared" si="22"/>
        <v>Q2-2024</v>
      </c>
      <c r="E107" s="3">
        <v>45439</v>
      </c>
      <c r="F107" s="3" t="str">
        <f t="shared" si="23"/>
        <v>Valid</v>
      </c>
      <c r="G107" s="12">
        <f t="shared" si="24"/>
        <v>6</v>
      </c>
      <c r="H107" s="3">
        <f t="shared" si="25"/>
        <v>45439</v>
      </c>
      <c r="I107" t="s">
        <v>646</v>
      </c>
      <c r="J107" t="str">
        <f t="shared" si="26"/>
        <v>Africa → South Africa → Johannesburg</v>
      </c>
      <c r="K107" s="3" t="str">
        <f t="shared" si="27"/>
        <v>South Africa-2024-05</v>
      </c>
      <c r="L107" t="s">
        <v>661</v>
      </c>
      <c r="M107" t="s">
        <v>682</v>
      </c>
      <c r="N107" t="s">
        <v>703</v>
      </c>
      <c r="O107" t="s">
        <v>708</v>
      </c>
      <c r="P107" t="s">
        <v>724</v>
      </c>
      <c r="Q107" t="s">
        <v>727</v>
      </c>
      <c r="R107" t="s">
        <v>839</v>
      </c>
      <c r="S107" s="5">
        <v>1157.51</v>
      </c>
      <c r="T107" s="5">
        <v>1394.3</v>
      </c>
      <c r="U107" s="5" t="str">
        <f t="shared" si="28"/>
        <v>Valid</v>
      </c>
      <c r="V107" s="5">
        <f t="shared" si="19"/>
        <v>1394.3</v>
      </c>
      <c r="W107" s="5" t="str">
        <f t="shared" si="29"/>
        <v>Medium</v>
      </c>
      <c r="X107" s="5">
        <v>0.27800000000000002</v>
      </c>
      <c r="Y107" s="5" t="str">
        <f t="shared" si="30"/>
        <v>Valid</v>
      </c>
      <c r="Z107" s="5">
        <f t="shared" si="31"/>
        <v>0.27800000000000002</v>
      </c>
      <c r="AA107" s="5">
        <v>12</v>
      </c>
      <c r="AB107">
        <f t="shared" si="32"/>
        <v>12080.215199999999</v>
      </c>
      <c r="AC107">
        <f t="shared" si="20"/>
        <v>13890.119999999999</v>
      </c>
      <c r="AD107">
        <f t="shared" si="33"/>
        <v>-1809.9048000000003</v>
      </c>
      <c r="AE107">
        <f t="shared" si="34"/>
        <v>-0.14982388724333326</v>
      </c>
      <c r="AF107">
        <f t="shared" si="35"/>
        <v>1</v>
      </c>
      <c r="AG107">
        <f t="shared" si="36"/>
        <v>1</v>
      </c>
      <c r="AK107">
        <f>AA107*(1+What_if_Analysis!$B$4)</f>
        <v>14.399999999999999</v>
      </c>
      <c r="AL107" s="5">
        <f>MIN(Z107,What_if_Analysis!$B$2)</f>
        <v>0.05</v>
      </c>
      <c r="AM107">
        <f t="shared" si="37"/>
        <v>19074.023999999998</v>
      </c>
      <c r="AN107">
        <f>AM107-(AK107*(T107*(1+What_if_Analysis!$B$3)))</f>
        <v>-3011.6880000000019</v>
      </c>
    </row>
    <row r="108" spans="1:40" x14ac:dyDescent="0.3">
      <c r="A108" t="s">
        <v>121</v>
      </c>
      <c r="B108" s="3">
        <v>45057</v>
      </c>
      <c r="C108" s="3" t="str">
        <f t="shared" si="21"/>
        <v>May-2023</v>
      </c>
      <c r="D108" s="3" t="str">
        <f t="shared" si="22"/>
        <v>Q2-2023</v>
      </c>
      <c r="E108" s="3">
        <v>45084</v>
      </c>
      <c r="F108" s="3" t="str">
        <f t="shared" si="23"/>
        <v>Valid</v>
      </c>
      <c r="G108" s="12">
        <f t="shared" si="24"/>
        <v>27</v>
      </c>
      <c r="H108" s="3">
        <f t="shared" si="25"/>
        <v>45084</v>
      </c>
      <c r="I108" t="s">
        <v>646</v>
      </c>
      <c r="J108" t="str">
        <f t="shared" si="26"/>
        <v>Africa → Kenya → Mombasa</v>
      </c>
      <c r="K108" s="3" t="str">
        <f t="shared" si="27"/>
        <v>Kenya-2023-05</v>
      </c>
      <c r="L108" t="s">
        <v>650</v>
      </c>
      <c r="M108" t="s">
        <v>675</v>
      </c>
      <c r="N108" t="s">
        <v>701</v>
      </c>
      <c r="O108" t="s">
        <v>708</v>
      </c>
      <c r="P108" t="s">
        <v>713</v>
      </c>
      <c r="Q108" t="s">
        <v>730</v>
      </c>
      <c r="R108" t="s">
        <v>840</v>
      </c>
      <c r="S108" s="5">
        <v>12.85</v>
      </c>
      <c r="T108" s="5">
        <v>15.41</v>
      </c>
      <c r="U108" s="5" t="str">
        <f t="shared" si="28"/>
        <v>Valid</v>
      </c>
      <c r="V108" s="5">
        <f t="shared" si="19"/>
        <v>15.41</v>
      </c>
      <c r="W108" s="5" t="str">
        <f t="shared" si="29"/>
        <v>Low</v>
      </c>
      <c r="X108" s="5">
        <v>0.13700000000000001</v>
      </c>
      <c r="Y108" s="5" t="str">
        <f t="shared" si="30"/>
        <v>Valid</v>
      </c>
      <c r="Z108" s="5">
        <f t="shared" si="31"/>
        <v>0.13700000000000001</v>
      </c>
      <c r="AA108" s="5">
        <v>39</v>
      </c>
      <c r="AB108">
        <f t="shared" si="32"/>
        <v>518.65436999999997</v>
      </c>
      <c r="AC108">
        <f t="shared" si="20"/>
        <v>501.15</v>
      </c>
      <c r="AD108">
        <f t="shared" si="33"/>
        <v>17.504369999999994</v>
      </c>
      <c r="AE108">
        <f t="shared" si="34"/>
        <v>3.3749585489851353E-2</v>
      </c>
      <c r="AF108">
        <f t="shared" si="35"/>
        <v>0</v>
      </c>
      <c r="AG108">
        <f t="shared" si="36"/>
        <v>0</v>
      </c>
      <c r="AK108">
        <f>AA108*(1+What_if_Analysis!$B$4)</f>
        <v>46.8</v>
      </c>
      <c r="AL108" s="5">
        <f>MIN(Z108,What_if_Analysis!$B$2)</f>
        <v>0.05</v>
      </c>
      <c r="AM108">
        <f t="shared" si="37"/>
        <v>685.12860000000001</v>
      </c>
      <c r="AN108">
        <f>AM108-(AK108*(T108*(1+What_if_Analysis!$B$3)))</f>
        <v>-108.17819999999995</v>
      </c>
    </row>
    <row r="109" spans="1:40" x14ac:dyDescent="0.3">
      <c r="A109" t="s">
        <v>122</v>
      </c>
      <c r="B109" s="3">
        <v>45518</v>
      </c>
      <c r="C109" s="3" t="str">
        <f t="shared" si="21"/>
        <v>Aug-2024</v>
      </c>
      <c r="D109" s="3" t="str">
        <f t="shared" si="22"/>
        <v>Q3-2024</v>
      </c>
      <c r="E109" s="3">
        <v>45539</v>
      </c>
      <c r="F109" s="3" t="str">
        <f t="shared" si="23"/>
        <v>Valid</v>
      </c>
      <c r="G109" s="12">
        <f t="shared" si="24"/>
        <v>21</v>
      </c>
      <c r="H109" s="3">
        <f t="shared" si="25"/>
        <v>45539</v>
      </c>
      <c r="I109" t="s">
        <v>649</v>
      </c>
      <c r="J109" t="str">
        <f t="shared" si="26"/>
        <v>Europe → United Kingdom → Manchester</v>
      </c>
      <c r="K109" s="3" t="str">
        <f t="shared" si="27"/>
        <v>United Kingdom-2024-08</v>
      </c>
      <c r="L109" t="s">
        <v>658</v>
      </c>
      <c r="M109" t="s">
        <v>693</v>
      </c>
      <c r="N109" t="s">
        <v>703</v>
      </c>
      <c r="O109" t="s">
        <v>708</v>
      </c>
      <c r="P109" t="s">
        <v>713</v>
      </c>
      <c r="Q109" t="s">
        <v>730</v>
      </c>
      <c r="R109" t="s">
        <v>841</v>
      </c>
      <c r="S109" s="5">
        <v>1138.8</v>
      </c>
      <c r="T109" s="5">
        <v>2250.81</v>
      </c>
      <c r="U109" s="5" t="str">
        <f t="shared" si="28"/>
        <v>Valid</v>
      </c>
      <c r="V109" s="5">
        <f t="shared" si="19"/>
        <v>2250.81</v>
      </c>
      <c r="W109" s="5" t="str">
        <f t="shared" si="29"/>
        <v>High</v>
      </c>
      <c r="X109" s="5">
        <v>0.123</v>
      </c>
      <c r="Y109" s="5" t="str">
        <f t="shared" si="30"/>
        <v>Valid</v>
      </c>
      <c r="Z109" s="5">
        <f t="shared" si="31"/>
        <v>0.123</v>
      </c>
      <c r="AA109" s="5">
        <v>12</v>
      </c>
      <c r="AB109">
        <f t="shared" si="32"/>
        <v>23687.524440000001</v>
      </c>
      <c r="AC109">
        <f t="shared" si="20"/>
        <v>13665.599999999999</v>
      </c>
      <c r="AD109">
        <f t="shared" si="33"/>
        <v>10021.924440000003</v>
      </c>
      <c r="AE109">
        <f t="shared" si="34"/>
        <v>0.42308872188756258</v>
      </c>
      <c r="AF109">
        <f t="shared" si="35"/>
        <v>0</v>
      </c>
      <c r="AG109">
        <f t="shared" si="36"/>
        <v>0</v>
      </c>
      <c r="AK109">
        <f>AA109*(1+What_if_Analysis!$B$4)</f>
        <v>14.399999999999999</v>
      </c>
      <c r="AL109" s="5">
        <f>MIN(Z109,What_if_Analysis!$B$2)</f>
        <v>0.05</v>
      </c>
      <c r="AM109">
        <f t="shared" si="37"/>
        <v>30791.080799999996</v>
      </c>
      <c r="AN109">
        <f>AM109-(AK109*(T109*(1+What_if_Analysis!$B$3)))</f>
        <v>-4861.7496000000028</v>
      </c>
    </row>
    <row r="110" spans="1:40" x14ac:dyDescent="0.3">
      <c r="A110" t="s">
        <v>123</v>
      </c>
      <c r="B110" s="3">
        <v>45581</v>
      </c>
      <c r="C110" s="3" t="str">
        <f t="shared" si="21"/>
        <v>Oct-2024</v>
      </c>
      <c r="D110" s="3" t="str">
        <f t="shared" si="22"/>
        <v>Q4-2024</v>
      </c>
      <c r="E110" s="3">
        <v>45604</v>
      </c>
      <c r="F110" s="3" t="str">
        <f t="shared" si="23"/>
        <v>Valid</v>
      </c>
      <c r="G110" s="12">
        <f t="shared" si="24"/>
        <v>23</v>
      </c>
      <c r="H110" s="3">
        <f t="shared" si="25"/>
        <v>45604</v>
      </c>
      <c r="I110" t="s">
        <v>647</v>
      </c>
      <c r="J110" t="str">
        <f t="shared" si="26"/>
        <v>Asia → Japan → Osaka</v>
      </c>
      <c r="K110" s="3" t="str">
        <f t="shared" si="27"/>
        <v>Japan-2024-10</v>
      </c>
      <c r="L110" t="s">
        <v>652</v>
      </c>
      <c r="M110" t="s">
        <v>666</v>
      </c>
      <c r="N110" t="s">
        <v>705</v>
      </c>
      <c r="O110" t="s">
        <v>707</v>
      </c>
      <c r="P110" t="s">
        <v>713</v>
      </c>
      <c r="Q110" t="s">
        <v>729</v>
      </c>
      <c r="R110" t="s">
        <v>842</v>
      </c>
      <c r="S110" s="5">
        <v>82.14</v>
      </c>
      <c r="T110" s="5">
        <v>166.04</v>
      </c>
      <c r="U110" s="5" t="str">
        <f t="shared" si="28"/>
        <v>Valid</v>
      </c>
      <c r="V110" s="5">
        <f t="shared" si="19"/>
        <v>166.04</v>
      </c>
      <c r="W110" s="5" t="str">
        <f t="shared" si="29"/>
        <v>Low</v>
      </c>
      <c r="X110" s="5">
        <v>0</v>
      </c>
      <c r="Y110" s="5" t="str">
        <f t="shared" si="30"/>
        <v>Valid</v>
      </c>
      <c r="Z110" s="5">
        <f t="shared" si="31"/>
        <v>0</v>
      </c>
      <c r="AA110" s="5">
        <v>10</v>
      </c>
      <c r="AB110">
        <f t="shared" si="32"/>
        <v>1660.3999999999999</v>
      </c>
      <c r="AC110">
        <f t="shared" si="20"/>
        <v>821.4</v>
      </c>
      <c r="AD110">
        <f t="shared" si="33"/>
        <v>838.99999999999989</v>
      </c>
      <c r="AE110">
        <f t="shared" si="34"/>
        <v>0.50529992772825827</v>
      </c>
      <c r="AF110">
        <f t="shared" si="35"/>
        <v>0</v>
      </c>
      <c r="AG110">
        <f t="shared" si="36"/>
        <v>0</v>
      </c>
      <c r="AK110">
        <f>AA110*(1+What_if_Analysis!$B$4)</f>
        <v>12</v>
      </c>
      <c r="AL110" s="5">
        <f>MIN(Z110,What_if_Analysis!$B$2)</f>
        <v>0</v>
      </c>
      <c r="AM110">
        <f t="shared" si="37"/>
        <v>1992.48</v>
      </c>
      <c r="AN110">
        <f>AM110-(AK110*(T110*(1+What_if_Analysis!$B$3)))</f>
        <v>-199.24800000000005</v>
      </c>
    </row>
    <row r="111" spans="1:40" x14ac:dyDescent="0.3">
      <c r="A111" t="s">
        <v>124</v>
      </c>
      <c r="B111" s="3">
        <v>45445</v>
      </c>
      <c r="C111" s="3" t="str">
        <f t="shared" si="21"/>
        <v>Jun-2024</v>
      </c>
      <c r="D111" s="3" t="str">
        <f t="shared" si="22"/>
        <v>Q2-2024</v>
      </c>
      <c r="E111" s="3">
        <v>45451</v>
      </c>
      <c r="F111" s="3" t="str">
        <f t="shared" si="23"/>
        <v>Valid</v>
      </c>
      <c r="G111" s="12">
        <f t="shared" si="24"/>
        <v>6</v>
      </c>
      <c r="H111" s="3">
        <f t="shared" si="25"/>
        <v>45451</v>
      </c>
      <c r="I111" t="s">
        <v>646</v>
      </c>
      <c r="J111" t="str">
        <f t="shared" si="26"/>
        <v>Africa → Kenya → Kisumu</v>
      </c>
      <c r="K111" s="3" t="str">
        <f t="shared" si="27"/>
        <v>Kenya-2024-06</v>
      </c>
      <c r="L111" t="s">
        <v>650</v>
      </c>
      <c r="M111" t="s">
        <v>662</v>
      </c>
      <c r="N111" t="s">
        <v>704</v>
      </c>
      <c r="O111" t="s">
        <v>709</v>
      </c>
      <c r="P111" t="s">
        <v>720</v>
      </c>
      <c r="Q111" t="s">
        <v>733</v>
      </c>
      <c r="R111" t="s">
        <v>843</v>
      </c>
      <c r="S111" s="5">
        <v>292.94</v>
      </c>
      <c r="T111" s="5">
        <v>356.55</v>
      </c>
      <c r="U111" s="5" t="str">
        <f t="shared" si="28"/>
        <v>Valid</v>
      </c>
      <c r="V111" s="5">
        <f t="shared" si="19"/>
        <v>356.55</v>
      </c>
      <c r="W111" s="5" t="str">
        <f t="shared" si="29"/>
        <v>Low</v>
      </c>
      <c r="X111" s="5">
        <v>0.22900000000000001</v>
      </c>
      <c r="Y111" s="5" t="str">
        <f t="shared" si="30"/>
        <v>Valid</v>
      </c>
      <c r="Z111" s="5">
        <f t="shared" si="31"/>
        <v>0.22900000000000001</v>
      </c>
      <c r="AA111" s="5">
        <v>2</v>
      </c>
      <c r="AB111">
        <f t="shared" si="32"/>
        <v>549.80010000000004</v>
      </c>
      <c r="AC111">
        <f t="shared" si="20"/>
        <v>585.88</v>
      </c>
      <c r="AD111">
        <f t="shared" si="33"/>
        <v>-36.079899999999952</v>
      </c>
      <c r="AE111">
        <f t="shared" si="34"/>
        <v>-6.5623669402751925E-2</v>
      </c>
      <c r="AF111">
        <f t="shared" si="35"/>
        <v>1</v>
      </c>
      <c r="AG111">
        <f t="shared" si="36"/>
        <v>1</v>
      </c>
      <c r="AK111">
        <f>AA111*(1+What_if_Analysis!$B$4)</f>
        <v>2.4</v>
      </c>
      <c r="AL111" s="5">
        <f>MIN(Z111,What_if_Analysis!$B$2)</f>
        <v>0.05</v>
      </c>
      <c r="AM111">
        <f t="shared" si="37"/>
        <v>812.93399999999997</v>
      </c>
      <c r="AN111">
        <f>AM111-(AK111*(T111*(1+What_if_Analysis!$B$3)))</f>
        <v>-128.35800000000006</v>
      </c>
    </row>
    <row r="112" spans="1:40" x14ac:dyDescent="0.3">
      <c r="A112" t="s">
        <v>125</v>
      </c>
      <c r="B112" s="3">
        <v>45452</v>
      </c>
      <c r="C112" s="3" t="str">
        <f t="shared" si="21"/>
        <v>Jun-2024</v>
      </c>
      <c r="D112" s="3" t="str">
        <f t="shared" si="22"/>
        <v>Q2-2024</v>
      </c>
      <c r="E112" s="3">
        <v>45480</v>
      </c>
      <c r="F112" s="3" t="str">
        <f t="shared" si="23"/>
        <v>Valid</v>
      </c>
      <c r="G112" s="12">
        <f t="shared" si="24"/>
        <v>28</v>
      </c>
      <c r="H112" s="3">
        <f t="shared" si="25"/>
        <v>45480</v>
      </c>
      <c r="I112" t="s">
        <v>647</v>
      </c>
      <c r="J112" t="str">
        <f t="shared" si="26"/>
        <v>Asia → China → Shenzhen</v>
      </c>
      <c r="K112" s="3" t="str">
        <f t="shared" si="27"/>
        <v>China-2024-06</v>
      </c>
      <c r="L112" t="s">
        <v>659</v>
      </c>
      <c r="M112" t="s">
        <v>676</v>
      </c>
      <c r="N112" t="s">
        <v>701</v>
      </c>
      <c r="O112" t="s">
        <v>708</v>
      </c>
      <c r="P112" t="s">
        <v>713</v>
      </c>
      <c r="Q112" t="s">
        <v>727</v>
      </c>
      <c r="R112" t="s">
        <v>844</v>
      </c>
      <c r="S112" s="5">
        <v>550.22</v>
      </c>
      <c r="T112" s="5">
        <v>1025.05</v>
      </c>
      <c r="U112" s="5" t="str">
        <f t="shared" si="28"/>
        <v>Valid</v>
      </c>
      <c r="V112" s="5">
        <f t="shared" si="19"/>
        <v>1025.05</v>
      </c>
      <c r="W112" s="5" t="str">
        <f t="shared" si="29"/>
        <v>Medium</v>
      </c>
      <c r="X112" s="5">
        <v>0</v>
      </c>
      <c r="Y112" s="5" t="str">
        <f t="shared" si="30"/>
        <v>Valid</v>
      </c>
      <c r="Z112" s="5">
        <f t="shared" si="31"/>
        <v>0</v>
      </c>
      <c r="AA112" s="5">
        <v>27</v>
      </c>
      <c r="AB112">
        <f t="shared" si="32"/>
        <v>27676.35</v>
      </c>
      <c r="AC112">
        <f t="shared" si="20"/>
        <v>14855.94</v>
      </c>
      <c r="AD112">
        <f t="shared" si="33"/>
        <v>12820.409999999998</v>
      </c>
      <c r="AE112">
        <f t="shared" si="34"/>
        <v>0.46322618408858102</v>
      </c>
      <c r="AF112">
        <f t="shared" si="35"/>
        <v>0</v>
      </c>
      <c r="AG112">
        <f t="shared" si="36"/>
        <v>0</v>
      </c>
      <c r="AK112">
        <f>AA112*(1+What_if_Analysis!$B$4)</f>
        <v>32.4</v>
      </c>
      <c r="AL112" s="5">
        <f>MIN(Z112,What_if_Analysis!$B$2)</f>
        <v>0</v>
      </c>
      <c r="AM112">
        <f t="shared" si="37"/>
        <v>33211.619999999995</v>
      </c>
      <c r="AN112">
        <f>AM112-(AK112*(T112*(1+What_if_Analysis!$B$3)))</f>
        <v>-3321.1620000000039</v>
      </c>
    </row>
    <row r="113" spans="1:40" x14ac:dyDescent="0.3">
      <c r="A113" t="s">
        <v>126</v>
      </c>
      <c r="B113" s="3">
        <v>45453</v>
      </c>
      <c r="C113" s="3" t="str">
        <f t="shared" si="21"/>
        <v>Jun-2024</v>
      </c>
      <c r="D113" s="3" t="str">
        <f t="shared" si="22"/>
        <v>Q2-2024</v>
      </c>
      <c r="E113" s="3">
        <v>45454</v>
      </c>
      <c r="F113" s="3" t="str">
        <f t="shared" si="23"/>
        <v>Valid</v>
      </c>
      <c r="G113" s="12">
        <f t="shared" si="24"/>
        <v>1</v>
      </c>
      <c r="H113" s="3">
        <f t="shared" si="25"/>
        <v>45454</v>
      </c>
      <c r="I113" t="s">
        <v>649</v>
      </c>
      <c r="J113" t="str">
        <f t="shared" si="26"/>
        <v>Europe → United Kingdom → Birmingham</v>
      </c>
      <c r="K113" s="3" t="str">
        <f t="shared" si="27"/>
        <v>United Kingdom-2024-06</v>
      </c>
      <c r="L113" t="s">
        <v>658</v>
      </c>
      <c r="M113" t="s">
        <v>674</v>
      </c>
      <c r="N113" t="s">
        <v>705</v>
      </c>
      <c r="O113" t="s">
        <v>709</v>
      </c>
      <c r="P113" t="s">
        <v>724</v>
      </c>
      <c r="Q113" t="s">
        <v>731</v>
      </c>
      <c r="R113" t="s">
        <v>845</v>
      </c>
      <c r="S113" s="5">
        <v>1187.1300000000001</v>
      </c>
      <c r="T113" s="5">
        <v>1795.17</v>
      </c>
      <c r="U113" s="5" t="str">
        <f t="shared" si="28"/>
        <v>Valid</v>
      </c>
      <c r="V113" s="5">
        <f t="shared" si="19"/>
        <v>1795.17</v>
      </c>
      <c r="W113" s="5" t="str">
        <f t="shared" si="29"/>
        <v>Medium</v>
      </c>
      <c r="X113" s="5">
        <v>1.2E-2</v>
      </c>
      <c r="Y113" s="5" t="str">
        <f t="shared" si="30"/>
        <v>Valid</v>
      </c>
      <c r="Z113" s="5">
        <f t="shared" si="31"/>
        <v>1.2E-2</v>
      </c>
      <c r="AA113" s="5">
        <v>17</v>
      </c>
      <c r="AB113">
        <f t="shared" si="32"/>
        <v>30151.675319999998</v>
      </c>
      <c r="AC113">
        <f t="shared" si="20"/>
        <v>20181.210000000003</v>
      </c>
      <c r="AD113">
        <f t="shared" si="33"/>
        <v>9970.4653199999957</v>
      </c>
      <c r="AE113">
        <f t="shared" si="34"/>
        <v>0.33067699271046663</v>
      </c>
      <c r="AF113">
        <f t="shared" si="35"/>
        <v>1</v>
      </c>
      <c r="AG113">
        <f t="shared" si="36"/>
        <v>0</v>
      </c>
      <c r="AK113">
        <f>AA113*(1+What_if_Analysis!$B$4)</f>
        <v>20.399999999999999</v>
      </c>
      <c r="AL113" s="5">
        <f>MIN(Z113,What_if_Analysis!$B$2)</f>
        <v>1.2E-2</v>
      </c>
      <c r="AM113">
        <f t="shared" si="37"/>
        <v>36182.010384000001</v>
      </c>
      <c r="AN113">
        <f>AM113-(AK113*(T113*(1+What_if_Analysis!$B$3)))</f>
        <v>-4101.6044160000019</v>
      </c>
    </row>
    <row r="114" spans="1:40" x14ac:dyDescent="0.3">
      <c r="A114" t="s">
        <v>127</v>
      </c>
      <c r="B114" s="3">
        <v>45472</v>
      </c>
      <c r="C114" s="3" t="str">
        <f t="shared" si="21"/>
        <v>Jun-2024</v>
      </c>
      <c r="D114" s="3" t="str">
        <f t="shared" si="22"/>
        <v>Q2-2024</v>
      </c>
      <c r="E114" s="3">
        <v>45499</v>
      </c>
      <c r="F114" s="3" t="str">
        <f t="shared" si="23"/>
        <v>Valid</v>
      </c>
      <c r="G114" s="12">
        <f t="shared" si="24"/>
        <v>27</v>
      </c>
      <c r="H114" s="3">
        <f t="shared" si="25"/>
        <v>45499</v>
      </c>
      <c r="I114" t="s">
        <v>646</v>
      </c>
      <c r="J114" t="str">
        <f t="shared" si="26"/>
        <v>Africa → South Africa → Durban</v>
      </c>
      <c r="K114" s="3" t="str">
        <f t="shared" si="27"/>
        <v>South Africa-2024-06</v>
      </c>
      <c r="L114" t="s">
        <v>661</v>
      </c>
      <c r="M114" t="s">
        <v>687</v>
      </c>
      <c r="N114" t="s">
        <v>706</v>
      </c>
      <c r="O114" t="s">
        <v>710</v>
      </c>
      <c r="P114" t="s">
        <v>717</v>
      </c>
      <c r="Q114" t="s">
        <v>729</v>
      </c>
      <c r="R114" t="s">
        <v>846</v>
      </c>
      <c r="S114" s="5">
        <v>5.36</v>
      </c>
      <c r="T114" s="5">
        <v>4.37</v>
      </c>
      <c r="U114" s="5" t="str">
        <f t="shared" si="28"/>
        <v>Valid</v>
      </c>
      <c r="V114" s="5">
        <f t="shared" si="19"/>
        <v>4.37</v>
      </c>
      <c r="W114" s="5" t="str">
        <f t="shared" si="29"/>
        <v>Low</v>
      </c>
      <c r="X114" s="5">
        <v>0.11799999999999999</v>
      </c>
      <c r="Y114" s="5" t="str">
        <f t="shared" si="30"/>
        <v>Valid</v>
      </c>
      <c r="Z114" s="5">
        <f t="shared" si="31"/>
        <v>0.11799999999999999</v>
      </c>
      <c r="AA114" s="5">
        <v>9</v>
      </c>
      <c r="AB114">
        <f t="shared" si="32"/>
        <v>34.689059999999998</v>
      </c>
      <c r="AC114">
        <f t="shared" si="20"/>
        <v>48.24</v>
      </c>
      <c r="AD114">
        <f t="shared" si="33"/>
        <v>-13.550940000000004</v>
      </c>
      <c r="AE114">
        <f t="shared" si="34"/>
        <v>-0.39064016148030545</v>
      </c>
      <c r="AF114">
        <f t="shared" si="35"/>
        <v>0</v>
      </c>
      <c r="AG114">
        <f t="shared" si="36"/>
        <v>0</v>
      </c>
      <c r="AK114">
        <f>AA114*(1+What_if_Analysis!$B$4)</f>
        <v>10.799999999999999</v>
      </c>
      <c r="AL114" s="5">
        <f>MIN(Z114,What_if_Analysis!$B$2)</f>
        <v>0.05</v>
      </c>
      <c r="AM114">
        <f t="shared" si="37"/>
        <v>44.836199999999998</v>
      </c>
      <c r="AN114">
        <f>AM114-(AK114*(T114*(1+What_if_Analysis!$B$3)))</f>
        <v>-7.0793999999999997</v>
      </c>
    </row>
    <row r="115" spans="1:40" x14ac:dyDescent="0.3">
      <c r="A115" t="s">
        <v>128</v>
      </c>
      <c r="B115" s="3">
        <v>45674</v>
      </c>
      <c r="C115" s="3" t="str">
        <f t="shared" si="21"/>
        <v>Jan-2025</v>
      </c>
      <c r="D115" s="3" t="str">
        <f t="shared" si="22"/>
        <v>Q1-2025</v>
      </c>
      <c r="E115" s="3">
        <v>45681</v>
      </c>
      <c r="F115" s="3" t="str">
        <f t="shared" si="23"/>
        <v>Valid</v>
      </c>
      <c r="G115" s="12">
        <f t="shared" si="24"/>
        <v>7</v>
      </c>
      <c r="H115" s="3">
        <f t="shared" si="25"/>
        <v>45681</v>
      </c>
      <c r="I115" t="s">
        <v>648</v>
      </c>
      <c r="J115" t="str">
        <f t="shared" si="26"/>
        <v>Americas → USA → Austin</v>
      </c>
      <c r="K115" s="3" t="str">
        <f t="shared" si="27"/>
        <v>USA-2025-01</v>
      </c>
      <c r="L115" t="s">
        <v>660</v>
      </c>
      <c r="M115" t="s">
        <v>697</v>
      </c>
      <c r="N115" t="s">
        <v>706</v>
      </c>
      <c r="O115" t="s">
        <v>708</v>
      </c>
      <c r="P115" t="s">
        <v>715</v>
      </c>
      <c r="Q115" t="s">
        <v>733</v>
      </c>
      <c r="R115" t="s">
        <v>847</v>
      </c>
      <c r="S115" s="5">
        <v>142.09</v>
      </c>
      <c r="T115" s="5">
        <v>218.5</v>
      </c>
      <c r="U115" s="5" t="str">
        <f t="shared" si="28"/>
        <v>Valid</v>
      </c>
      <c r="V115" s="5">
        <f t="shared" si="19"/>
        <v>218.5</v>
      </c>
      <c r="W115" s="5" t="str">
        <f t="shared" si="29"/>
        <v>Low</v>
      </c>
      <c r="X115" s="5">
        <v>0.11899999999999999</v>
      </c>
      <c r="Y115" s="5" t="str">
        <f t="shared" si="30"/>
        <v>Valid</v>
      </c>
      <c r="Z115" s="5">
        <f t="shared" si="31"/>
        <v>0.11899999999999999</v>
      </c>
      <c r="AA115" s="5">
        <v>11</v>
      </c>
      <c r="AB115">
        <f t="shared" si="32"/>
        <v>2117.4834999999998</v>
      </c>
      <c r="AC115">
        <f t="shared" si="20"/>
        <v>1562.99</v>
      </c>
      <c r="AD115">
        <f t="shared" si="33"/>
        <v>554.49349999999981</v>
      </c>
      <c r="AE115">
        <f t="shared" si="34"/>
        <v>0.26186437816398561</v>
      </c>
      <c r="AF115">
        <f t="shared" si="35"/>
        <v>1</v>
      </c>
      <c r="AG115">
        <f t="shared" si="36"/>
        <v>0</v>
      </c>
      <c r="AK115">
        <f>AA115*(1+What_if_Analysis!$B$4)</f>
        <v>13.2</v>
      </c>
      <c r="AL115" s="5">
        <f>MIN(Z115,What_if_Analysis!$B$2)</f>
        <v>0.05</v>
      </c>
      <c r="AM115">
        <f t="shared" si="37"/>
        <v>2739.99</v>
      </c>
      <c r="AN115">
        <f>AM115-(AK115*(T115*(1+What_if_Analysis!$B$3)))</f>
        <v>-432.63000000000056</v>
      </c>
    </row>
    <row r="116" spans="1:40" x14ac:dyDescent="0.3">
      <c r="A116" t="s">
        <v>129</v>
      </c>
      <c r="B116" s="3">
        <v>45250</v>
      </c>
      <c r="C116" s="3" t="str">
        <f t="shared" si="21"/>
        <v>Nov-2023</v>
      </c>
      <c r="D116" s="3" t="str">
        <f t="shared" si="22"/>
        <v>Q4-2023</v>
      </c>
      <c r="E116" s="3">
        <v>45265</v>
      </c>
      <c r="F116" s="3" t="str">
        <f t="shared" si="23"/>
        <v>Valid</v>
      </c>
      <c r="G116" s="12">
        <f t="shared" si="24"/>
        <v>15</v>
      </c>
      <c r="H116" s="3">
        <f t="shared" si="25"/>
        <v>45265</v>
      </c>
      <c r="I116" t="s">
        <v>647</v>
      </c>
      <c r="J116" t="str">
        <f t="shared" si="26"/>
        <v>Asia → Japan → Tokyo</v>
      </c>
      <c r="K116" s="3" t="str">
        <f t="shared" si="27"/>
        <v>Japan-2023-11</v>
      </c>
      <c r="L116" t="s">
        <v>652</v>
      </c>
      <c r="M116" t="s">
        <v>689</v>
      </c>
      <c r="N116" t="s">
        <v>706</v>
      </c>
      <c r="O116" t="s">
        <v>707</v>
      </c>
      <c r="P116" t="s">
        <v>716</v>
      </c>
      <c r="Q116" t="s">
        <v>729</v>
      </c>
      <c r="R116" t="s">
        <v>848</v>
      </c>
      <c r="S116" s="5">
        <v>354.24</v>
      </c>
      <c r="T116" s="5">
        <v>249.87</v>
      </c>
      <c r="U116" s="5" t="str">
        <f t="shared" si="28"/>
        <v>Valid</v>
      </c>
      <c r="V116" s="5">
        <f t="shared" si="19"/>
        <v>249.87</v>
      </c>
      <c r="W116" s="5" t="str">
        <f t="shared" si="29"/>
        <v>Low</v>
      </c>
      <c r="X116" s="5">
        <v>0</v>
      </c>
      <c r="Y116" s="5" t="str">
        <f t="shared" si="30"/>
        <v>Valid</v>
      </c>
      <c r="Z116" s="5">
        <f t="shared" si="31"/>
        <v>0</v>
      </c>
      <c r="AA116" s="5">
        <v>6</v>
      </c>
      <c r="AB116">
        <f t="shared" si="32"/>
        <v>1499.22</v>
      </c>
      <c r="AC116">
        <f t="shared" si="20"/>
        <v>2125.44</v>
      </c>
      <c r="AD116">
        <f t="shared" si="33"/>
        <v>-626.22</v>
      </c>
      <c r="AE116">
        <f t="shared" si="34"/>
        <v>-0.41769720254532355</v>
      </c>
      <c r="AF116">
        <f t="shared" si="35"/>
        <v>0</v>
      </c>
      <c r="AG116">
        <f t="shared" si="36"/>
        <v>0</v>
      </c>
      <c r="AK116">
        <f>AA116*(1+What_if_Analysis!$B$4)</f>
        <v>7.1999999999999993</v>
      </c>
      <c r="AL116" s="5">
        <f>MIN(Z116,What_if_Analysis!$B$2)</f>
        <v>0</v>
      </c>
      <c r="AM116">
        <f t="shared" si="37"/>
        <v>1799.0639999999999</v>
      </c>
      <c r="AN116">
        <f>AM116-(AK116*(T116*(1+What_if_Analysis!$B$3)))</f>
        <v>-179.90640000000008</v>
      </c>
    </row>
    <row r="117" spans="1:40" x14ac:dyDescent="0.3">
      <c r="A117" t="s">
        <v>130</v>
      </c>
      <c r="B117" s="3">
        <v>44987</v>
      </c>
      <c r="C117" s="3" t="str">
        <f t="shared" si="21"/>
        <v>Mar-2023</v>
      </c>
      <c r="D117" s="3" t="str">
        <f t="shared" si="22"/>
        <v>Q1-2023</v>
      </c>
      <c r="E117" s="3">
        <v>44990</v>
      </c>
      <c r="F117" s="3" t="str">
        <f t="shared" si="23"/>
        <v>Valid</v>
      </c>
      <c r="G117" s="12">
        <f t="shared" si="24"/>
        <v>3</v>
      </c>
      <c r="H117" s="3">
        <f t="shared" si="25"/>
        <v>44990</v>
      </c>
      <c r="I117" t="s">
        <v>648</v>
      </c>
      <c r="J117" t="str">
        <f t="shared" si="26"/>
        <v>Americas → Brazil → Brasília</v>
      </c>
      <c r="K117" s="3" t="str">
        <f t="shared" si="27"/>
        <v>Brazil-2023-03</v>
      </c>
      <c r="L117" t="s">
        <v>655</v>
      </c>
      <c r="M117" t="s">
        <v>672</v>
      </c>
      <c r="N117" t="s">
        <v>706</v>
      </c>
      <c r="O117" t="s">
        <v>711</v>
      </c>
      <c r="P117" t="s">
        <v>715</v>
      </c>
      <c r="Q117" t="s">
        <v>732</v>
      </c>
      <c r="R117" t="s">
        <v>849</v>
      </c>
      <c r="S117" s="5">
        <v>1473.58</v>
      </c>
      <c r="T117" s="5">
        <v>3436.52</v>
      </c>
      <c r="U117" s="5" t="str">
        <f t="shared" si="28"/>
        <v>Valid</v>
      </c>
      <c r="V117" s="5">
        <f t="shared" si="19"/>
        <v>3436.52</v>
      </c>
      <c r="W117" s="5" t="str">
        <f t="shared" si="29"/>
        <v>High</v>
      </c>
      <c r="X117" s="5">
        <v>0.108</v>
      </c>
      <c r="Y117" s="5" t="str">
        <f t="shared" si="30"/>
        <v>Valid</v>
      </c>
      <c r="Z117" s="5">
        <f t="shared" si="31"/>
        <v>0.108</v>
      </c>
      <c r="AA117" s="5">
        <v>8</v>
      </c>
      <c r="AB117">
        <f t="shared" si="32"/>
        <v>24523.006720000001</v>
      </c>
      <c r="AC117">
        <f t="shared" si="20"/>
        <v>11788.64</v>
      </c>
      <c r="AD117">
        <f t="shared" si="33"/>
        <v>12734.366720000002</v>
      </c>
      <c r="AE117">
        <f t="shared" si="34"/>
        <v>0.51928243813652564</v>
      </c>
      <c r="AF117">
        <f t="shared" si="35"/>
        <v>1</v>
      </c>
      <c r="AG117">
        <f t="shared" si="36"/>
        <v>0</v>
      </c>
      <c r="AK117">
        <f>AA117*(1+What_if_Analysis!$B$4)</f>
        <v>9.6</v>
      </c>
      <c r="AL117" s="5">
        <f>MIN(Z117,What_if_Analysis!$B$2)</f>
        <v>0.05</v>
      </c>
      <c r="AM117">
        <f t="shared" si="37"/>
        <v>31341.062399999995</v>
      </c>
      <c r="AN117">
        <f>AM117-(AK117*(T117*(1+What_if_Analysis!$B$3)))</f>
        <v>-4948.588800000005</v>
      </c>
    </row>
    <row r="118" spans="1:40" x14ac:dyDescent="0.3">
      <c r="A118" t="s">
        <v>131</v>
      </c>
      <c r="B118" s="3">
        <v>45811</v>
      </c>
      <c r="C118" s="3" t="str">
        <f t="shared" si="21"/>
        <v>Jun-2025</v>
      </c>
      <c r="D118" s="3" t="str">
        <f t="shared" si="22"/>
        <v>Q2-2025</v>
      </c>
      <c r="E118" s="3">
        <v>45818</v>
      </c>
      <c r="F118" s="3" t="str">
        <f t="shared" si="23"/>
        <v>Valid</v>
      </c>
      <c r="G118" s="12">
        <f t="shared" si="24"/>
        <v>7</v>
      </c>
      <c r="H118" s="3">
        <f t="shared" si="25"/>
        <v>45818</v>
      </c>
      <c r="I118" t="s">
        <v>648</v>
      </c>
      <c r="J118" t="str">
        <f t="shared" si="26"/>
        <v>Americas → Canada → Toronto</v>
      </c>
      <c r="K118" s="3" t="str">
        <f t="shared" si="27"/>
        <v>Canada-2025-06</v>
      </c>
      <c r="L118" t="s">
        <v>653</v>
      </c>
      <c r="M118" t="s">
        <v>667</v>
      </c>
      <c r="N118" t="s">
        <v>704</v>
      </c>
      <c r="O118" t="s">
        <v>710</v>
      </c>
      <c r="P118" t="s">
        <v>719</v>
      </c>
      <c r="Q118" t="s">
        <v>728</v>
      </c>
      <c r="R118" t="s">
        <v>850</v>
      </c>
      <c r="S118" s="5">
        <v>75.180000000000007</v>
      </c>
      <c r="T118" s="5">
        <v>53.45</v>
      </c>
      <c r="U118" s="5" t="str">
        <f t="shared" si="28"/>
        <v>Valid</v>
      </c>
      <c r="V118" s="5">
        <f t="shared" si="19"/>
        <v>53.45</v>
      </c>
      <c r="W118" s="5" t="str">
        <f t="shared" si="29"/>
        <v>Low</v>
      </c>
      <c r="X118" s="5">
        <v>0.157</v>
      </c>
      <c r="Y118" s="5" t="str">
        <f t="shared" si="30"/>
        <v>Valid</v>
      </c>
      <c r="Z118" s="5">
        <f t="shared" si="31"/>
        <v>0.157</v>
      </c>
      <c r="AA118" s="5">
        <v>17</v>
      </c>
      <c r="AB118">
        <f t="shared" si="32"/>
        <v>765.99195000000009</v>
      </c>
      <c r="AC118">
        <f t="shared" si="20"/>
        <v>1278.0600000000002</v>
      </c>
      <c r="AD118">
        <f t="shared" si="33"/>
        <v>-512.06805000000008</v>
      </c>
      <c r="AE118">
        <f t="shared" si="34"/>
        <v>-0.66850317421743144</v>
      </c>
      <c r="AF118">
        <f t="shared" si="35"/>
        <v>1</v>
      </c>
      <c r="AG118">
        <f t="shared" si="36"/>
        <v>0</v>
      </c>
      <c r="AK118">
        <f>AA118*(1+What_if_Analysis!$B$4)</f>
        <v>20.399999999999999</v>
      </c>
      <c r="AL118" s="5">
        <f>MIN(Z118,What_if_Analysis!$B$2)</f>
        <v>0.05</v>
      </c>
      <c r="AM118">
        <f t="shared" si="37"/>
        <v>1035.8609999999999</v>
      </c>
      <c r="AN118">
        <f>AM118-(AK118*(T118*(1+What_if_Analysis!$B$3)))</f>
        <v>-163.55700000000024</v>
      </c>
    </row>
    <row r="119" spans="1:40" x14ac:dyDescent="0.3">
      <c r="A119" t="s">
        <v>132</v>
      </c>
      <c r="B119" s="3">
        <v>45653</v>
      </c>
      <c r="C119" s="3" t="str">
        <f t="shared" si="21"/>
        <v>Dec-2024</v>
      </c>
      <c r="D119" s="3" t="str">
        <f t="shared" si="22"/>
        <v>Q4-2024</v>
      </c>
      <c r="E119" s="3">
        <v>45659</v>
      </c>
      <c r="F119" s="3" t="str">
        <f t="shared" si="23"/>
        <v>Valid</v>
      </c>
      <c r="G119" s="12">
        <f t="shared" si="24"/>
        <v>6</v>
      </c>
      <c r="H119" s="3">
        <f t="shared" si="25"/>
        <v>45659</v>
      </c>
      <c r="I119" t="s">
        <v>649</v>
      </c>
      <c r="J119" t="str">
        <f t="shared" si="26"/>
        <v>Europe → Germany → Frankfurt</v>
      </c>
      <c r="K119" s="3" t="str">
        <f t="shared" si="27"/>
        <v>Germany-2024-12</v>
      </c>
      <c r="L119" t="s">
        <v>656</v>
      </c>
      <c r="M119" t="s">
        <v>698</v>
      </c>
      <c r="N119" t="s">
        <v>702</v>
      </c>
      <c r="O119" t="s">
        <v>711</v>
      </c>
      <c r="P119" t="s">
        <v>721</v>
      </c>
      <c r="Q119" t="s">
        <v>731</v>
      </c>
      <c r="R119" t="s">
        <v>851</v>
      </c>
      <c r="S119" s="5">
        <v>1391.99</v>
      </c>
      <c r="T119" s="5">
        <v>3469.7</v>
      </c>
      <c r="U119" s="5" t="str">
        <f t="shared" si="28"/>
        <v>Valid</v>
      </c>
      <c r="V119" s="5">
        <f t="shared" si="19"/>
        <v>3469.7</v>
      </c>
      <c r="W119" s="5" t="str">
        <f t="shared" si="29"/>
        <v>High</v>
      </c>
      <c r="X119" s="5">
        <v>0.184</v>
      </c>
      <c r="Y119" s="5" t="str">
        <f t="shared" si="30"/>
        <v>Valid</v>
      </c>
      <c r="Z119" s="5">
        <f t="shared" si="31"/>
        <v>0.184</v>
      </c>
      <c r="AA119" s="5">
        <v>23</v>
      </c>
      <c r="AB119">
        <f t="shared" si="32"/>
        <v>65119.329599999997</v>
      </c>
      <c r="AC119">
        <f t="shared" si="20"/>
        <v>32015.77</v>
      </c>
      <c r="AD119">
        <f t="shared" si="33"/>
        <v>33103.559599999993</v>
      </c>
      <c r="AE119">
        <f t="shared" si="34"/>
        <v>0.50835227886006973</v>
      </c>
      <c r="AF119">
        <f t="shared" si="35"/>
        <v>1</v>
      </c>
      <c r="AG119">
        <f t="shared" si="36"/>
        <v>0</v>
      </c>
      <c r="AK119">
        <f>AA119*(1+What_if_Analysis!$B$4)</f>
        <v>27.599999999999998</v>
      </c>
      <c r="AL119" s="5">
        <f>MIN(Z119,What_if_Analysis!$B$2)</f>
        <v>0.05</v>
      </c>
      <c r="AM119">
        <f t="shared" si="37"/>
        <v>90975.533999999985</v>
      </c>
      <c r="AN119">
        <f>AM119-(AK119*(T119*(1+What_if_Analysis!$B$3)))</f>
        <v>-14364.558000000005</v>
      </c>
    </row>
    <row r="120" spans="1:40" x14ac:dyDescent="0.3">
      <c r="A120" t="s">
        <v>133</v>
      </c>
      <c r="B120" s="3">
        <v>45086</v>
      </c>
      <c r="C120" s="3" t="str">
        <f t="shared" si="21"/>
        <v>Jun-2023</v>
      </c>
      <c r="D120" s="3" t="str">
        <f t="shared" si="22"/>
        <v>Q2-2023</v>
      </c>
      <c r="E120" s="3">
        <v>45096</v>
      </c>
      <c r="F120" s="3" t="str">
        <f t="shared" si="23"/>
        <v>Valid</v>
      </c>
      <c r="G120" s="12">
        <f t="shared" si="24"/>
        <v>10</v>
      </c>
      <c r="H120" s="3">
        <f t="shared" si="25"/>
        <v>45096</v>
      </c>
      <c r="I120" t="s">
        <v>647</v>
      </c>
      <c r="J120" t="str">
        <f t="shared" si="26"/>
        <v>Asia → China → Beijing</v>
      </c>
      <c r="K120" s="3" t="str">
        <f t="shared" si="27"/>
        <v>China-2023-06</v>
      </c>
      <c r="L120" t="s">
        <v>659</v>
      </c>
      <c r="M120" t="s">
        <v>699</v>
      </c>
      <c r="N120" t="s">
        <v>706</v>
      </c>
      <c r="O120" t="s">
        <v>707</v>
      </c>
      <c r="P120" t="s">
        <v>721</v>
      </c>
      <c r="Q120" t="s">
        <v>732</v>
      </c>
      <c r="R120" t="s">
        <v>852</v>
      </c>
      <c r="S120" s="5">
        <v>339.61</v>
      </c>
      <c r="T120" s="5">
        <v>621.02</v>
      </c>
      <c r="U120" s="5" t="str">
        <f t="shared" si="28"/>
        <v>Valid</v>
      </c>
      <c r="V120" s="5">
        <f t="shared" si="19"/>
        <v>621.02</v>
      </c>
      <c r="W120" s="5" t="str">
        <f t="shared" si="29"/>
        <v>Medium</v>
      </c>
      <c r="X120" s="5">
        <v>7.0999999999999994E-2</v>
      </c>
      <c r="Y120" s="5" t="str">
        <f t="shared" si="30"/>
        <v>Valid</v>
      </c>
      <c r="Z120" s="5">
        <f t="shared" si="31"/>
        <v>7.0999999999999994E-2</v>
      </c>
      <c r="AA120" s="5">
        <v>10</v>
      </c>
      <c r="AB120">
        <f t="shared" si="32"/>
        <v>5769.2758000000003</v>
      </c>
      <c r="AC120">
        <f t="shared" si="20"/>
        <v>3396.1000000000004</v>
      </c>
      <c r="AD120">
        <f t="shared" si="33"/>
        <v>2373.1758</v>
      </c>
      <c r="AE120">
        <f t="shared" si="34"/>
        <v>0.41134726129750981</v>
      </c>
      <c r="AF120">
        <f t="shared" si="35"/>
        <v>0</v>
      </c>
      <c r="AG120">
        <f t="shared" si="36"/>
        <v>0</v>
      </c>
      <c r="AK120">
        <f>AA120*(1+What_if_Analysis!$B$4)</f>
        <v>12</v>
      </c>
      <c r="AL120" s="5">
        <f>MIN(Z120,What_if_Analysis!$B$2)</f>
        <v>0.05</v>
      </c>
      <c r="AM120">
        <f t="shared" si="37"/>
        <v>7079.6279999999997</v>
      </c>
      <c r="AN120">
        <f>AM120-(AK120*(T120*(1+What_if_Analysis!$B$3)))</f>
        <v>-1117.8360000000002</v>
      </c>
    </row>
    <row r="121" spans="1:40" x14ac:dyDescent="0.3">
      <c r="A121" t="s">
        <v>134</v>
      </c>
      <c r="B121" s="3">
        <v>45847</v>
      </c>
      <c r="C121" s="3" t="str">
        <f t="shared" si="21"/>
        <v>Jul-2025</v>
      </c>
      <c r="D121" s="3" t="str">
        <f t="shared" si="22"/>
        <v>Q3-2025</v>
      </c>
      <c r="E121" s="3">
        <v>45856</v>
      </c>
      <c r="F121" s="3" t="str">
        <f t="shared" si="23"/>
        <v>Valid</v>
      </c>
      <c r="G121" s="12">
        <f t="shared" si="24"/>
        <v>9</v>
      </c>
      <c r="H121" s="3">
        <f t="shared" si="25"/>
        <v>45856</v>
      </c>
      <c r="I121" t="s">
        <v>648</v>
      </c>
      <c r="J121" t="str">
        <f t="shared" si="26"/>
        <v>Americas → Canada → Vancouver</v>
      </c>
      <c r="K121" s="3" t="str">
        <f t="shared" si="27"/>
        <v>Canada-2025-07</v>
      </c>
      <c r="L121" t="s">
        <v>653</v>
      </c>
      <c r="M121" t="s">
        <v>688</v>
      </c>
      <c r="N121" t="s">
        <v>702</v>
      </c>
      <c r="O121" t="s">
        <v>710</v>
      </c>
      <c r="P121" t="s">
        <v>714</v>
      </c>
      <c r="Q121" t="s">
        <v>731</v>
      </c>
      <c r="R121" t="s">
        <v>853</v>
      </c>
      <c r="S121" s="5">
        <v>57.96</v>
      </c>
      <c r="T121" s="5">
        <v>88.51</v>
      </c>
      <c r="U121" s="5" t="str">
        <f t="shared" si="28"/>
        <v>Valid</v>
      </c>
      <c r="V121" s="5">
        <f t="shared" si="19"/>
        <v>88.51</v>
      </c>
      <c r="W121" s="5" t="str">
        <f t="shared" si="29"/>
        <v>Low</v>
      </c>
      <c r="X121" s="5">
        <v>4.2999999999999997E-2</v>
      </c>
      <c r="Y121" s="5" t="str">
        <f t="shared" si="30"/>
        <v>Valid</v>
      </c>
      <c r="Z121" s="5">
        <f t="shared" si="31"/>
        <v>4.2999999999999997E-2</v>
      </c>
      <c r="AA121" s="5">
        <v>7</v>
      </c>
      <c r="AB121">
        <f t="shared" si="32"/>
        <v>592.92849000000001</v>
      </c>
      <c r="AC121">
        <f t="shared" si="20"/>
        <v>405.72</v>
      </c>
      <c r="AD121">
        <f t="shared" si="33"/>
        <v>187.20848999999998</v>
      </c>
      <c r="AE121">
        <f t="shared" si="34"/>
        <v>0.3157353595877978</v>
      </c>
      <c r="AF121">
        <f t="shared" si="35"/>
        <v>0</v>
      </c>
      <c r="AG121">
        <f t="shared" si="36"/>
        <v>0</v>
      </c>
      <c r="AK121">
        <f>AA121*(1+What_if_Analysis!$B$4)</f>
        <v>8.4</v>
      </c>
      <c r="AL121" s="5">
        <f>MIN(Z121,What_if_Analysis!$B$2)</f>
        <v>4.2999999999999997E-2</v>
      </c>
      <c r="AM121">
        <f t="shared" si="37"/>
        <v>711.51418799999999</v>
      </c>
      <c r="AN121">
        <f>AM121-(AK121*(T121*(1+What_if_Analysis!$B$3)))</f>
        <v>-106.31821200000024</v>
      </c>
    </row>
    <row r="122" spans="1:40" x14ac:dyDescent="0.3">
      <c r="A122" t="s">
        <v>135</v>
      </c>
      <c r="B122" s="3">
        <v>45827</v>
      </c>
      <c r="C122" s="3" t="str">
        <f t="shared" si="21"/>
        <v>Jun-2025</v>
      </c>
      <c r="D122" s="3" t="str">
        <f t="shared" si="22"/>
        <v>Q2-2025</v>
      </c>
      <c r="E122" s="3">
        <v>45850</v>
      </c>
      <c r="F122" s="3" t="str">
        <f t="shared" si="23"/>
        <v>Valid</v>
      </c>
      <c r="G122" s="12">
        <f t="shared" si="24"/>
        <v>23</v>
      </c>
      <c r="H122" s="3">
        <f t="shared" si="25"/>
        <v>45850</v>
      </c>
      <c r="I122" t="s">
        <v>649</v>
      </c>
      <c r="J122" t="str">
        <f t="shared" si="26"/>
        <v>Europe → United Kingdom → unknown</v>
      </c>
      <c r="K122" s="3" t="str">
        <f t="shared" si="27"/>
        <v>United Kingdom-2025-06</v>
      </c>
      <c r="L122" t="s">
        <v>658</v>
      </c>
      <c r="M122" t="s">
        <v>1422</v>
      </c>
      <c r="N122" t="s">
        <v>703</v>
      </c>
      <c r="O122" t="s">
        <v>711</v>
      </c>
      <c r="P122" t="s">
        <v>1423</v>
      </c>
      <c r="Q122" t="s">
        <v>729</v>
      </c>
      <c r="R122" t="s">
        <v>854</v>
      </c>
      <c r="S122" s="5">
        <v>801.24</v>
      </c>
      <c r="T122" s="5">
        <v>1959.09</v>
      </c>
      <c r="U122" s="5" t="str">
        <f t="shared" si="28"/>
        <v>Valid</v>
      </c>
      <c r="V122" s="5">
        <f t="shared" si="19"/>
        <v>1959.09</v>
      </c>
      <c r="W122" s="5" t="str">
        <f t="shared" si="29"/>
        <v>High</v>
      </c>
      <c r="X122" s="5">
        <v>0.123</v>
      </c>
      <c r="Y122" s="5" t="str">
        <f t="shared" si="30"/>
        <v>Valid</v>
      </c>
      <c r="Z122" s="5">
        <f t="shared" si="31"/>
        <v>0.123</v>
      </c>
      <c r="AA122" s="5">
        <v>23</v>
      </c>
      <c r="AB122">
        <f t="shared" si="32"/>
        <v>39516.804389999998</v>
      </c>
      <c r="AC122">
        <f t="shared" si="20"/>
        <v>18428.52</v>
      </c>
      <c r="AD122">
        <f t="shared" si="33"/>
        <v>21088.284389999997</v>
      </c>
      <c r="AE122">
        <f t="shared" si="34"/>
        <v>0.53365358650651762</v>
      </c>
      <c r="AF122">
        <f t="shared" si="35"/>
        <v>0</v>
      </c>
      <c r="AG122">
        <f t="shared" si="36"/>
        <v>0</v>
      </c>
      <c r="AK122">
        <f>AA122*(1+What_if_Analysis!$B$4)</f>
        <v>27.599999999999998</v>
      </c>
      <c r="AL122" s="5">
        <f>MIN(Z122,What_if_Analysis!$B$2)</f>
        <v>0.05</v>
      </c>
      <c r="AM122">
        <f t="shared" si="37"/>
        <v>51367.339799999987</v>
      </c>
      <c r="AN122">
        <f>AM122-(AK122*(T122*(1+What_if_Analysis!$B$3)))</f>
        <v>-8110.6326000000117</v>
      </c>
    </row>
    <row r="123" spans="1:40" x14ac:dyDescent="0.3">
      <c r="A123" t="s">
        <v>136</v>
      </c>
      <c r="B123" s="3">
        <v>45249</v>
      </c>
      <c r="C123" s="3" t="str">
        <f t="shared" si="21"/>
        <v>Nov-2023</v>
      </c>
      <c r="D123" s="3" t="str">
        <f t="shared" si="22"/>
        <v>Q4-2023</v>
      </c>
      <c r="E123" s="3">
        <v>45273</v>
      </c>
      <c r="F123" s="3" t="str">
        <f t="shared" si="23"/>
        <v>Valid</v>
      </c>
      <c r="G123" s="12">
        <f t="shared" si="24"/>
        <v>24</v>
      </c>
      <c r="H123" s="3">
        <f t="shared" si="25"/>
        <v>45273</v>
      </c>
      <c r="I123" t="s">
        <v>649</v>
      </c>
      <c r="J123" t="str">
        <f t="shared" si="26"/>
        <v>Europe → France → Lyon</v>
      </c>
      <c r="K123" s="3" t="str">
        <f t="shared" si="27"/>
        <v>France-2023-11</v>
      </c>
      <c r="L123" t="s">
        <v>657</v>
      </c>
      <c r="M123" t="s">
        <v>679</v>
      </c>
      <c r="N123" t="s">
        <v>703</v>
      </c>
      <c r="O123" t="s">
        <v>711</v>
      </c>
      <c r="P123" t="s">
        <v>722</v>
      </c>
      <c r="Q123" t="s">
        <v>732</v>
      </c>
      <c r="R123" t="s">
        <v>855</v>
      </c>
      <c r="S123" s="5">
        <v>1297.42</v>
      </c>
      <c r="T123" s="5">
        <v>2742.97</v>
      </c>
      <c r="U123" s="5" t="str">
        <f t="shared" si="28"/>
        <v>Valid</v>
      </c>
      <c r="V123" s="5">
        <f t="shared" si="19"/>
        <v>2742.97</v>
      </c>
      <c r="W123" s="5" t="str">
        <f t="shared" si="29"/>
        <v>High</v>
      </c>
      <c r="X123" s="5">
        <v>6.9000000000000006E-2</v>
      </c>
      <c r="Y123" s="5" t="str">
        <f t="shared" si="30"/>
        <v>Valid</v>
      </c>
      <c r="Z123" s="5">
        <f t="shared" si="31"/>
        <v>6.9000000000000006E-2</v>
      </c>
      <c r="AA123" s="5">
        <v>9</v>
      </c>
      <c r="AB123">
        <f t="shared" si="32"/>
        <v>22983.34563</v>
      </c>
      <c r="AC123">
        <f t="shared" si="20"/>
        <v>11676.78</v>
      </c>
      <c r="AD123">
        <f t="shared" si="33"/>
        <v>11306.565629999999</v>
      </c>
      <c r="AE123">
        <f t="shared" si="34"/>
        <v>0.49194602961727291</v>
      </c>
      <c r="AF123">
        <f t="shared" si="35"/>
        <v>0</v>
      </c>
      <c r="AG123">
        <f t="shared" si="36"/>
        <v>0</v>
      </c>
      <c r="AK123">
        <f>AA123*(1+What_if_Analysis!$B$4)</f>
        <v>10.799999999999999</v>
      </c>
      <c r="AL123" s="5">
        <f>MIN(Z123,What_if_Analysis!$B$2)</f>
        <v>0.05</v>
      </c>
      <c r="AM123">
        <f t="shared" si="37"/>
        <v>28142.872199999994</v>
      </c>
      <c r="AN123">
        <f>AM123-(AK123*(T123*(1+What_if_Analysis!$B$3)))</f>
        <v>-4443.6114000000016</v>
      </c>
    </row>
    <row r="124" spans="1:40" x14ac:dyDescent="0.3">
      <c r="A124" t="s">
        <v>137</v>
      </c>
      <c r="B124" s="3">
        <v>45289</v>
      </c>
      <c r="C124" s="3" t="str">
        <f t="shared" si="21"/>
        <v>Dec-2023</v>
      </c>
      <c r="D124" s="3" t="str">
        <f t="shared" si="22"/>
        <v>Q4-2023</v>
      </c>
      <c r="E124" s="3">
        <v>45311</v>
      </c>
      <c r="F124" s="3" t="str">
        <f t="shared" si="23"/>
        <v>Valid</v>
      </c>
      <c r="G124" s="12">
        <f t="shared" si="24"/>
        <v>22</v>
      </c>
      <c r="H124" s="3">
        <f t="shared" si="25"/>
        <v>45311</v>
      </c>
      <c r="I124" t="s">
        <v>646</v>
      </c>
      <c r="J124" t="str">
        <f t="shared" si="26"/>
        <v>Africa → Kenya → Kisumu</v>
      </c>
      <c r="K124" s="3" t="str">
        <f t="shared" si="27"/>
        <v>Kenya-2023-12</v>
      </c>
      <c r="L124" t="s">
        <v>650</v>
      </c>
      <c r="M124" t="s">
        <v>662</v>
      </c>
      <c r="N124" t="s">
        <v>701</v>
      </c>
      <c r="O124" t="s">
        <v>711</v>
      </c>
      <c r="P124" t="s">
        <v>716</v>
      </c>
      <c r="Q124" t="s">
        <v>730</v>
      </c>
      <c r="R124" t="s">
        <v>856</v>
      </c>
      <c r="S124" s="5">
        <v>1395.49</v>
      </c>
      <c r="T124" s="5">
        <v>1679.42</v>
      </c>
      <c r="U124" s="5" t="str">
        <f t="shared" si="28"/>
        <v>Valid</v>
      </c>
      <c r="V124" s="5">
        <f t="shared" si="19"/>
        <v>1679.42</v>
      </c>
      <c r="W124" s="5" t="str">
        <f t="shared" si="29"/>
        <v>Medium</v>
      </c>
      <c r="X124" s="5">
        <v>0.20300000000000001</v>
      </c>
      <c r="Y124" s="5" t="str">
        <f t="shared" si="30"/>
        <v>Valid</v>
      </c>
      <c r="Z124" s="5">
        <f t="shared" si="31"/>
        <v>0.20300000000000001</v>
      </c>
      <c r="AA124" s="5">
        <v>12</v>
      </c>
      <c r="AB124">
        <f t="shared" si="32"/>
        <v>16061.972879999999</v>
      </c>
      <c r="AC124">
        <f t="shared" si="20"/>
        <v>16745.88</v>
      </c>
      <c r="AD124">
        <f t="shared" si="33"/>
        <v>-683.90712000000167</v>
      </c>
      <c r="AE124">
        <f t="shared" si="34"/>
        <v>-4.2579272490964493E-2</v>
      </c>
      <c r="AF124">
        <f t="shared" si="35"/>
        <v>0</v>
      </c>
      <c r="AG124">
        <f t="shared" si="36"/>
        <v>1</v>
      </c>
      <c r="AK124">
        <f>AA124*(1+What_if_Analysis!$B$4)</f>
        <v>14.399999999999999</v>
      </c>
      <c r="AL124" s="5">
        <f>MIN(Z124,What_if_Analysis!$B$2)</f>
        <v>0.05</v>
      </c>
      <c r="AM124">
        <f t="shared" si="37"/>
        <v>22974.465599999996</v>
      </c>
      <c r="AN124">
        <f>AM124-(AK124*(T124*(1+What_if_Analysis!$B$3)))</f>
        <v>-3627.5472000000045</v>
      </c>
    </row>
    <row r="125" spans="1:40" x14ac:dyDescent="0.3">
      <c r="A125" t="s">
        <v>138</v>
      </c>
      <c r="B125" s="3">
        <v>45598</v>
      </c>
      <c r="C125" s="3" t="str">
        <f t="shared" si="21"/>
        <v>Nov-2024</v>
      </c>
      <c r="D125" s="3" t="str">
        <f t="shared" si="22"/>
        <v>Q4-2024</v>
      </c>
      <c r="E125" s="3">
        <v>45625</v>
      </c>
      <c r="F125" s="3" t="str">
        <f t="shared" si="23"/>
        <v>Valid</v>
      </c>
      <c r="G125" s="12">
        <f t="shared" si="24"/>
        <v>27</v>
      </c>
      <c r="H125" s="3">
        <f t="shared" si="25"/>
        <v>45625</v>
      </c>
      <c r="I125" t="s">
        <v>648</v>
      </c>
      <c r="J125" t="str">
        <f t="shared" si="26"/>
        <v>Americas → Brazil → Brasília</v>
      </c>
      <c r="K125" s="3" t="str">
        <f t="shared" si="27"/>
        <v>Brazil-2024-11</v>
      </c>
      <c r="L125" t="s">
        <v>655</v>
      </c>
      <c r="M125" t="s">
        <v>672</v>
      </c>
      <c r="N125" t="s">
        <v>705</v>
      </c>
      <c r="O125" t="s">
        <v>711</v>
      </c>
      <c r="P125" t="s">
        <v>714</v>
      </c>
      <c r="Q125" t="s">
        <v>729</v>
      </c>
      <c r="R125" t="s">
        <v>857</v>
      </c>
      <c r="S125" s="5">
        <v>1363.51</v>
      </c>
      <c r="T125" s="5">
        <v>1433.9</v>
      </c>
      <c r="U125" s="5" t="str">
        <f t="shared" si="28"/>
        <v>Valid</v>
      </c>
      <c r="V125" s="5">
        <f t="shared" si="19"/>
        <v>1433.9</v>
      </c>
      <c r="W125" s="5" t="str">
        <f t="shared" si="29"/>
        <v>Medium</v>
      </c>
      <c r="X125" s="5">
        <v>5.7000000000000002E-2</v>
      </c>
      <c r="Y125" s="5" t="str">
        <f t="shared" si="30"/>
        <v>Valid</v>
      </c>
      <c r="Z125" s="5">
        <f t="shared" si="31"/>
        <v>5.7000000000000002E-2</v>
      </c>
      <c r="AA125" s="5">
        <v>8</v>
      </c>
      <c r="AB125">
        <f t="shared" si="32"/>
        <v>10817.3416</v>
      </c>
      <c r="AC125">
        <f t="shared" si="20"/>
        <v>10908.08</v>
      </c>
      <c r="AD125">
        <f t="shared" si="33"/>
        <v>-90.738400000000183</v>
      </c>
      <c r="AE125">
        <f t="shared" si="34"/>
        <v>-8.3882346842037592E-3</v>
      </c>
      <c r="AF125">
        <f t="shared" si="35"/>
        <v>0</v>
      </c>
      <c r="AG125">
        <f t="shared" si="36"/>
        <v>0</v>
      </c>
      <c r="AK125">
        <f>AA125*(1+What_if_Analysis!$B$4)</f>
        <v>9.6</v>
      </c>
      <c r="AL125" s="5">
        <f>MIN(Z125,What_if_Analysis!$B$2)</f>
        <v>0.05</v>
      </c>
      <c r="AM125">
        <f t="shared" si="37"/>
        <v>13077.168</v>
      </c>
      <c r="AN125">
        <f>AM125-(AK125*(T125*(1+What_if_Analysis!$B$3)))</f>
        <v>-2064.8160000000007</v>
      </c>
    </row>
    <row r="126" spans="1:40" x14ac:dyDescent="0.3">
      <c r="A126" t="s">
        <v>139</v>
      </c>
      <c r="B126" s="3">
        <v>45159</v>
      </c>
      <c r="C126" s="3" t="str">
        <f t="shared" si="21"/>
        <v>Aug-2023</v>
      </c>
      <c r="D126" s="3" t="str">
        <f t="shared" si="22"/>
        <v>Q3-2023</v>
      </c>
      <c r="E126" s="3">
        <v>45173</v>
      </c>
      <c r="F126" s="3" t="str">
        <f t="shared" si="23"/>
        <v>Valid</v>
      </c>
      <c r="G126" s="12">
        <f t="shared" si="24"/>
        <v>14</v>
      </c>
      <c r="H126" s="3">
        <f t="shared" si="25"/>
        <v>45173</v>
      </c>
      <c r="I126" t="s">
        <v>648</v>
      </c>
      <c r="J126" t="str">
        <f t="shared" si="26"/>
        <v>Americas → Canada → Montreal</v>
      </c>
      <c r="K126" s="3" t="str">
        <f t="shared" si="27"/>
        <v>Canada-2023-08</v>
      </c>
      <c r="L126" t="s">
        <v>653</v>
      </c>
      <c r="M126" t="s">
        <v>681</v>
      </c>
      <c r="N126" t="s">
        <v>702</v>
      </c>
      <c r="O126" t="s">
        <v>710</v>
      </c>
      <c r="P126" t="s">
        <v>721</v>
      </c>
      <c r="Q126" t="s">
        <v>727</v>
      </c>
      <c r="R126" t="s">
        <v>858</v>
      </c>
      <c r="S126" s="5">
        <v>178.19</v>
      </c>
      <c r="T126" s="5">
        <v>284.43</v>
      </c>
      <c r="U126" s="5" t="str">
        <f t="shared" si="28"/>
        <v>Valid</v>
      </c>
      <c r="V126" s="5">
        <f t="shared" si="19"/>
        <v>284.43</v>
      </c>
      <c r="W126" s="5" t="str">
        <f t="shared" si="29"/>
        <v>Low</v>
      </c>
      <c r="X126" s="5">
        <v>8.8999999999999996E-2</v>
      </c>
      <c r="Y126" s="5" t="str">
        <f t="shared" si="30"/>
        <v>Valid</v>
      </c>
      <c r="Z126" s="5">
        <f t="shared" si="31"/>
        <v>8.8999999999999996E-2</v>
      </c>
      <c r="AA126" s="5">
        <v>8</v>
      </c>
      <c r="AB126">
        <f t="shared" si="32"/>
        <v>2072.9258400000003</v>
      </c>
      <c r="AC126">
        <f t="shared" si="20"/>
        <v>1425.52</v>
      </c>
      <c r="AD126">
        <f t="shared" si="33"/>
        <v>647.40584000000035</v>
      </c>
      <c r="AE126">
        <f t="shared" si="34"/>
        <v>0.31231500302972742</v>
      </c>
      <c r="AF126">
        <f t="shared" si="35"/>
        <v>0</v>
      </c>
      <c r="AG126">
        <f t="shared" si="36"/>
        <v>0</v>
      </c>
      <c r="AK126">
        <f>AA126*(1+What_if_Analysis!$B$4)</f>
        <v>9.6</v>
      </c>
      <c r="AL126" s="5">
        <f>MIN(Z126,What_if_Analysis!$B$2)</f>
        <v>0.05</v>
      </c>
      <c r="AM126">
        <f t="shared" si="37"/>
        <v>2594.0015999999996</v>
      </c>
      <c r="AN126">
        <f>AM126-(AK126*(T126*(1+What_if_Analysis!$B$3)))</f>
        <v>-409.57920000000058</v>
      </c>
    </row>
    <row r="127" spans="1:40" x14ac:dyDescent="0.3">
      <c r="A127" t="s">
        <v>140</v>
      </c>
      <c r="B127" s="3">
        <v>45150</v>
      </c>
      <c r="C127" s="3" t="str">
        <f t="shared" si="21"/>
        <v>Aug-2023</v>
      </c>
      <c r="D127" s="3" t="str">
        <f t="shared" si="22"/>
        <v>Q3-2023</v>
      </c>
      <c r="E127" s="3">
        <v>45175</v>
      </c>
      <c r="F127" s="3" t="str">
        <f t="shared" si="23"/>
        <v>Valid</v>
      </c>
      <c r="G127" s="12">
        <f t="shared" si="24"/>
        <v>25</v>
      </c>
      <c r="H127" s="3">
        <f t="shared" si="25"/>
        <v>45175</v>
      </c>
      <c r="I127" t="s">
        <v>647</v>
      </c>
      <c r="J127" t="str">
        <f t="shared" si="26"/>
        <v>Asia → China → Shanghai</v>
      </c>
      <c r="K127" s="3" t="str">
        <f t="shared" si="27"/>
        <v>China-2023-08</v>
      </c>
      <c r="L127" t="s">
        <v>659</v>
      </c>
      <c r="M127" t="s">
        <v>685</v>
      </c>
      <c r="N127" t="s">
        <v>705</v>
      </c>
      <c r="O127" t="s">
        <v>707</v>
      </c>
      <c r="P127" t="s">
        <v>717</v>
      </c>
      <c r="Q127" t="s">
        <v>727</v>
      </c>
      <c r="R127" t="s">
        <v>859</v>
      </c>
      <c r="S127" s="5">
        <v>950.77</v>
      </c>
      <c r="T127" s="5">
        <v>694.78</v>
      </c>
      <c r="U127" s="5" t="str">
        <f t="shared" si="28"/>
        <v>Valid</v>
      </c>
      <c r="V127" s="5">
        <f t="shared" si="19"/>
        <v>694.78</v>
      </c>
      <c r="W127" s="5" t="str">
        <f t="shared" si="29"/>
        <v>Medium</v>
      </c>
      <c r="X127" s="5">
        <v>8.4000000000000005E-2</v>
      </c>
      <c r="Y127" s="5" t="str">
        <f t="shared" si="30"/>
        <v>Valid</v>
      </c>
      <c r="Z127" s="5">
        <f t="shared" si="31"/>
        <v>8.4000000000000005E-2</v>
      </c>
      <c r="AA127" s="5">
        <v>14</v>
      </c>
      <c r="AB127">
        <f t="shared" si="32"/>
        <v>8909.8587200000002</v>
      </c>
      <c r="AC127">
        <f t="shared" si="20"/>
        <v>13310.779999999999</v>
      </c>
      <c r="AD127">
        <f t="shared" si="33"/>
        <v>-4400.9212799999987</v>
      </c>
      <c r="AE127">
        <f t="shared" si="34"/>
        <v>-0.49393839097821279</v>
      </c>
      <c r="AF127">
        <f t="shared" si="35"/>
        <v>0</v>
      </c>
      <c r="AG127">
        <f t="shared" si="36"/>
        <v>0</v>
      </c>
      <c r="AK127">
        <f>AA127*(1+What_if_Analysis!$B$4)</f>
        <v>16.8</v>
      </c>
      <c r="AL127" s="5">
        <f>MIN(Z127,What_if_Analysis!$B$2)</f>
        <v>0.05</v>
      </c>
      <c r="AM127">
        <f t="shared" si="37"/>
        <v>11088.6888</v>
      </c>
      <c r="AN127">
        <f>AM127-(AK127*(T127*(1+What_if_Analysis!$B$3)))</f>
        <v>-1750.8456000000006</v>
      </c>
    </row>
    <row r="128" spans="1:40" x14ac:dyDescent="0.3">
      <c r="A128" t="s">
        <v>141</v>
      </c>
      <c r="B128" s="3">
        <v>45450</v>
      </c>
      <c r="C128" s="3" t="str">
        <f t="shared" si="21"/>
        <v>Jun-2024</v>
      </c>
      <c r="D128" s="3" t="str">
        <f t="shared" si="22"/>
        <v>Q2-2024</v>
      </c>
      <c r="E128" s="3">
        <v>45469</v>
      </c>
      <c r="F128" s="3" t="str">
        <f t="shared" si="23"/>
        <v>Valid</v>
      </c>
      <c r="G128" s="12">
        <f t="shared" si="24"/>
        <v>19</v>
      </c>
      <c r="H128" s="3">
        <f t="shared" si="25"/>
        <v>45469</v>
      </c>
      <c r="I128" t="s">
        <v>649</v>
      </c>
      <c r="J128" t="str">
        <f t="shared" si="26"/>
        <v>Europe → Germany → Berlin</v>
      </c>
      <c r="K128" s="3" t="str">
        <f t="shared" si="27"/>
        <v>Germany-2024-06</v>
      </c>
      <c r="L128" t="s">
        <v>656</v>
      </c>
      <c r="M128" t="s">
        <v>671</v>
      </c>
      <c r="N128" t="s">
        <v>703</v>
      </c>
      <c r="O128" t="s">
        <v>709</v>
      </c>
      <c r="P128" t="s">
        <v>724</v>
      </c>
      <c r="Q128" t="s">
        <v>727</v>
      </c>
      <c r="R128" t="s">
        <v>860</v>
      </c>
      <c r="S128" s="5">
        <v>1064.32</v>
      </c>
      <c r="T128" s="5">
        <v>1848.39</v>
      </c>
      <c r="U128" s="5" t="str">
        <f t="shared" si="28"/>
        <v>Valid</v>
      </c>
      <c r="V128" s="5">
        <f t="shared" si="19"/>
        <v>1848.39</v>
      </c>
      <c r="W128" s="5" t="str">
        <f t="shared" si="29"/>
        <v>Medium</v>
      </c>
      <c r="X128" s="5">
        <v>7.2999999999999995E-2</v>
      </c>
      <c r="Y128" s="5" t="str">
        <f t="shared" si="30"/>
        <v>Valid</v>
      </c>
      <c r="Z128" s="5">
        <f t="shared" si="31"/>
        <v>7.2999999999999995E-2</v>
      </c>
      <c r="AA128" s="5">
        <v>38</v>
      </c>
      <c r="AB128">
        <f t="shared" si="32"/>
        <v>65111.38614000001</v>
      </c>
      <c r="AC128">
        <f t="shared" si="20"/>
        <v>40444.159999999996</v>
      </c>
      <c r="AD128">
        <f t="shared" si="33"/>
        <v>24667.226140000013</v>
      </c>
      <c r="AE128">
        <f t="shared" si="34"/>
        <v>0.3788465827921631</v>
      </c>
      <c r="AF128">
        <f t="shared" si="35"/>
        <v>0</v>
      </c>
      <c r="AG128">
        <f t="shared" si="36"/>
        <v>0</v>
      </c>
      <c r="AK128">
        <f>AA128*(1+What_if_Analysis!$B$4)</f>
        <v>45.6</v>
      </c>
      <c r="AL128" s="5">
        <f>MIN(Z128,What_if_Analysis!$B$2)</f>
        <v>0.05</v>
      </c>
      <c r="AM128">
        <f t="shared" si="37"/>
        <v>80072.254799999995</v>
      </c>
      <c r="AN128">
        <f>AM128-(AK128*(T128*(1+What_if_Analysis!$B$3)))</f>
        <v>-12642.987600000022</v>
      </c>
    </row>
    <row r="129" spans="1:40" x14ac:dyDescent="0.3">
      <c r="A129" t="s">
        <v>142</v>
      </c>
      <c r="B129" s="3">
        <v>45874</v>
      </c>
      <c r="C129" s="3" t="str">
        <f t="shared" si="21"/>
        <v>Aug-2025</v>
      </c>
      <c r="D129" s="3" t="str">
        <f t="shared" si="22"/>
        <v>Q3-2025</v>
      </c>
      <c r="E129" s="3">
        <v>45883</v>
      </c>
      <c r="F129" s="3" t="str">
        <f t="shared" si="23"/>
        <v>Valid</v>
      </c>
      <c r="G129" s="12">
        <f t="shared" si="24"/>
        <v>9</v>
      </c>
      <c r="H129" s="3">
        <f t="shared" si="25"/>
        <v>45883</v>
      </c>
      <c r="I129" t="s">
        <v>649</v>
      </c>
      <c r="J129" t="str">
        <f t="shared" si="26"/>
        <v>Europe → United Kingdom → London</v>
      </c>
      <c r="K129" s="3" t="str">
        <f t="shared" si="27"/>
        <v>United Kingdom-2025-08</v>
      </c>
      <c r="L129" t="s">
        <v>658</v>
      </c>
      <c r="M129" t="s">
        <v>683</v>
      </c>
      <c r="N129" t="s">
        <v>703</v>
      </c>
      <c r="O129" t="s">
        <v>711</v>
      </c>
      <c r="P129" t="s">
        <v>718</v>
      </c>
      <c r="Q129" t="s">
        <v>727</v>
      </c>
      <c r="R129" t="s">
        <v>861</v>
      </c>
      <c r="S129" s="5">
        <v>41.76</v>
      </c>
      <c r="T129" s="5">
        <v>45.19</v>
      </c>
      <c r="U129" s="5" t="str">
        <f t="shared" si="28"/>
        <v>Valid</v>
      </c>
      <c r="V129" s="5">
        <f t="shared" si="19"/>
        <v>45.19</v>
      </c>
      <c r="W129" s="5" t="str">
        <f t="shared" si="29"/>
        <v>Low</v>
      </c>
      <c r="X129" s="5">
        <v>0.17899999999999999</v>
      </c>
      <c r="Y129" s="5" t="str">
        <f t="shared" si="30"/>
        <v>Valid</v>
      </c>
      <c r="Z129" s="5">
        <f t="shared" si="31"/>
        <v>0.17899999999999999</v>
      </c>
      <c r="AA129" s="5">
        <v>23</v>
      </c>
      <c r="AB129">
        <f t="shared" si="32"/>
        <v>853.32276999999988</v>
      </c>
      <c r="AC129">
        <f t="shared" si="20"/>
        <v>960.4799999999999</v>
      </c>
      <c r="AD129">
        <f t="shared" si="33"/>
        <v>-107.15723000000003</v>
      </c>
      <c r="AE129">
        <f t="shared" si="34"/>
        <v>-0.12557643340514638</v>
      </c>
      <c r="AF129">
        <f t="shared" si="35"/>
        <v>0</v>
      </c>
      <c r="AG129">
        <f t="shared" si="36"/>
        <v>0</v>
      </c>
      <c r="AK129">
        <f>AA129*(1+What_if_Analysis!$B$4)</f>
        <v>27.599999999999998</v>
      </c>
      <c r="AL129" s="5">
        <f>MIN(Z129,What_if_Analysis!$B$2)</f>
        <v>0.05</v>
      </c>
      <c r="AM129">
        <f t="shared" si="37"/>
        <v>1184.8817999999999</v>
      </c>
      <c r="AN129">
        <f>AM129-(AK129*(T129*(1+What_if_Analysis!$B$3)))</f>
        <v>-187.08660000000009</v>
      </c>
    </row>
    <row r="130" spans="1:40" x14ac:dyDescent="0.3">
      <c r="A130" t="s">
        <v>143</v>
      </c>
      <c r="B130" s="3">
        <v>45442</v>
      </c>
      <c r="C130" s="3" t="str">
        <f t="shared" si="21"/>
        <v>May-2024</v>
      </c>
      <c r="D130" s="3" t="str">
        <f t="shared" si="22"/>
        <v>Q2-2024</v>
      </c>
      <c r="E130" s="3">
        <v>45456</v>
      </c>
      <c r="F130" s="3" t="str">
        <f t="shared" si="23"/>
        <v>Valid</v>
      </c>
      <c r="G130" s="12">
        <f t="shared" si="24"/>
        <v>14</v>
      </c>
      <c r="H130" s="3">
        <f t="shared" si="25"/>
        <v>45456</v>
      </c>
      <c r="I130" t="s">
        <v>648</v>
      </c>
      <c r="J130" t="str">
        <f t="shared" si="26"/>
        <v>Americas → USA → San Francisco</v>
      </c>
      <c r="K130" s="3" t="str">
        <f t="shared" si="27"/>
        <v>USA-2024-05</v>
      </c>
      <c r="L130" t="s">
        <v>660</v>
      </c>
      <c r="M130" t="s">
        <v>686</v>
      </c>
      <c r="N130" t="s">
        <v>705</v>
      </c>
      <c r="O130" t="s">
        <v>707</v>
      </c>
      <c r="P130" t="s">
        <v>721</v>
      </c>
      <c r="Q130" t="s">
        <v>730</v>
      </c>
      <c r="R130" t="s">
        <v>862</v>
      </c>
      <c r="S130" s="5">
        <v>157.78</v>
      </c>
      <c r="T130" s="5">
        <v>361.1</v>
      </c>
      <c r="U130" s="5" t="str">
        <f t="shared" si="28"/>
        <v>Valid</v>
      </c>
      <c r="V130" s="5">
        <f t="shared" ref="V130:V193" si="38">IF(T130&lt;0,AVERAGEIF($Q$2:$Q$633,Q130,$T$2:$T$633),T130)</f>
        <v>361.1</v>
      </c>
      <c r="W130" s="5" t="str">
        <f t="shared" si="29"/>
        <v>Low</v>
      </c>
      <c r="X130" s="5">
        <v>0.187</v>
      </c>
      <c r="Y130" s="5" t="str">
        <f t="shared" si="30"/>
        <v>Valid</v>
      </c>
      <c r="Z130" s="5">
        <f t="shared" si="31"/>
        <v>0.187</v>
      </c>
      <c r="AA130" s="5">
        <v>9</v>
      </c>
      <c r="AB130">
        <f t="shared" si="32"/>
        <v>2642.1686999999997</v>
      </c>
      <c r="AC130">
        <f t="shared" ref="AC130:AC193" si="39">S130*AA130</f>
        <v>1420.02</v>
      </c>
      <c r="AD130">
        <f t="shared" si="33"/>
        <v>1222.1486999999997</v>
      </c>
      <c r="AE130">
        <f t="shared" si="34"/>
        <v>0.46255513510549112</v>
      </c>
      <c r="AF130">
        <f t="shared" si="35"/>
        <v>0</v>
      </c>
      <c r="AG130">
        <f t="shared" si="36"/>
        <v>0</v>
      </c>
      <c r="AK130">
        <f>AA130*(1+What_if_Analysis!$B$4)</f>
        <v>10.799999999999999</v>
      </c>
      <c r="AL130" s="5">
        <f>MIN(Z130,What_if_Analysis!$B$2)</f>
        <v>0.05</v>
      </c>
      <c r="AM130">
        <f t="shared" si="37"/>
        <v>3704.8859999999995</v>
      </c>
      <c r="AN130">
        <f>AM130-(AK130*(T130*(1+What_if_Analysis!$B$3)))</f>
        <v>-584.98200000000088</v>
      </c>
    </row>
    <row r="131" spans="1:40" x14ac:dyDescent="0.3">
      <c r="A131" t="s">
        <v>144</v>
      </c>
      <c r="B131" s="3">
        <v>44948</v>
      </c>
      <c r="C131" s="3" t="str">
        <f t="shared" ref="C131:C194" si="40">TEXT(B131,"mmm-yyyy")</f>
        <v>Jan-2023</v>
      </c>
      <c r="D131" s="3" t="str">
        <f t="shared" ref="D131:D194" si="41">"Q" &amp; ROUNDUP(MONTH(B131)/3,0) &amp; "-" &amp; YEAR(B131)</f>
        <v>Q1-2023</v>
      </c>
      <c r="E131" s="3">
        <v>44956</v>
      </c>
      <c r="F131" s="3" t="str">
        <f t="shared" ref="F131:F194" si="42">IF(E131&lt;B131,"Invalid RequiredDate","Valid")</f>
        <v>Valid</v>
      </c>
      <c r="G131" s="12">
        <f t="shared" ref="G131:G194" si="43">MEDIAN($E$2:$E$633-$B$2:$B$633)</f>
        <v>8</v>
      </c>
      <c r="H131" s="3">
        <f t="shared" ref="H131:H194" si="44">IF(E131&lt;B131,B131+$G$2,E131)</f>
        <v>44956</v>
      </c>
      <c r="I131" t="s">
        <v>648</v>
      </c>
      <c r="J131" t="str">
        <f t="shared" ref="J131:J194" si="45">I131 &amp; " → " &amp; L131 &amp; " → " &amp; M131</f>
        <v>Americas → USA → San Francisco</v>
      </c>
      <c r="K131" s="3" t="str">
        <f t="shared" ref="K131:K194" si="46">L131 &amp; "-" &amp; TEXT(C131,"YYYY-MM")</f>
        <v>USA-2023-01</v>
      </c>
      <c r="L131" t="s">
        <v>660</v>
      </c>
      <c r="M131" t="s">
        <v>686</v>
      </c>
      <c r="N131" t="s">
        <v>705</v>
      </c>
      <c r="O131" t="s">
        <v>708</v>
      </c>
      <c r="P131" t="s">
        <v>720</v>
      </c>
      <c r="Q131" t="s">
        <v>729</v>
      </c>
      <c r="R131" t="s">
        <v>863</v>
      </c>
      <c r="S131" s="5">
        <v>413.52</v>
      </c>
      <c r="T131" s="5">
        <v>1004.34</v>
      </c>
      <c r="U131" s="5" t="str">
        <f t="shared" ref="U131:U194" si="47">IF(T131&lt;0,"Invalid Price","Valid")</f>
        <v>Valid</v>
      </c>
      <c r="V131" s="5">
        <f t="shared" si="38"/>
        <v>1004.34</v>
      </c>
      <c r="W131" s="5" t="str">
        <f t="shared" ref="W131:W194" si="48">IF(V131&lt;=616.86,"Low",IF(V131&lt;1912.05,"Medium","High"))</f>
        <v>Medium</v>
      </c>
      <c r="X131" s="5">
        <v>0.111</v>
      </c>
      <c r="Y131" s="5" t="str">
        <f t="shared" ref="Y131:Y194" si="49">IF(X131&gt;30%,"High Discount","Valid")</f>
        <v>Valid</v>
      </c>
      <c r="Z131" s="5">
        <f t="shared" ref="Z131:Z194" si="50">IF(X131&gt;30%,30%,X131)</f>
        <v>0.111</v>
      </c>
      <c r="AA131" s="5">
        <v>18</v>
      </c>
      <c r="AB131">
        <f t="shared" ref="AB131:AB194" si="51">V131 * AA131 * (1 - Z131)</f>
        <v>16071.44868</v>
      </c>
      <c r="AC131">
        <f t="shared" si="39"/>
        <v>7443.36</v>
      </c>
      <c r="AD131">
        <f t="shared" ref="AD131:AD194" si="52">AB131-AC131</f>
        <v>8628.0886800000007</v>
      </c>
      <c r="AE131">
        <f t="shared" ref="AE131:AE194" si="53">IF(AB131=0, 0, AD131 / AB131)</f>
        <v>0.53685817948304593</v>
      </c>
      <c r="AF131">
        <f t="shared" ref="AF131:AF194" si="54">IF(G131&lt;=7,1,0)</f>
        <v>0</v>
      </c>
      <c r="AG131">
        <f t="shared" ref="AG131:AG194" si="55">IF(Z131&gt;20%,1,0)</f>
        <v>0</v>
      </c>
      <c r="AK131">
        <f>AA131*(1+What_if_Analysis!$B$4)</f>
        <v>21.599999999999998</v>
      </c>
      <c r="AL131" s="5">
        <f>MIN(Z131,What_if_Analysis!$B$2)</f>
        <v>0.05</v>
      </c>
      <c r="AM131">
        <f t="shared" ref="AM131:AM194" si="56">AK131*V131*(1-AL131)</f>
        <v>20609.056799999998</v>
      </c>
      <c r="AN131">
        <f>AM131-(AK131*(T131*(1+What_if_Analysis!$B$3)))</f>
        <v>-3254.0616000000009</v>
      </c>
    </row>
    <row r="132" spans="1:40" x14ac:dyDescent="0.3">
      <c r="A132" t="s">
        <v>145</v>
      </c>
      <c r="B132" s="3">
        <v>45700</v>
      </c>
      <c r="C132" s="3" t="str">
        <f t="shared" si="40"/>
        <v>Feb-2025</v>
      </c>
      <c r="D132" s="3" t="str">
        <f t="shared" si="41"/>
        <v>Q1-2025</v>
      </c>
      <c r="E132" s="3">
        <v>45716</v>
      </c>
      <c r="F132" s="3" t="str">
        <f t="shared" si="42"/>
        <v>Valid</v>
      </c>
      <c r="G132" s="12">
        <f t="shared" si="43"/>
        <v>16</v>
      </c>
      <c r="H132" s="3">
        <f t="shared" si="44"/>
        <v>45716</v>
      </c>
      <c r="I132" t="s">
        <v>648</v>
      </c>
      <c r="J132" t="str">
        <f t="shared" si="45"/>
        <v>Americas → Brazil → São Paulo</v>
      </c>
      <c r="K132" s="3" t="str">
        <f t="shared" si="46"/>
        <v>Brazil-2025-02</v>
      </c>
      <c r="L132" t="s">
        <v>655</v>
      </c>
      <c r="M132" t="s">
        <v>670</v>
      </c>
      <c r="N132" t="s">
        <v>703</v>
      </c>
      <c r="O132" t="s">
        <v>711</v>
      </c>
      <c r="P132" t="s">
        <v>717</v>
      </c>
      <c r="Q132" t="s">
        <v>732</v>
      </c>
      <c r="R132" t="s">
        <v>864</v>
      </c>
      <c r="S132" s="5">
        <v>414.95</v>
      </c>
      <c r="T132" s="5">
        <v>1027.73</v>
      </c>
      <c r="U132" s="5" t="str">
        <f t="shared" si="47"/>
        <v>Valid</v>
      </c>
      <c r="V132" s="5">
        <f t="shared" si="38"/>
        <v>1027.73</v>
      </c>
      <c r="W132" s="5" t="str">
        <f t="shared" si="48"/>
        <v>Medium</v>
      </c>
      <c r="X132" s="5">
        <v>6.3E-2</v>
      </c>
      <c r="Y132" s="5" t="str">
        <f t="shared" si="49"/>
        <v>Valid</v>
      </c>
      <c r="Z132" s="5">
        <f t="shared" si="50"/>
        <v>6.3E-2</v>
      </c>
      <c r="AA132" s="5">
        <v>8</v>
      </c>
      <c r="AB132">
        <f t="shared" si="51"/>
        <v>7703.8640800000003</v>
      </c>
      <c r="AC132">
        <f t="shared" si="39"/>
        <v>3319.6</v>
      </c>
      <c r="AD132">
        <f t="shared" si="52"/>
        <v>4384.2640800000008</v>
      </c>
      <c r="AE132">
        <f t="shared" si="53"/>
        <v>0.56909935513815568</v>
      </c>
      <c r="AF132">
        <f t="shared" si="54"/>
        <v>0</v>
      </c>
      <c r="AG132">
        <f t="shared" si="55"/>
        <v>0</v>
      </c>
      <c r="AK132">
        <f>AA132*(1+What_if_Analysis!$B$4)</f>
        <v>9.6</v>
      </c>
      <c r="AL132" s="5">
        <f>MIN(Z132,What_if_Analysis!$B$2)</f>
        <v>0.05</v>
      </c>
      <c r="AM132">
        <f t="shared" si="56"/>
        <v>9372.8976000000002</v>
      </c>
      <c r="AN132">
        <f>AM132-(AK132*(T132*(1+What_if_Analysis!$B$3)))</f>
        <v>-1479.9312000000009</v>
      </c>
    </row>
    <row r="133" spans="1:40" x14ac:dyDescent="0.3">
      <c r="A133" t="s">
        <v>146</v>
      </c>
      <c r="B133" s="3">
        <v>45719</v>
      </c>
      <c r="C133" s="3" t="str">
        <f t="shared" si="40"/>
        <v>Mar-2025</v>
      </c>
      <c r="D133" s="3" t="str">
        <f t="shared" si="41"/>
        <v>Q1-2025</v>
      </c>
      <c r="E133" s="3">
        <v>45740</v>
      </c>
      <c r="F133" s="3" t="str">
        <f t="shared" si="42"/>
        <v>Valid</v>
      </c>
      <c r="G133" s="12">
        <f t="shared" si="43"/>
        <v>21</v>
      </c>
      <c r="H133" s="3">
        <f t="shared" si="44"/>
        <v>45740</v>
      </c>
      <c r="I133" t="s">
        <v>646</v>
      </c>
      <c r="J133" t="str">
        <f t="shared" si="45"/>
        <v>Africa → Nigeria → Abuja</v>
      </c>
      <c r="K133" s="3" t="str">
        <f t="shared" si="46"/>
        <v>Nigeria-2025-03</v>
      </c>
      <c r="L133" t="s">
        <v>651</v>
      </c>
      <c r="M133" t="s">
        <v>669</v>
      </c>
      <c r="N133" t="s">
        <v>706</v>
      </c>
      <c r="O133" t="s">
        <v>711</v>
      </c>
      <c r="P133" t="s">
        <v>722</v>
      </c>
      <c r="Q133" t="s">
        <v>733</v>
      </c>
      <c r="R133" t="s">
        <v>865</v>
      </c>
      <c r="S133" s="5">
        <v>555.95000000000005</v>
      </c>
      <c r="T133" s="5">
        <v>468.09</v>
      </c>
      <c r="U133" s="5" t="str">
        <f t="shared" si="47"/>
        <v>Valid</v>
      </c>
      <c r="V133" s="5">
        <f t="shared" si="38"/>
        <v>468.09</v>
      </c>
      <c r="W133" s="5" t="str">
        <f t="shared" si="48"/>
        <v>Low</v>
      </c>
      <c r="X133" s="5">
        <v>0.14199999999999999</v>
      </c>
      <c r="Y133" s="5" t="str">
        <f t="shared" si="49"/>
        <v>Valid</v>
      </c>
      <c r="Z133" s="5">
        <f t="shared" si="50"/>
        <v>0.14199999999999999</v>
      </c>
      <c r="AA133" s="5">
        <v>11</v>
      </c>
      <c r="AB133">
        <f t="shared" si="51"/>
        <v>4417.8334199999999</v>
      </c>
      <c r="AC133">
        <f t="shared" si="39"/>
        <v>6115.4500000000007</v>
      </c>
      <c r="AD133">
        <f t="shared" si="52"/>
        <v>-1697.6165800000008</v>
      </c>
      <c r="AE133">
        <f t="shared" si="53"/>
        <v>-0.38426450674095375</v>
      </c>
      <c r="AF133">
        <f t="shared" si="54"/>
        <v>0</v>
      </c>
      <c r="AG133">
        <f t="shared" si="55"/>
        <v>0</v>
      </c>
      <c r="AK133">
        <f>AA133*(1+What_if_Analysis!$B$4)</f>
        <v>13.2</v>
      </c>
      <c r="AL133" s="5">
        <f>MIN(Z133,What_if_Analysis!$B$2)</f>
        <v>0.05</v>
      </c>
      <c r="AM133">
        <f t="shared" si="56"/>
        <v>5869.8485999999994</v>
      </c>
      <c r="AN133">
        <f>AM133-(AK133*(T133*(1+What_if_Analysis!$B$3)))</f>
        <v>-926.81820000000062</v>
      </c>
    </row>
    <row r="134" spans="1:40" x14ac:dyDescent="0.3">
      <c r="A134" t="s">
        <v>147</v>
      </c>
      <c r="B134" s="3">
        <v>44953</v>
      </c>
      <c r="C134" s="3" t="str">
        <f t="shared" si="40"/>
        <v>Jan-2023</v>
      </c>
      <c r="D134" s="3" t="str">
        <f t="shared" si="41"/>
        <v>Q1-2023</v>
      </c>
      <c r="E134" s="3">
        <v>44957</v>
      </c>
      <c r="F134" s="3" t="str">
        <f t="shared" si="42"/>
        <v>Valid</v>
      </c>
      <c r="G134" s="12">
        <f t="shared" si="43"/>
        <v>4</v>
      </c>
      <c r="H134" s="3">
        <f t="shared" si="44"/>
        <v>44957</v>
      </c>
      <c r="I134" t="s">
        <v>649</v>
      </c>
      <c r="J134" t="str">
        <f t="shared" si="45"/>
        <v>Europe → United Kingdom → Manchester</v>
      </c>
      <c r="K134" s="3" t="str">
        <f t="shared" si="46"/>
        <v>United Kingdom-2023-01</v>
      </c>
      <c r="L134" t="s">
        <v>658</v>
      </c>
      <c r="M134" t="s">
        <v>693</v>
      </c>
      <c r="N134" t="s">
        <v>706</v>
      </c>
      <c r="O134" t="s">
        <v>708</v>
      </c>
      <c r="P134" t="s">
        <v>725</v>
      </c>
      <c r="Q134" t="s">
        <v>731</v>
      </c>
      <c r="R134" t="s">
        <v>866</v>
      </c>
      <c r="S134" s="5">
        <v>941.2</v>
      </c>
      <c r="T134" s="5">
        <v>668.02</v>
      </c>
      <c r="U134" s="5" t="str">
        <f t="shared" si="47"/>
        <v>Valid</v>
      </c>
      <c r="V134" s="5">
        <f t="shared" si="38"/>
        <v>668.02</v>
      </c>
      <c r="W134" s="5" t="str">
        <f t="shared" si="48"/>
        <v>Medium</v>
      </c>
      <c r="X134" s="5">
        <v>0.22</v>
      </c>
      <c r="Y134" s="5" t="str">
        <f t="shared" si="49"/>
        <v>Valid</v>
      </c>
      <c r="Z134" s="5">
        <f t="shared" si="50"/>
        <v>0.22</v>
      </c>
      <c r="AA134" s="5">
        <v>16</v>
      </c>
      <c r="AB134">
        <f t="shared" si="51"/>
        <v>8336.8896000000004</v>
      </c>
      <c r="AC134">
        <f t="shared" si="39"/>
        <v>15059.2</v>
      </c>
      <c r="AD134">
        <f t="shared" si="52"/>
        <v>-6722.3104000000003</v>
      </c>
      <c r="AE134">
        <f t="shared" si="53"/>
        <v>-0.80633314371825193</v>
      </c>
      <c r="AF134">
        <f t="shared" si="54"/>
        <v>1</v>
      </c>
      <c r="AG134">
        <f t="shared" si="55"/>
        <v>1</v>
      </c>
      <c r="AK134">
        <f>AA134*(1+What_if_Analysis!$B$4)</f>
        <v>19.2</v>
      </c>
      <c r="AL134" s="5">
        <f>MIN(Z134,What_if_Analysis!$B$2)</f>
        <v>0.05</v>
      </c>
      <c r="AM134">
        <f t="shared" si="56"/>
        <v>12184.684799999997</v>
      </c>
      <c r="AN134">
        <f>AM134-(AK134*(T134*(1+What_if_Analysis!$B$3)))</f>
        <v>-1923.8976000000021</v>
      </c>
    </row>
    <row r="135" spans="1:40" x14ac:dyDescent="0.3">
      <c r="A135" t="s">
        <v>148</v>
      </c>
      <c r="B135" s="3">
        <v>45666</v>
      </c>
      <c r="C135" s="3" t="str">
        <f t="shared" si="40"/>
        <v>Jan-2025</v>
      </c>
      <c r="D135" s="3" t="str">
        <f t="shared" si="41"/>
        <v>Q1-2025</v>
      </c>
      <c r="E135" s="3">
        <v>45672</v>
      </c>
      <c r="F135" s="3" t="str">
        <f t="shared" si="42"/>
        <v>Valid</v>
      </c>
      <c r="G135" s="12">
        <f t="shared" si="43"/>
        <v>6</v>
      </c>
      <c r="H135" s="3">
        <f t="shared" si="44"/>
        <v>45672</v>
      </c>
      <c r="I135" t="s">
        <v>647</v>
      </c>
      <c r="J135" t="str">
        <f t="shared" si="45"/>
        <v>Asia → China → Beijing</v>
      </c>
      <c r="K135" s="3" t="str">
        <f t="shared" si="46"/>
        <v>China-2025-01</v>
      </c>
      <c r="L135" t="s">
        <v>659</v>
      </c>
      <c r="M135" t="s">
        <v>699</v>
      </c>
      <c r="N135" t="s">
        <v>702</v>
      </c>
      <c r="O135" t="s">
        <v>708</v>
      </c>
      <c r="P135" t="s">
        <v>712</v>
      </c>
      <c r="Q135" t="s">
        <v>730</v>
      </c>
      <c r="R135" t="s">
        <v>867</v>
      </c>
      <c r="S135" s="5">
        <v>304.77999999999997</v>
      </c>
      <c r="T135" s="5">
        <v>537.27</v>
      </c>
      <c r="U135" s="5" t="str">
        <f t="shared" si="47"/>
        <v>Valid</v>
      </c>
      <c r="V135" s="5">
        <f t="shared" si="38"/>
        <v>537.27</v>
      </c>
      <c r="W135" s="5" t="str">
        <f t="shared" si="48"/>
        <v>Low</v>
      </c>
      <c r="X135" s="5">
        <v>0.187</v>
      </c>
      <c r="Y135" s="5" t="str">
        <f t="shared" si="49"/>
        <v>Valid</v>
      </c>
      <c r="Z135" s="5">
        <f t="shared" si="50"/>
        <v>0.187</v>
      </c>
      <c r="AA135" s="5">
        <v>8</v>
      </c>
      <c r="AB135">
        <f t="shared" si="51"/>
        <v>3494.4040799999998</v>
      </c>
      <c r="AC135">
        <f t="shared" si="39"/>
        <v>2438.2399999999998</v>
      </c>
      <c r="AD135">
        <f t="shared" si="52"/>
        <v>1056.16408</v>
      </c>
      <c r="AE135">
        <f t="shared" si="53"/>
        <v>0.3022444044307549</v>
      </c>
      <c r="AF135">
        <f t="shared" si="54"/>
        <v>1</v>
      </c>
      <c r="AG135">
        <f t="shared" si="55"/>
        <v>0</v>
      </c>
      <c r="AK135">
        <f>AA135*(1+What_if_Analysis!$B$4)</f>
        <v>9.6</v>
      </c>
      <c r="AL135" s="5">
        <f>MIN(Z135,What_if_Analysis!$B$2)</f>
        <v>0.05</v>
      </c>
      <c r="AM135">
        <f t="shared" si="56"/>
        <v>4899.902399999999</v>
      </c>
      <c r="AN135">
        <f>AM135-(AK135*(T135*(1+What_if_Analysis!$B$3)))</f>
        <v>-773.66880000000128</v>
      </c>
    </row>
    <row r="136" spans="1:40" x14ac:dyDescent="0.3">
      <c r="A136" t="s">
        <v>149</v>
      </c>
      <c r="B136" s="3">
        <v>45647</v>
      </c>
      <c r="C136" s="3" t="str">
        <f t="shared" si="40"/>
        <v>Dec-2024</v>
      </c>
      <c r="D136" s="3" t="str">
        <f t="shared" si="41"/>
        <v>Q4-2024</v>
      </c>
      <c r="E136" s="3">
        <v>45652</v>
      </c>
      <c r="F136" s="3" t="str">
        <f t="shared" si="42"/>
        <v>Valid</v>
      </c>
      <c r="G136" s="12">
        <f t="shared" si="43"/>
        <v>5</v>
      </c>
      <c r="H136" s="3">
        <f t="shared" si="44"/>
        <v>45652</v>
      </c>
      <c r="I136" t="s">
        <v>648</v>
      </c>
      <c r="J136" t="str">
        <f t="shared" si="45"/>
        <v>Americas → USA → San Francisco</v>
      </c>
      <c r="K136" s="3" t="str">
        <f t="shared" si="46"/>
        <v>USA-2024-12</v>
      </c>
      <c r="L136" t="s">
        <v>660</v>
      </c>
      <c r="M136" t="s">
        <v>686</v>
      </c>
      <c r="N136" t="s">
        <v>704</v>
      </c>
      <c r="O136" t="s">
        <v>709</v>
      </c>
      <c r="P136" t="s">
        <v>724</v>
      </c>
      <c r="Q136" t="s">
        <v>728</v>
      </c>
      <c r="R136" t="s">
        <v>868</v>
      </c>
      <c r="S136" s="5">
        <v>699.57</v>
      </c>
      <c r="T136" s="5">
        <v>572.71</v>
      </c>
      <c r="U136" s="5" t="str">
        <f t="shared" si="47"/>
        <v>Valid</v>
      </c>
      <c r="V136" s="5">
        <f t="shared" si="38"/>
        <v>572.71</v>
      </c>
      <c r="W136" s="5" t="str">
        <f t="shared" si="48"/>
        <v>Low</v>
      </c>
      <c r="X136" s="5">
        <v>0.192</v>
      </c>
      <c r="Y136" s="5" t="str">
        <f t="shared" si="49"/>
        <v>Valid</v>
      </c>
      <c r="Z136" s="5">
        <f t="shared" si="50"/>
        <v>0.192</v>
      </c>
      <c r="AA136" s="5">
        <v>26</v>
      </c>
      <c r="AB136">
        <f t="shared" si="51"/>
        <v>12031.491680000001</v>
      </c>
      <c r="AC136">
        <f t="shared" si="39"/>
        <v>18188.82</v>
      </c>
      <c r="AD136">
        <f t="shared" si="52"/>
        <v>-6157.3283199999987</v>
      </c>
      <c r="AE136">
        <f t="shared" si="53"/>
        <v>-0.51176765805651114</v>
      </c>
      <c r="AF136">
        <f t="shared" si="54"/>
        <v>1</v>
      </c>
      <c r="AG136">
        <f t="shared" si="55"/>
        <v>0</v>
      </c>
      <c r="AK136">
        <f>AA136*(1+What_if_Analysis!$B$4)</f>
        <v>31.2</v>
      </c>
      <c r="AL136" s="5">
        <f>MIN(Z136,What_if_Analysis!$B$2)</f>
        <v>0.05</v>
      </c>
      <c r="AM136">
        <f t="shared" si="56"/>
        <v>16975.124400000001</v>
      </c>
      <c r="AN136">
        <f>AM136-(AK136*(T136*(1+What_if_Analysis!$B$3)))</f>
        <v>-2680.2828000000009</v>
      </c>
    </row>
    <row r="137" spans="1:40" x14ac:dyDescent="0.3">
      <c r="A137" t="s">
        <v>150</v>
      </c>
      <c r="B137" s="3">
        <v>45028</v>
      </c>
      <c r="C137" s="3" t="str">
        <f t="shared" si="40"/>
        <v>Apr-2023</v>
      </c>
      <c r="D137" s="3" t="str">
        <f t="shared" si="41"/>
        <v>Q2-2023</v>
      </c>
      <c r="E137" s="3">
        <v>45033</v>
      </c>
      <c r="F137" s="3" t="str">
        <f t="shared" si="42"/>
        <v>Valid</v>
      </c>
      <c r="G137" s="12">
        <f t="shared" si="43"/>
        <v>5</v>
      </c>
      <c r="H137" s="3">
        <f t="shared" si="44"/>
        <v>45033</v>
      </c>
      <c r="I137" t="s">
        <v>649</v>
      </c>
      <c r="J137" t="str">
        <f t="shared" si="45"/>
        <v>Europe → France → Lyon</v>
      </c>
      <c r="K137" s="3" t="str">
        <f t="shared" si="46"/>
        <v>France-2023-04</v>
      </c>
      <c r="L137" t="s">
        <v>657</v>
      </c>
      <c r="M137" t="s">
        <v>679</v>
      </c>
      <c r="N137" t="s">
        <v>706</v>
      </c>
      <c r="O137" t="s">
        <v>711</v>
      </c>
      <c r="P137" t="s">
        <v>718</v>
      </c>
      <c r="Q137" t="s">
        <v>732</v>
      </c>
      <c r="R137" t="s">
        <v>869</v>
      </c>
      <c r="S137" s="5">
        <v>1087.81</v>
      </c>
      <c r="T137" s="5">
        <v>2323.87</v>
      </c>
      <c r="U137" s="5" t="str">
        <f t="shared" si="47"/>
        <v>Valid</v>
      </c>
      <c r="V137" s="5">
        <f t="shared" si="38"/>
        <v>2323.87</v>
      </c>
      <c r="W137" s="5" t="str">
        <f t="shared" si="48"/>
        <v>High</v>
      </c>
      <c r="X137" s="5">
        <v>9.4E-2</v>
      </c>
      <c r="Y137" s="5" t="str">
        <f t="shared" si="49"/>
        <v>Valid</v>
      </c>
      <c r="Z137" s="5">
        <f t="shared" si="50"/>
        <v>9.4E-2</v>
      </c>
      <c r="AA137" s="5">
        <v>13</v>
      </c>
      <c r="AB137">
        <f t="shared" si="51"/>
        <v>27370.540859999997</v>
      </c>
      <c r="AC137">
        <f t="shared" si="39"/>
        <v>14141.529999999999</v>
      </c>
      <c r="AD137">
        <f t="shared" si="52"/>
        <v>13229.010859999999</v>
      </c>
      <c r="AE137">
        <f t="shared" si="53"/>
        <v>0.48333026839572651</v>
      </c>
      <c r="AF137">
        <f t="shared" si="54"/>
        <v>1</v>
      </c>
      <c r="AG137">
        <f t="shared" si="55"/>
        <v>0</v>
      </c>
      <c r="AK137">
        <f>AA137*(1+What_if_Analysis!$B$4)</f>
        <v>15.6</v>
      </c>
      <c r="AL137" s="5">
        <f>MIN(Z137,What_if_Analysis!$B$2)</f>
        <v>0.05</v>
      </c>
      <c r="AM137">
        <f t="shared" si="56"/>
        <v>34439.753399999994</v>
      </c>
      <c r="AN137">
        <f>AM137-(AK137*(T137*(1+What_if_Analysis!$B$3)))</f>
        <v>-5437.8558000000048</v>
      </c>
    </row>
    <row r="138" spans="1:40" x14ac:dyDescent="0.3">
      <c r="A138" t="s">
        <v>151</v>
      </c>
      <c r="B138" s="3">
        <v>45640</v>
      </c>
      <c r="C138" s="3" t="str">
        <f t="shared" si="40"/>
        <v>Dec-2024</v>
      </c>
      <c r="D138" s="3" t="str">
        <f t="shared" si="41"/>
        <v>Q4-2024</v>
      </c>
      <c r="E138" s="3">
        <v>45669</v>
      </c>
      <c r="F138" s="3" t="str">
        <f t="shared" si="42"/>
        <v>Valid</v>
      </c>
      <c r="G138" s="12">
        <f t="shared" si="43"/>
        <v>29</v>
      </c>
      <c r="H138" s="3">
        <f t="shared" si="44"/>
        <v>45669</v>
      </c>
      <c r="I138" t="s">
        <v>647</v>
      </c>
      <c r="J138" t="str">
        <f t="shared" si="45"/>
        <v>Asia → China → Shenzhen</v>
      </c>
      <c r="K138" s="3" t="str">
        <f t="shared" si="46"/>
        <v>China-2024-12</v>
      </c>
      <c r="L138" t="s">
        <v>659</v>
      </c>
      <c r="M138" t="s">
        <v>676</v>
      </c>
      <c r="N138" t="s">
        <v>702</v>
      </c>
      <c r="O138" t="s">
        <v>708</v>
      </c>
      <c r="P138" t="s">
        <v>713</v>
      </c>
      <c r="Q138" t="s">
        <v>727</v>
      </c>
      <c r="R138" t="s">
        <v>870</v>
      </c>
      <c r="S138" s="5">
        <v>1412.15</v>
      </c>
      <c r="T138" s="5">
        <v>1631.04</v>
      </c>
      <c r="U138" s="5" t="str">
        <f t="shared" si="47"/>
        <v>Valid</v>
      </c>
      <c r="V138" s="5">
        <f t="shared" si="38"/>
        <v>1631.04</v>
      </c>
      <c r="W138" s="5" t="str">
        <f t="shared" si="48"/>
        <v>Medium</v>
      </c>
      <c r="X138" s="5">
        <v>8.9999999999999993E-3</v>
      </c>
      <c r="Y138" s="5" t="str">
        <f t="shared" si="49"/>
        <v>Valid</v>
      </c>
      <c r="Z138" s="5">
        <f t="shared" si="50"/>
        <v>8.9999999999999993E-3</v>
      </c>
      <c r="AA138" s="5">
        <v>6</v>
      </c>
      <c r="AB138">
        <f t="shared" si="51"/>
        <v>9698.1638399999993</v>
      </c>
      <c r="AC138">
        <f t="shared" si="39"/>
        <v>8472.9000000000015</v>
      </c>
      <c r="AD138">
        <f t="shared" si="52"/>
        <v>1225.2638399999978</v>
      </c>
      <c r="AE138">
        <f t="shared" si="53"/>
        <v>0.12633977526203535</v>
      </c>
      <c r="AF138">
        <f t="shared" si="54"/>
        <v>0</v>
      </c>
      <c r="AG138">
        <f t="shared" si="55"/>
        <v>0</v>
      </c>
      <c r="AK138">
        <f>AA138*(1+What_if_Analysis!$B$4)</f>
        <v>7.1999999999999993</v>
      </c>
      <c r="AL138" s="5">
        <f>MIN(Z138,What_if_Analysis!$B$2)</f>
        <v>8.9999999999999993E-3</v>
      </c>
      <c r="AM138">
        <f t="shared" si="56"/>
        <v>11637.796607999999</v>
      </c>
      <c r="AN138">
        <f>AM138-(AK138*(T138*(1+What_if_Analysis!$B$3)))</f>
        <v>-1280.0401920000004</v>
      </c>
    </row>
    <row r="139" spans="1:40" x14ac:dyDescent="0.3">
      <c r="A139" t="s">
        <v>152</v>
      </c>
      <c r="B139" s="3">
        <v>45016</v>
      </c>
      <c r="C139" s="3" t="str">
        <f t="shared" si="40"/>
        <v>Mar-2023</v>
      </c>
      <c r="D139" s="3" t="str">
        <f t="shared" si="41"/>
        <v>Q1-2023</v>
      </c>
      <c r="E139" s="3">
        <v>45028</v>
      </c>
      <c r="F139" s="3" t="str">
        <f t="shared" si="42"/>
        <v>Valid</v>
      </c>
      <c r="G139" s="12">
        <f t="shared" si="43"/>
        <v>12</v>
      </c>
      <c r="H139" s="3">
        <f t="shared" si="44"/>
        <v>45028</v>
      </c>
      <c r="I139" t="s">
        <v>646</v>
      </c>
      <c r="J139" t="str">
        <f t="shared" si="45"/>
        <v>Africa → Kenya → Mombasa</v>
      </c>
      <c r="K139" s="3" t="str">
        <f t="shared" si="46"/>
        <v>Kenya-2023-03</v>
      </c>
      <c r="L139" t="s">
        <v>650</v>
      </c>
      <c r="M139" t="s">
        <v>675</v>
      </c>
      <c r="N139" t="s">
        <v>705</v>
      </c>
      <c r="O139" t="s">
        <v>708</v>
      </c>
      <c r="P139" t="s">
        <v>712</v>
      </c>
      <c r="Q139" t="s">
        <v>730</v>
      </c>
      <c r="R139" t="s">
        <v>871</v>
      </c>
      <c r="S139" s="5">
        <v>304.22000000000003</v>
      </c>
      <c r="T139" s="5">
        <v>393.31</v>
      </c>
      <c r="U139" s="5" t="str">
        <f t="shared" si="47"/>
        <v>Valid</v>
      </c>
      <c r="V139" s="5">
        <f t="shared" si="38"/>
        <v>393.31</v>
      </c>
      <c r="W139" s="5" t="str">
        <f t="shared" si="48"/>
        <v>Low</v>
      </c>
      <c r="X139" s="5">
        <v>0.26500000000000001</v>
      </c>
      <c r="Y139" s="5" t="str">
        <f t="shared" si="49"/>
        <v>Valid</v>
      </c>
      <c r="Z139" s="5">
        <f t="shared" si="50"/>
        <v>0.26500000000000001</v>
      </c>
      <c r="AA139" s="5">
        <v>15</v>
      </c>
      <c r="AB139">
        <f t="shared" si="51"/>
        <v>4336.2427499999994</v>
      </c>
      <c r="AC139">
        <f t="shared" si="39"/>
        <v>4563.3</v>
      </c>
      <c r="AD139">
        <f t="shared" si="52"/>
        <v>-227.05725000000075</v>
      </c>
      <c r="AE139">
        <f t="shared" si="53"/>
        <v>-5.2362670424759034E-2</v>
      </c>
      <c r="AF139">
        <f t="shared" si="54"/>
        <v>0</v>
      </c>
      <c r="AG139">
        <f t="shared" si="55"/>
        <v>1</v>
      </c>
      <c r="AK139">
        <f>AA139*(1+What_if_Analysis!$B$4)</f>
        <v>18</v>
      </c>
      <c r="AL139" s="5">
        <f>MIN(Z139,What_if_Analysis!$B$2)</f>
        <v>0.05</v>
      </c>
      <c r="AM139">
        <f t="shared" si="56"/>
        <v>6725.6009999999997</v>
      </c>
      <c r="AN139">
        <f>AM139-(AK139*(T139*(1+What_if_Analysis!$B$3)))</f>
        <v>-1061.9370000000008</v>
      </c>
    </row>
    <row r="140" spans="1:40" x14ac:dyDescent="0.3">
      <c r="A140" t="s">
        <v>153</v>
      </c>
      <c r="B140" s="3">
        <v>45616</v>
      </c>
      <c r="C140" s="3" t="str">
        <f t="shared" si="40"/>
        <v>Nov-2024</v>
      </c>
      <c r="D140" s="3" t="str">
        <f t="shared" si="41"/>
        <v>Q4-2024</v>
      </c>
      <c r="E140" s="3">
        <v>45641</v>
      </c>
      <c r="F140" s="3" t="str">
        <f t="shared" si="42"/>
        <v>Valid</v>
      </c>
      <c r="G140" s="12">
        <f t="shared" si="43"/>
        <v>25</v>
      </c>
      <c r="H140" s="3">
        <f t="shared" si="44"/>
        <v>45641</v>
      </c>
      <c r="I140" t="s">
        <v>649</v>
      </c>
      <c r="J140" t="str">
        <f t="shared" si="45"/>
        <v>Europe → France → Paris</v>
      </c>
      <c r="K140" s="3" t="str">
        <f t="shared" si="46"/>
        <v>France-2024-11</v>
      </c>
      <c r="L140" t="s">
        <v>657</v>
      </c>
      <c r="M140" t="s">
        <v>690</v>
      </c>
      <c r="N140" t="s">
        <v>701</v>
      </c>
      <c r="O140" t="s">
        <v>708</v>
      </c>
      <c r="P140" t="s">
        <v>715</v>
      </c>
      <c r="Q140" t="s">
        <v>728</v>
      </c>
      <c r="R140" t="s">
        <v>872</v>
      </c>
      <c r="S140" s="5">
        <v>1203.58</v>
      </c>
      <c r="T140" s="5">
        <v>1856.16</v>
      </c>
      <c r="U140" s="5" t="str">
        <f t="shared" si="47"/>
        <v>Valid</v>
      </c>
      <c r="V140" s="5">
        <f t="shared" si="38"/>
        <v>1856.16</v>
      </c>
      <c r="W140" s="5" t="str">
        <f t="shared" si="48"/>
        <v>Medium</v>
      </c>
      <c r="X140" s="5">
        <v>0.129</v>
      </c>
      <c r="Y140" s="5" t="str">
        <f t="shared" si="49"/>
        <v>Valid</v>
      </c>
      <c r="Z140" s="5">
        <f t="shared" si="50"/>
        <v>0.129</v>
      </c>
      <c r="AA140" s="5">
        <v>22</v>
      </c>
      <c r="AB140">
        <f t="shared" si="51"/>
        <v>35567.737920000007</v>
      </c>
      <c r="AC140">
        <f t="shared" si="39"/>
        <v>26478.76</v>
      </c>
      <c r="AD140">
        <f t="shared" si="52"/>
        <v>9088.9779200000085</v>
      </c>
      <c r="AE140">
        <f t="shared" si="53"/>
        <v>0.25553994860295032</v>
      </c>
      <c r="AF140">
        <f t="shared" si="54"/>
        <v>0</v>
      </c>
      <c r="AG140">
        <f t="shared" si="55"/>
        <v>0</v>
      </c>
      <c r="AK140">
        <f>AA140*(1+What_if_Analysis!$B$4)</f>
        <v>26.4</v>
      </c>
      <c r="AL140" s="5">
        <f>MIN(Z140,What_if_Analysis!$B$2)</f>
        <v>0.05</v>
      </c>
      <c r="AM140">
        <f t="shared" si="56"/>
        <v>46552.492799999993</v>
      </c>
      <c r="AN140">
        <f>AM140-(AK140*(T140*(1+What_if_Analysis!$B$3)))</f>
        <v>-7350.3936000000103</v>
      </c>
    </row>
    <row r="141" spans="1:40" x14ac:dyDescent="0.3">
      <c r="A141" t="s">
        <v>154</v>
      </c>
      <c r="B141" s="3">
        <v>45336</v>
      </c>
      <c r="C141" s="3" t="str">
        <f t="shared" si="40"/>
        <v>Feb-2024</v>
      </c>
      <c r="D141" s="3" t="str">
        <f t="shared" si="41"/>
        <v>Q1-2024</v>
      </c>
      <c r="E141" s="3">
        <v>45336</v>
      </c>
      <c r="F141" s="3" t="str">
        <f t="shared" si="42"/>
        <v>Valid</v>
      </c>
      <c r="G141" s="12">
        <f t="shared" si="43"/>
        <v>0</v>
      </c>
      <c r="H141" s="3">
        <f t="shared" si="44"/>
        <v>45336</v>
      </c>
      <c r="I141" t="s">
        <v>647</v>
      </c>
      <c r="J141" t="str">
        <f t="shared" si="45"/>
        <v>Asia → China → Beijing</v>
      </c>
      <c r="K141" s="3" t="str">
        <f t="shared" si="46"/>
        <v>China-2024-02</v>
      </c>
      <c r="L141" t="s">
        <v>659</v>
      </c>
      <c r="M141" t="s">
        <v>699</v>
      </c>
      <c r="N141" t="s">
        <v>701</v>
      </c>
      <c r="O141" t="s">
        <v>710</v>
      </c>
      <c r="P141" t="s">
        <v>716</v>
      </c>
      <c r="Q141" t="s">
        <v>733</v>
      </c>
      <c r="R141" t="s">
        <v>873</v>
      </c>
      <c r="S141" s="5">
        <v>65.930000000000007</v>
      </c>
      <c r="T141" s="5">
        <v>84.9</v>
      </c>
      <c r="U141" s="5" t="str">
        <f t="shared" si="47"/>
        <v>Valid</v>
      </c>
      <c r="V141" s="5">
        <f t="shared" si="38"/>
        <v>84.9</v>
      </c>
      <c r="W141" s="5" t="str">
        <f t="shared" si="48"/>
        <v>Low</v>
      </c>
      <c r="X141" s="5">
        <v>0.25900000000000001</v>
      </c>
      <c r="Y141" s="5" t="str">
        <f t="shared" si="49"/>
        <v>Valid</v>
      </c>
      <c r="Z141" s="5">
        <f t="shared" si="50"/>
        <v>0.25900000000000001</v>
      </c>
      <c r="AA141" s="5">
        <v>23</v>
      </c>
      <c r="AB141">
        <f t="shared" si="51"/>
        <v>1446.9507000000001</v>
      </c>
      <c r="AC141">
        <f t="shared" si="39"/>
        <v>1516.39</v>
      </c>
      <c r="AD141">
        <f t="shared" si="52"/>
        <v>-69.439300000000003</v>
      </c>
      <c r="AE141">
        <f t="shared" si="53"/>
        <v>-4.7990093926489688E-2</v>
      </c>
      <c r="AF141">
        <f t="shared" si="54"/>
        <v>1</v>
      </c>
      <c r="AG141">
        <f t="shared" si="55"/>
        <v>1</v>
      </c>
      <c r="AK141">
        <f>AA141*(1+What_if_Analysis!$B$4)</f>
        <v>27.599999999999998</v>
      </c>
      <c r="AL141" s="5">
        <f>MIN(Z141,What_if_Analysis!$B$2)</f>
        <v>0.05</v>
      </c>
      <c r="AM141">
        <f t="shared" si="56"/>
        <v>2226.0779999999995</v>
      </c>
      <c r="AN141">
        <f>AM141-(AK141*(T141*(1+What_if_Analysis!$B$3)))</f>
        <v>-351.48600000000079</v>
      </c>
    </row>
    <row r="142" spans="1:40" x14ac:dyDescent="0.3">
      <c r="A142" t="s">
        <v>155</v>
      </c>
      <c r="B142" s="3">
        <v>45048</v>
      </c>
      <c r="C142" s="3" t="str">
        <f t="shared" si="40"/>
        <v>May-2023</v>
      </c>
      <c r="D142" s="3" t="str">
        <f t="shared" si="41"/>
        <v>Q2-2023</v>
      </c>
      <c r="E142" s="3">
        <v>45064</v>
      </c>
      <c r="F142" s="3" t="str">
        <f t="shared" si="42"/>
        <v>Valid</v>
      </c>
      <c r="G142" s="12">
        <f t="shared" si="43"/>
        <v>16</v>
      </c>
      <c r="H142" s="3">
        <f t="shared" si="44"/>
        <v>45064</v>
      </c>
      <c r="I142" t="s">
        <v>647</v>
      </c>
      <c r="J142" t="str">
        <f t="shared" si="45"/>
        <v>Asia → India → Delhi</v>
      </c>
      <c r="K142" s="3" t="str">
        <f t="shared" si="46"/>
        <v>India-2023-05</v>
      </c>
      <c r="L142" t="s">
        <v>654</v>
      </c>
      <c r="M142" t="s">
        <v>680</v>
      </c>
      <c r="N142" t="s">
        <v>705</v>
      </c>
      <c r="O142" t="s">
        <v>709</v>
      </c>
      <c r="P142" t="s">
        <v>723</v>
      </c>
      <c r="Q142" t="s">
        <v>732</v>
      </c>
      <c r="R142" t="s">
        <v>874</v>
      </c>
      <c r="S142" s="5">
        <v>1463.92</v>
      </c>
      <c r="T142" s="5">
        <v>2252.2399999999998</v>
      </c>
      <c r="U142" s="5" t="str">
        <f t="shared" si="47"/>
        <v>Valid</v>
      </c>
      <c r="V142" s="5">
        <f t="shared" si="38"/>
        <v>2252.2399999999998</v>
      </c>
      <c r="W142" s="5" t="str">
        <f t="shared" si="48"/>
        <v>High</v>
      </c>
      <c r="X142" s="5">
        <v>0.11799999999999999</v>
      </c>
      <c r="Y142" s="5" t="str">
        <f t="shared" si="49"/>
        <v>Valid</v>
      </c>
      <c r="Z142" s="5">
        <f t="shared" si="50"/>
        <v>0.11799999999999999</v>
      </c>
      <c r="AA142" s="5">
        <v>44</v>
      </c>
      <c r="AB142">
        <f t="shared" si="51"/>
        <v>87404.929919999995</v>
      </c>
      <c r="AC142">
        <f t="shared" si="39"/>
        <v>64412.480000000003</v>
      </c>
      <c r="AD142">
        <f t="shared" si="52"/>
        <v>22992.449919999992</v>
      </c>
      <c r="AE142">
        <f t="shared" si="53"/>
        <v>0.26305667130040061</v>
      </c>
      <c r="AF142">
        <f t="shared" si="54"/>
        <v>0</v>
      </c>
      <c r="AG142">
        <f t="shared" si="55"/>
        <v>0</v>
      </c>
      <c r="AK142">
        <f>AA142*(1+What_if_Analysis!$B$4)</f>
        <v>52.8</v>
      </c>
      <c r="AL142" s="5">
        <f>MIN(Z142,What_if_Analysis!$B$2)</f>
        <v>0.05</v>
      </c>
      <c r="AM142">
        <f t="shared" si="56"/>
        <v>112972.35839999998</v>
      </c>
      <c r="AN142">
        <f>AM142-(AK142*(T142*(1+What_if_Analysis!$B$3)))</f>
        <v>-17837.740800000014</v>
      </c>
    </row>
    <row r="143" spans="1:40" x14ac:dyDescent="0.3">
      <c r="A143" t="s">
        <v>156</v>
      </c>
      <c r="B143" s="3">
        <v>45649</v>
      </c>
      <c r="C143" s="3" t="str">
        <f t="shared" si="40"/>
        <v>Dec-2024</v>
      </c>
      <c r="D143" s="3" t="str">
        <f t="shared" si="41"/>
        <v>Q4-2024</v>
      </c>
      <c r="E143" s="3">
        <v>45668</v>
      </c>
      <c r="F143" s="3" t="str">
        <f t="shared" si="42"/>
        <v>Valid</v>
      </c>
      <c r="G143" s="12">
        <f t="shared" si="43"/>
        <v>19</v>
      </c>
      <c r="H143" s="3">
        <f t="shared" si="44"/>
        <v>45668</v>
      </c>
      <c r="I143" t="s">
        <v>649</v>
      </c>
      <c r="J143" t="str">
        <f t="shared" si="45"/>
        <v>Europe → Germany → Berlin</v>
      </c>
      <c r="K143" s="3" t="str">
        <f t="shared" si="46"/>
        <v>Germany-2024-12</v>
      </c>
      <c r="L143" t="s">
        <v>656</v>
      </c>
      <c r="M143" t="s">
        <v>671</v>
      </c>
      <c r="N143" t="s">
        <v>702</v>
      </c>
      <c r="O143" t="s">
        <v>707</v>
      </c>
      <c r="P143" t="s">
        <v>723</v>
      </c>
      <c r="Q143" t="s">
        <v>730</v>
      </c>
      <c r="R143" t="s">
        <v>875</v>
      </c>
      <c r="S143" s="5">
        <v>501.81</v>
      </c>
      <c r="T143" s="5">
        <v>921.62</v>
      </c>
      <c r="U143" s="5" t="str">
        <f t="shared" si="47"/>
        <v>Valid</v>
      </c>
      <c r="V143" s="5">
        <f t="shared" si="38"/>
        <v>921.62</v>
      </c>
      <c r="W143" s="5" t="str">
        <f t="shared" si="48"/>
        <v>Medium</v>
      </c>
      <c r="X143" s="5">
        <v>0.01</v>
      </c>
      <c r="Y143" s="5" t="str">
        <f t="shared" si="49"/>
        <v>Valid</v>
      </c>
      <c r="Z143" s="5">
        <f t="shared" si="50"/>
        <v>0.01</v>
      </c>
      <c r="AA143" s="5">
        <v>9</v>
      </c>
      <c r="AB143">
        <f t="shared" si="51"/>
        <v>8211.6342000000004</v>
      </c>
      <c r="AC143">
        <f t="shared" si="39"/>
        <v>4516.29</v>
      </c>
      <c r="AD143">
        <f t="shared" si="52"/>
        <v>3695.3442000000005</v>
      </c>
      <c r="AE143">
        <f t="shared" si="53"/>
        <v>0.45001325071202031</v>
      </c>
      <c r="AF143">
        <f t="shared" si="54"/>
        <v>0</v>
      </c>
      <c r="AG143">
        <f t="shared" si="55"/>
        <v>0</v>
      </c>
      <c r="AK143">
        <f>AA143*(1+What_if_Analysis!$B$4)</f>
        <v>10.799999999999999</v>
      </c>
      <c r="AL143" s="5">
        <f>MIN(Z143,What_if_Analysis!$B$2)</f>
        <v>0.01</v>
      </c>
      <c r="AM143">
        <f t="shared" si="56"/>
        <v>9853.9610399999983</v>
      </c>
      <c r="AN143">
        <f>AM143-(AK143*(T143*(1+What_if_Analysis!$B$3)))</f>
        <v>-1094.8845600000004</v>
      </c>
    </row>
    <row r="144" spans="1:40" x14ac:dyDescent="0.3">
      <c r="A144" t="s">
        <v>157</v>
      </c>
      <c r="B144" s="3">
        <v>45133</v>
      </c>
      <c r="C144" s="3" t="str">
        <f t="shared" si="40"/>
        <v>Jul-2023</v>
      </c>
      <c r="D144" s="3" t="str">
        <f t="shared" si="41"/>
        <v>Q3-2023</v>
      </c>
      <c r="E144" s="3">
        <v>45163</v>
      </c>
      <c r="F144" s="3" t="str">
        <f t="shared" si="42"/>
        <v>Valid</v>
      </c>
      <c r="G144" s="12">
        <f t="shared" si="43"/>
        <v>30</v>
      </c>
      <c r="H144" s="3">
        <f t="shared" si="44"/>
        <v>45163</v>
      </c>
      <c r="I144" t="s">
        <v>648</v>
      </c>
      <c r="J144" t="str">
        <f t="shared" si="45"/>
        <v>Americas → USA → New York</v>
      </c>
      <c r="K144" s="3" t="str">
        <f t="shared" si="46"/>
        <v>USA-2023-07</v>
      </c>
      <c r="L144" t="s">
        <v>660</v>
      </c>
      <c r="M144" t="s">
        <v>700</v>
      </c>
      <c r="N144" t="s">
        <v>704</v>
      </c>
      <c r="O144" t="s">
        <v>707</v>
      </c>
      <c r="P144" t="s">
        <v>724</v>
      </c>
      <c r="Q144" t="s">
        <v>733</v>
      </c>
      <c r="R144" t="s">
        <v>876</v>
      </c>
      <c r="S144" s="5">
        <v>1261.48</v>
      </c>
      <c r="T144" s="5">
        <v>1643.18</v>
      </c>
      <c r="U144" s="5" t="str">
        <f t="shared" si="47"/>
        <v>Valid</v>
      </c>
      <c r="V144" s="5">
        <f t="shared" si="38"/>
        <v>1643.18</v>
      </c>
      <c r="W144" s="5" t="str">
        <f t="shared" si="48"/>
        <v>Medium</v>
      </c>
      <c r="X144" s="5">
        <v>0.151</v>
      </c>
      <c r="Y144" s="5" t="str">
        <f t="shared" si="49"/>
        <v>Valid</v>
      </c>
      <c r="Z144" s="5">
        <f t="shared" si="50"/>
        <v>0.151</v>
      </c>
      <c r="AA144" s="5">
        <v>23</v>
      </c>
      <c r="AB144">
        <f t="shared" si="51"/>
        <v>32086.37586</v>
      </c>
      <c r="AC144">
        <f t="shared" si="39"/>
        <v>29014.04</v>
      </c>
      <c r="AD144">
        <f t="shared" si="52"/>
        <v>3072.3358599999992</v>
      </c>
      <c r="AE144">
        <f t="shared" si="53"/>
        <v>9.5752037357079045E-2</v>
      </c>
      <c r="AF144">
        <f t="shared" si="54"/>
        <v>0</v>
      </c>
      <c r="AG144">
        <f t="shared" si="55"/>
        <v>0</v>
      </c>
      <c r="AK144">
        <f>AA144*(1+What_if_Analysis!$B$4)</f>
        <v>27.599999999999998</v>
      </c>
      <c r="AL144" s="5">
        <f>MIN(Z144,What_if_Analysis!$B$2)</f>
        <v>0.05</v>
      </c>
      <c r="AM144">
        <f t="shared" si="56"/>
        <v>43084.179599999996</v>
      </c>
      <c r="AN144">
        <f>AM144-(AK144*(T144*(1+What_if_Analysis!$B$3)))</f>
        <v>-6802.7652000000089</v>
      </c>
    </row>
    <row r="145" spans="1:40" x14ac:dyDescent="0.3">
      <c r="A145" t="s">
        <v>158</v>
      </c>
      <c r="B145" s="3">
        <v>45458</v>
      </c>
      <c r="C145" s="3" t="str">
        <f t="shared" si="40"/>
        <v>Jun-2024</v>
      </c>
      <c r="D145" s="3" t="str">
        <f t="shared" si="41"/>
        <v>Q2-2024</v>
      </c>
      <c r="E145" s="3">
        <v>45479</v>
      </c>
      <c r="F145" s="3" t="str">
        <f t="shared" si="42"/>
        <v>Valid</v>
      </c>
      <c r="G145" s="12">
        <f t="shared" si="43"/>
        <v>21</v>
      </c>
      <c r="H145" s="3">
        <f t="shared" si="44"/>
        <v>45479</v>
      </c>
      <c r="I145" t="s">
        <v>648</v>
      </c>
      <c r="J145" t="str">
        <f t="shared" si="45"/>
        <v>Americas → Canada → Toronto</v>
      </c>
      <c r="K145" s="3" t="str">
        <f t="shared" si="46"/>
        <v>Canada-2024-06</v>
      </c>
      <c r="L145" t="s">
        <v>653</v>
      </c>
      <c r="M145" t="s">
        <v>667</v>
      </c>
      <c r="N145" t="s">
        <v>706</v>
      </c>
      <c r="O145" t="s">
        <v>710</v>
      </c>
      <c r="P145" t="s">
        <v>716</v>
      </c>
      <c r="Q145" t="s">
        <v>728</v>
      </c>
      <c r="R145" t="s">
        <v>877</v>
      </c>
      <c r="S145" s="5">
        <v>817.23</v>
      </c>
      <c r="T145" s="5">
        <v>1467.17</v>
      </c>
      <c r="U145" s="5" t="str">
        <f t="shared" si="47"/>
        <v>Valid</v>
      </c>
      <c r="V145" s="5">
        <f t="shared" si="38"/>
        <v>1467.17</v>
      </c>
      <c r="W145" s="5" t="str">
        <f t="shared" si="48"/>
        <v>Medium</v>
      </c>
      <c r="X145" s="5">
        <v>0.245</v>
      </c>
      <c r="Y145" s="5" t="str">
        <f t="shared" si="49"/>
        <v>Valid</v>
      </c>
      <c r="Z145" s="5">
        <f t="shared" si="50"/>
        <v>0.245</v>
      </c>
      <c r="AA145" s="5">
        <v>9</v>
      </c>
      <c r="AB145">
        <f t="shared" si="51"/>
        <v>9969.4201499999999</v>
      </c>
      <c r="AC145">
        <f t="shared" si="39"/>
        <v>7355.07</v>
      </c>
      <c r="AD145">
        <f t="shared" si="52"/>
        <v>2614.3501500000002</v>
      </c>
      <c r="AE145">
        <f t="shared" si="53"/>
        <v>0.26223693160328893</v>
      </c>
      <c r="AF145">
        <f t="shared" si="54"/>
        <v>0</v>
      </c>
      <c r="AG145">
        <f t="shared" si="55"/>
        <v>1</v>
      </c>
      <c r="AK145">
        <f>AA145*(1+What_if_Analysis!$B$4)</f>
        <v>10.799999999999999</v>
      </c>
      <c r="AL145" s="5">
        <f>MIN(Z145,What_if_Analysis!$B$2)</f>
        <v>0.05</v>
      </c>
      <c r="AM145">
        <f t="shared" si="56"/>
        <v>15053.164199999999</v>
      </c>
      <c r="AN145">
        <f>AM145-(AK145*(T145*(1+What_if_Analysis!$B$3)))</f>
        <v>-2376.8153999999995</v>
      </c>
    </row>
    <row r="146" spans="1:40" x14ac:dyDescent="0.3">
      <c r="A146" t="s">
        <v>159</v>
      </c>
      <c r="B146" s="3">
        <v>45112</v>
      </c>
      <c r="C146" s="3" t="str">
        <f t="shared" si="40"/>
        <v>Jul-2023</v>
      </c>
      <c r="D146" s="3" t="str">
        <f t="shared" si="41"/>
        <v>Q3-2023</v>
      </c>
      <c r="E146" s="3">
        <v>45121</v>
      </c>
      <c r="F146" s="3" t="str">
        <f t="shared" si="42"/>
        <v>Valid</v>
      </c>
      <c r="G146" s="12">
        <f t="shared" si="43"/>
        <v>9</v>
      </c>
      <c r="H146" s="3">
        <f t="shared" si="44"/>
        <v>45121</v>
      </c>
      <c r="I146" t="s">
        <v>648</v>
      </c>
      <c r="J146" t="str">
        <f t="shared" si="45"/>
        <v>Americas → Brazil → Brasília</v>
      </c>
      <c r="K146" s="3" t="str">
        <f t="shared" si="46"/>
        <v>Brazil-2023-07</v>
      </c>
      <c r="L146" t="s">
        <v>655</v>
      </c>
      <c r="M146" t="s">
        <v>672</v>
      </c>
      <c r="N146" t="s">
        <v>706</v>
      </c>
      <c r="O146" t="s">
        <v>711</v>
      </c>
      <c r="P146" t="s">
        <v>717</v>
      </c>
      <c r="Q146" t="s">
        <v>729</v>
      </c>
      <c r="R146" t="s">
        <v>878</v>
      </c>
      <c r="S146" s="5">
        <v>578.85</v>
      </c>
      <c r="T146" s="5">
        <v>998.76</v>
      </c>
      <c r="U146" s="5" t="str">
        <f t="shared" si="47"/>
        <v>Valid</v>
      </c>
      <c r="V146" s="5">
        <f t="shared" si="38"/>
        <v>998.76</v>
      </c>
      <c r="W146" s="5" t="str">
        <f t="shared" si="48"/>
        <v>Medium</v>
      </c>
      <c r="X146" s="5">
        <v>8.2000000000000003E-2</v>
      </c>
      <c r="Y146" s="5" t="str">
        <f t="shared" si="49"/>
        <v>Valid</v>
      </c>
      <c r="Z146" s="5">
        <f t="shared" si="50"/>
        <v>8.2000000000000003E-2</v>
      </c>
      <c r="AA146" s="5">
        <v>28</v>
      </c>
      <c r="AB146">
        <f t="shared" si="51"/>
        <v>25672.127039999999</v>
      </c>
      <c r="AC146">
        <f t="shared" si="39"/>
        <v>16207.800000000001</v>
      </c>
      <c r="AD146">
        <f t="shared" si="52"/>
        <v>9464.3270399999983</v>
      </c>
      <c r="AE146">
        <f t="shared" si="53"/>
        <v>0.36866158480960831</v>
      </c>
      <c r="AF146">
        <f t="shared" si="54"/>
        <v>0</v>
      </c>
      <c r="AG146">
        <f t="shared" si="55"/>
        <v>0</v>
      </c>
      <c r="AK146">
        <f>AA146*(1+What_if_Analysis!$B$4)</f>
        <v>33.6</v>
      </c>
      <c r="AL146" s="5">
        <f>MIN(Z146,What_if_Analysis!$B$2)</f>
        <v>0.05</v>
      </c>
      <c r="AM146">
        <f t="shared" si="56"/>
        <v>31880.4192</v>
      </c>
      <c r="AN146">
        <f>AM146-(AK146*(T146*(1+What_if_Analysis!$B$3)))</f>
        <v>-5033.7504000000008</v>
      </c>
    </row>
    <row r="147" spans="1:40" x14ac:dyDescent="0.3">
      <c r="A147" t="s">
        <v>160</v>
      </c>
      <c r="B147" s="3">
        <v>45260</v>
      </c>
      <c r="C147" s="3" t="str">
        <f t="shared" si="40"/>
        <v>Nov-2023</v>
      </c>
      <c r="D147" s="3" t="str">
        <f t="shared" si="41"/>
        <v>Q4-2023</v>
      </c>
      <c r="E147" s="3">
        <v>45259</v>
      </c>
      <c r="F147" s="3" t="str">
        <f t="shared" si="42"/>
        <v>Invalid RequiredDate</v>
      </c>
      <c r="G147" s="12">
        <f t="shared" si="43"/>
        <v>-1</v>
      </c>
      <c r="H147" s="3">
        <f t="shared" si="44"/>
        <v>45286</v>
      </c>
      <c r="I147" t="s">
        <v>646</v>
      </c>
      <c r="J147" t="str">
        <f t="shared" si="45"/>
        <v>Africa → South Africa → Durban</v>
      </c>
      <c r="K147" s="3" t="str">
        <f t="shared" si="46"/>
        <v>South Africa-2023-11</v>
      </c>
      <c r="L147" t="s">
        <v>661</v>
      </c>
      <c r="M147" t="s">
        <v>687</v>
      </c>
      <c r="N147" t="s">
        <v>705</v>
      </c>
      <c r="O147" t="s">
        <v>709</v>
      </c>
      <c r="P147" t="s">
        <v>718</v>
      </c>
      <c r="Q147" t="s">
        <v>731</v>
      </c>
      <c r="R147" t="s">
        <v>879</v>
      </c>
      <c r="S147" s="5">
        <v>275.56</v>
      </c>
      <c r="T147" s="5">
        <v>630.72</v>
      </c>
      <c r="U147" s="5" t="str">
        <f t="shared" si="47"/>
        <v>Valid</v>
      </c>
      <c r="V147" s="5">
        <f t="shared" si="38"/>
        <v>630.72</v>
      </c>
      <c r="W147" s="5" t="str">
        <f t="shared" si="48"/>
        <v>Medium</v>
      </c>
      <c r="X147" s="5">
        <v>0.107</v>
      </c>
      <c r="Y147" s="5" t="str">
        <f t="shared" si="49"/>
        <v>Valid</v>
      </c>
      <c r="Z147" s="5">
        <f t="shared" si="50"/>
        <v>0.107</v>
      </c>
      <c r="AA147" s="5">
        <v>23</v>
      </c>
      <c r="AB147">
        <f t="shared" si="51"/>
        <v>12954.358080000002</v>
      </c>
      <c r="AC147">
        <f t="shared" si="39"/>
        <v>6337.88</v>
      </c>
      <c r="AD147">
        <f t="shared" si="52"/>
        <v>6616.4780800000017</v>
      </c>
      <c r="AE147">
        <f t="shared" si="53"/>
        <v>0.5107530638831933</v>
      </c>
      <c r="AF147">
        <f t="shared" si="54"/>
        <v>1</v>
      </c>
      <c r="AG147">
        <f t="shared" si="55"/>
        <v>0</v>
      </c>
      <c r="AK147">
        <f>AA147*(1+What_if_Analysis!$B$4)</f>
        <v>27.599999999999998</v>
      </c>
      <c r="AL147" s="5">
        <f>MIN(Z147,What_if_Analysis!$B$2)</f>
        <v>0.05</v>
      </c>
      <c r="AM147">
        <f t="shared" si="56"/>
        <v>16537.4784</v>
      </c>
      <c r="AN147">
        <f>AM147-(AK147*(T147*(1+What_if_Analysis!$B$3)))</f>
        <v>-2611.1807999999983</v>
      </c>
    </row>
    <row r="148" spans="1:40" x14ac:dyDescent="0.3">
      <c r="A148" t="s">
        <v>161</v>
      </c>
      <c r="B148" s="3">
        <v>45911</v>
      </c>
      <c r="C148" s="3" t="str">
        <f t="shared" si="40"/>
        <v>Sept-2025</v>
      </c>
      <c r="D148" s="3" t="str">
        <f t="shared" si="41"/>
        <v>Q3-2025</v>
      </c>
      <c r="E148" s="3">
        <v>45928</v>
      </c>
      <c r="F148" s="3" t="str">
        <f t="shared" si="42"/>
        <v>Valid</v>
      </c>
      <c r="G148" s="12">
        <f t="shared" si="43"/>
        <v>17</v>
      </c>
      <c r="H148" s="3">
        <f t="shared" si="44"/>
        <v>45928</v>
      </c>
      <c r="I148" t="s">
        <v>646</v>
      </c>
      <c r="J148" t="str">
        <f t="shared" si="45"/>
        <v>Africa → Kenya → Nairobi</v>
      </c>
      <c r="K148" s="3" t="str">
        <f t="shared" si="46"/>
        <v>Kenya-2025-09</v>
      </c>
      <c r="L148" t="s">
        <v>650</v>
      </c>
      <c r="M148" t="s">
        <v>664</v>
      </c>
      <c r="N148" t="s">
        <v>703</v>
      </c>
      <c r="O148" t="s">
        <v>710</v>
      </c>
      <c r="P148" t="s">
        <v>713</v>
      </c>
      <c r="Q148" t="s">
        <v>731</v>
      </c>
      <c r="R148" t="s">
        <v>880</v>
      </c>
      <c r="S148" s="5">
        <v>891.46</v>
      </c>
      <c r="T148" s="5">
        <v>728.61</v>
      </c>
      <c r="U148" s="5" t="str">
        <f t="shared" si="47"/>
        <v>Valid</v>
      </c>
      <c r="V148" s="5">
        <f t="shared" si="38"/>
        <v>728.61</v>
      </c>
      <c r="W148" s="5" t="str">
        <f t="shared" si="48"/>
        <v>Medium</v>
      </c>
      <c r="X148" s="5">
        <v>0.185</v>
      </c>
      <c r="Y148" s="5" t="str">
        <f t="shared" si="49"/>
        <v>Valid</v>
      </c>
      <c r="Z148" s="5">
        <f t="shared" si="50"/>
        <v>0.185</v>
      </c>
      <c r="AA148" s="5">
        <v>6</v>
      </c>
      <c r="AB148">
        <f t="shared" si="51"/>
        <v>3562.9028999999996</v>
      </c>
      <c r="AC148">
        <f t="shared" si="39"/>
        <v>5348.76</v>
      </c>
      <c r="AD148">
        <f t="shared" si="52"/>
        <v>-1785.8571000000006</v>
      </c>
      <c r="AE148">
        <f t="shared" si="53"/>
        <v>-0.50123653383874167</v>
      </c>
      <c r="AF148">
        <f t="shared" si="54"/>
        <v>0</v>
      </c>
      <c r="AG148">
        <f t="shared" si="55"/>
        <v>0</v>
      </c>
      <c r="AK148">
        <f>AA148*(1+What_if_Analysis!$B$4)</f>
        <v>7.1999999999999993</v>
      </c>
      <c r="AL148" s="5">
        <f>MIN(Z148,What_if_Analysis!$B$2)</f>
        <v>0.05</v>
      </c>
      <c r="AM148">
        <f t="shared" si="56"/>
        <v>4983.692399999999</v>
      </c>
      <c r="AN148">
        <f>AM148-(AK148*(T148*(1+What_if_Analysis!$B$3)))</f>
        <v>-786.89880000000085</v>
      </c>
    </row>
    <row r="149" spans="1:40" x14ac:dyDescent="0.3">
      <c r="A149" t="s">
        <v>162</v>
      </c>
      <c r="B149" s="3">
        <v>45386</v>
      </c>
      <c r="C149" s="3" t="str">
        <f t="shared" si="40"/>
        <v>Apr-2024</v>
      </c>
      <c r="D149" s="3" t="str">
        <f t="shared" si="41"/>
        <v>Q2-2024</v>
      </c>
      <c r="E149" s="3">
        <v>45406</v>
      </c>
      <c r="F149" s="3" t="str">
        <f t="shared" si="42"/>
        <v>Valid</v>
      </c>
      <c r="G149" s="12">
        <f t="shared" si="43"/>
        <v>20</v>
      </c>
      <c r="H149" s="3">
        <f t="shared" si="44"/>
        <v>45406</v>
      </c>
      <c r="I149" t="s">
        <v>649</v>
      </c>
      <c r="J149" t="str">
        <f t="shared" si="45"/>
        <v>Europe → Germany → Frankfurt</v>
      </c>
      <c r="K149" s="3" t="str">
        <f t="shared" si="46"/>
        <v>Germany-2024-04</v>
      </c>
      <c r="L149" t="s">
        <v>656</v>
      </c>
      <c r="M149" t="s">
        <v>698</v>
      </c>
      <c r="N149" t="s">
        <v>703</v>
      </c>
      <c r="O149" t="s">
        <v>711</v>
      </c>
      <c r="P149" t="s">
        <v>719</v>
      </c>
      <c r="Q149" t="s">
        <v>733</v>
      </c>
      <c r="R149" t="s">
        <v>881</v>
      </c>
      <c r="S149" s="5">
        <v>683.42</v>
      </c>
      <c r="T149" s="5">
        <v>951.51</v>
      </c>
      <c r="U149" s="5" t="str">
        <f t="shared" si="47"/>
        <v>Valid</v>
      </c>
      <c r="V149" s="5">
        <f t="shared" si="38"/>
        <v>951.51</v>
      </c>
      <c r="W149" s="5" t="str">
        <f t="shared" si="48"/>
        <v>Medium</v>
      </c>
      <c r="X149" s="5">
        <v>0</v>
      </c>
      <c r="Y149" s="5" t="str">
        <f t="shared" si="49"/>
        <v>Valid</v>
      </c>
      <c r="Z149" s="5">
        <f t="shared" si="50"/>
        <v>0</v>
      </c>
      <c r="AA149" s="5">
        <v>14</v>
      </c>
      <c r="AB149">
        <f t="shared" si="51"/>
        <v>13321.14</v>
      </c>
      <c r="AC149">
        <f t="shared" si="39"/>
        <v>9567.8799999999992</v>
      </c>
      <c r="AD149">
        <f t="shared" si="52"/>
        <v>3753.26</v>
      </c>
      <c r="AE149">
        <f t="shared" si="53"/>
        <v>0.28175216235247136</v>
      </c>
      <c r="AF149">
        <f t="shared" si="54"/>
        <v>0</v>
      </c>
      <c r="AG149">
        <f t="shared" si="55"/>
        <v>0</v>
      </c>
      <c r="AK149">
        <f>AA149*(1+What_if_Analysis!$B$4)</f>
        <v>16.8</v>
      </c>
      <c r="AL149" s="5">
        <f>MIN(Z149,What_if_Analysis!$B$2)</f>
        <v>0</v>
      </c>
      <c r="AM149">
        <f t="shared" si="56"/>
        <v>15985.368</v>
      </c>
      <c r="AN149">
        <f>AM149-(AK149*(T149*(1+What_if_Analysis!$B$3)))</f>
        <v>-1598.5367999999999</v>
      </c>
    </row>
    <row r="150" spans="1:40" x14ac:dyDescent="0.3">
      <c r="A150" t="s">
        <v>163</v>
      </c>
      <c r="B150" s="3">
        <v>45183</v>
      </c>
      <c r="C150" s="3" t="str">
        <f t="shared" si="40"/>
        <v>Sept-2023</v>
      </c>
      <c r="D150" s="3" t="str">
        <f t="shared" si="41"/>
        <v>Q3-2023</v>
      </c>
      <c r="E150" s="3">
        <v>45185</v>
      </c>
      <c r="F150" s="3" t="str">
        <f t="shared" si="42"/>
        <v>Valid</v>
      </c>
      <c r="G150" s="12">
        <f t="shared" si="43"/>
        <v>2</v>
      </c>
      <c r="H150" s="3">
        <f t="shared" si="44"/>
        <v>45185</v>
      </c>
      <c r="I150" t="s">
        <v>649</v>
      </c>
      <c r="J150" t="str">
        <f t="shared" si="45"/>
        <v>Europe → France → Lyon</v>
      </c>
      <c r="K150" s="3" t="str">
        <f t="shared" si="46"/>
        <v>France-2023-09</v>
      </c>
      <c r="L150" t="s">
        <v>657</v>
      </c>
      <c r="M150" t="s">
        <v>679</v>
      </c>
      <c r="N150" t="s">
        <v>703</v>
      </c>
      <c r="O150" t="s">
        <v>711</v>
      </c>
      <c r="P150" t="s">
        <v>717</v>
      </c>
      <c r="Q150" t="s">
        <v>728</v>
      </c>
      <c r="R150" t="s">
        <v>882</v>
      </c>
      <c r="S150" s="5">
        <v>376.83</v>
      </c>
      <c r="T150" s="5">
        <v>732.88</v>
      </c>
      <c r="U150" s="5" t="str">
        <f t="shared" si="47"/>
        <v>Valid</v>
      </c>
      <c r="V150" s="5">
        <f t="shared" si="38"/>
        <v>732.88</v>
      </c>
      <c r="W150" s="5" t="str">
        <f t="shared" si="48"/>
        <v>Medium</v>
      </c>
      <c r="X150" s="5">
        <v>0.188</v>
      </c>
      <c r="Y150" s="5" t="str">
        <f t="shared" si="49"/>
        <v>Valid</v>
      </c>
      <c r="Z150" s="5">
        <f t="shared" si="50"/>
        <v>0.188</v>
      </c>
      <c r="AA150" s="5">
        <v>25</v>
      </c>
      <c r="AB150">
        <f t="shared" si="51"/>
        <v>14877.464000000002</v>
      </c>
      <c r="AC150">
        <f t="shared" si="39"/>
        <v>9420.75</v>
      </c>
      <c r="AD150">
        <f t="shared" si="52"/>
        <v>5456.7140000000018</v>
      </c>
      <c r="AE150">
        <f t="shared" si="53"/>
        <v>0.36677716040852132</v>
      </c>
      <c r="AF150">
        <f t="shared" si="54"/>
        <v>1</v>
      </c>
      <c r="AG150">
        <f t="shared" si="55"/>
        <v>0</v>
      </c>
      <c r="AK150">
        <f>AA150*(1+What_if_Analysis!$B$4)</f>
        <v>30</v>
      </c>
      <c r="AL150" s="5">
        <f>MIN(Z150,What_if_Analysis!$B$2)</f>
        <v>0.05</v>
      </c>
      <c r="AM150">
        <f t="shared" si="56"/>
        <v>20887.080000000002</v>
      </c>
      <c r="AN150">
        <f>AM150-(AK150*(T150*(1+What_if_Analysis!$B$3)))</f>
        <v>-3297.9599999999991</v>
      </c>
    </row>
    <row r="151" spans="1:40" x14ac:dyDescent="0.3">
      <c r="A151" t="s">
        <v>164</v>
      </c>
      <c r="B151" s="3">
        <v>45558</v>
      </c>
      <c r="C151" s="3" t="str">
        <f t="shared" si="40"/>
        <v>Sept-2024</v>
      </c>
      <c r="D151" s="3" t="str">
        <f t="shared" si="41"/>
        <v>Q3-2024</v>
      </c>
      <c r="E151" s="3">
        <v>45583</v>
      </c>
      <c r="F151" s="3" t="str">
        <f t="shared" si="42"/>
        <v>Valid</v>
      </c>
      <c r="G151" s="12">
        <f t="shared" si="43"/>
        <v>25</v>
      </c>
      <c r="H151" s="3">
        <f t="shared" si="44"/>
        <v>45583</v>
      </c>
      <c r="I151" t="s">
        <v>648</v>
      </c>
      <c r="J151" t="str">
        <f t="shared" si="45"/>
        <v>Americas → Canada → Vancouver</v>
      </c>
      <c r="K151" s="3" t="str">
        <f t="shared" si="46"/>
        <v>Canada-2024-09</v>
      </c>
      <c r="L151" t="s">
        <v>653</v>
      </c>
      <c r="M151" t="s">
        <v>688</v>
      </c>
      <c r="N151" t="s">
        <v>705</v>
      </c>
      <c r="O151" t="s">
        <v>708</v>
      </c>
      <c r="P151" t="s">
        <v>725</v>
      </c>
      <c r="Q151" t="s">
        <v>730</v>
      </c>
      <c r="R151" t="s">
        <v>883</v>
      </c>
      <c r="S151" s="5">
        <v>1297</v>
      </c>
      <c r="T151" s="5">
        <v>2411.52</v>
      </c>
      <c r="U151" s="5" t="str">
        <f t="shared" si="47"/>
        <v>Valid</v>
      </c>
      <c r="V151" s="5">
        <f t="shared" si="38"/>
        <v>2411.52</v>
      </c>
      <c r="W151" s="5" t="str">
        <f t="shared" si="48"/>
        <v>High</v>
      </c>
      <c r="X151" s="5">
        <v>2.1000000000000001E-2</v>
      </c>
      <c r="Y151" s="5" t="str">
        <f t="shared" si="49"/>
        <v>Valid</v>
      </c>
      <c r="Z151" s="5">
        <f t="shared" si="50"/>
        <v>2.1000000000000001E-2</v>
      </c>
      <c r="AA151" s="5">
        <v>18</v>
      </c>
      <c r="AB151">
        <f t="shared" si="51"/>
        <v>42495.805439999996</v>
      </c>
      <c r="AC151">
        <f t="shared" si="39"/>
        <v>23346</v>
      </c>
      <c r="AD151">
        <f t="shared" si="52"/>
        <v>19149.805439999996</v>
      </c>
      <c r="AE151">
        <f t="shared" si="53"/>
        <v>0.45062813239385913</v>
      </c>
      <c r="AF151">
        <f t="shared" si="54"/>
        <v>0</v>
      </c>
      <c r="AG151">
        <f t="shared" si="55"/>
        <v>0</v>
      </c>
      <c r="AK151">
        <f>AA151*(1+What_if_Analysis!$B$4)</f>
        <v>21.599999999999998</v>
      </c>
      <c r="AL151" s="5">
        <f>MIN(Z151,What_if_Analysis!$B$2)</f>
        <v>2.1000000000000001E-2</v>
      </c>
      <c r="AM151">
        <f t="shared" si="56"/>
        <v>50994.966527999997</v>
      </c>
      <c r="AN151">
        <f>AM151-(AK151*(T151*(1+What_if_Analysis!$B$3)))</f>
        <v>-6302.7486719999943</v>
      </c>
    </row>
    <row r="152" spans="1:40" x14ac:dyDescent="0.3">
      <c r="A152" t="s">
        <v>165</v>
      </c>
      <c r="B152" s="3">
        <v>45763</v>
      </c>
      <c r="C152" s="3" t="str">
        <f t="shared" si="40"/>
        <v>Apr-2025</v>
      </c>
      <c r="D152" s="3" t="str">
        <f t="shared" si="41"/>
        <v>Q2-2025</v>
      </c>
      <c r="E152" s="3">
        <v>45793</v>
      </c>
      <c r="F152" s="3" t="str">
        <f t="shared" si="42"/>
        <v>Valid</v>
      </c>
      <c r="G152" s="12">
        <f t="shared" si="43"/>
        <v>30</v>
      </c>
      <c r="H152" s="3">
        <f t="shared" si="44"/>
        <v>45793</v>
      </c>
      <c r="I152" t="s">
        <v>648</v>
      </c>
      <c r="J152" t="str">
        <f t="shared" si="45"/>
        <v>Americas → Canada → Montreal</v>
      </c>
      <c r="K152" s="3" t="str">
        <f t="shared" si="46"/>
        <v>Canada-2025-04</v>
      </c>
      <c r="L152" t="s">
        <v>653</v>
      </c>
      <c r="M152" t="s">
        <v>681</v>
      </c>
      <c r="N152" t="s">
        <v>706</v>
      </c>
      <c r="O152" t="s">
        <v>710</v>
      </c>
      <c r="P152" t="s">
        <v>723</v>
      </c>
      <c r="Q152" t="s">
        <v>728</v>
      </c>
      <c r="R152" t="s">
        <v>884</v>
      </c>
      <c r="S152" s="5">
        <v>763.32</v>
      </c>
      <c r="T152" s="5">
        <v>568.29</v>
      </c>
      <c r="U152" s="5" t="str">
        <f t="shared" si="47"/>
        <v>Valid</v>
      </c>
      <c r="V152" s="5">
        <f t="shared" si="38"/>
        <v>568.29</v>
      </c>
      <c r="W152" s="5" t="str">
        <f t="shared" si="48"/>
        <v>Low</v>
      </c>
      <c r="X152" s="5">
        <v>0.13100000000000001</v>
      </c>
      <c r="Y152" s="5" t="str">
        <f t="shared" si="49"/>
        <v>Valid</v>
      </c>
      <c r="Z152" s="5">
        <f t="shared" si="50"/>
        <v>0.13100000000000001</v>
      </c>
      <c r="AA152" s="5">
        <v>16</v>
      </c>
      <c r="AB152">
        <f t="shared" si="51"/>
        <v>7901.5041599999995</v>
      </c>
      <c r="AC152">
        <f t="shared" si="39"/>
        <v>12213.12</v>
      </c>
      <c r="AD152">
        <f t="shared" si="52"/>
        <v>-4311.6158400000013</v>
      </c>
      <c r="AE152">
        <f t="shared" si="53"/>
        <v>-0.54567026134426555</v>
      </c>
      <c r="AF152">
        <f t="shared" si="54"/>
        <v>0</v>
      </c>
      <c r="AG152">
        <f t="shared" si="55"/>
        <v>0</v>
      </c>
      <c r="AK152">
        <f>AA152*(1+What_if_Analysis!$B$4)</f>
        <v>19.2</v>
      </c>
      <c r="AL152" s="5">
        <f>MIN(Z152,What_if_Analysis!$B$2)</f>
        <v>0.05</v>
      </c>
      <c r="AM152">
        <f t="shared" si="56"/>
        <v>10365.6096</v>
      </c>
      <c r="AN152">
        <f>AM152-(AK152*(T152*(1+What_if_Analysis!$B$3)))</f>
        <v>-1636.6751999999997</v>
      </c>
    </row>
    <row r="153" spans="1:40" x14ac:dyDescent="0.3">
      <c r="A153" t="s">
        <v>166</v>
      </c>
      <c r="B153" s="3">
        <v>45110</v>
      </c>
      <c r="C153" s="3" t="str">
        <f t="shared" si="40"/>
        <v>Jul-2023</v>
      </c>
      <c r="D153" s="3" t="str">
        <f t="shared" si="41"/>
        <v>Q3-2023</v>
      </c>
      <c r="E153" s="3">
        <v>45130</v>
      </c>
      <c r="F153" s="3" t="str">
        <f t="shared" si="42"/>
        <v>Valid</v>
      </c>
      <c r="G153" s="12">
        <f t="shared" si="43"/>
        <v>20</v>
      </c>
      <c r="H153" s="3">
        <f t="shared" si="44"/>
        <v>45130</v>
      </c>
      <c r="I153" t="s">
        <v>646</v>
      </c>
      <c r="J153" t="str">
        <f t="shared" si="45"/>
        <v>Africa → South Africa → Johannesburg</v>
      </c>
      <c r="K153" s="3" t="str">
        <f t="shared" si="46"/>
        <v>South Africa-2023-07</v>
      </c>
      <c r="L153" t="s">
        <v>661</v>
      </c>
      <c r="M153" t="s">
        <v>682</v>
      </c>
      <c r="N153" t="s">
        <v>705</v>
      </c>
      <c r="O153" t="s">
        <v>710</v>
      </c>
      <c r="P153" t="s">
        <v>721</v>
      </c>
      <c r="Q153" t="s">
        <v>731</v>
      </c>
      <c r="R153" t="s">
        <v>885</v>
      </c>
      <c r="S153" s="5">
        <v>1001.96</v>
      </c>
      <c r="T153" s="5">
        <v>1254.95</v>
      </c>
      <c r="U153" s="5" t="str">
        <f t="shared" si="47"/>
        <v>Valid</v>
      </c>
      <c r="V153" s="5">
        <f t="shared" si="38"/>
        <v>1254.95</v>
      </c>
      <c r="W153" s="5" t="str">
        <f t="shared" si="48"/>
        <v>Medium</v>
      </c>
      <c r="X153" s="5">
        <v>4.4999999999999998E-2</v>
      </c>
      <c r="Y153" s="5" t="str">
        <f t="shared" si="49"/>
        <v>Valid</v>
      </c>
      <c r="Z153" s="5">
        <f t="shared" si="50"/>
        <v>4.4999999999999998E-2</v>
      </c>
      <c r="AA153" s="5">
        <v>18</v>
      </c>
      <c r="AB153">
        <f t="shared" si="51"/>
        <v>21572.590500000002</v>
      </c>
      <c r="AC153">
        <f t="shared" si="39"/>
        <v>18035.28</v>
      </c>
      <c r="AD153">
        <f t="shared" si="52"/>
        <v>3537.3105000000032</v>
      </c>
      <c r="AE153">
        <f t="shared" si="53"/>
        <v>0.16397244920585699</v>
      </c>
      <c r="AF153">
        <f t="shared" si="54"/>
        <v>0</v>
      </c>
      <c r="AG153">
        <f t="shared" si="55"/>
        <v>0</v>
      </c>
      <c r="AK153">
        <f>AA153*(1+What_if_Analysis!$B$4)</f>
        <v>21.599999999999998</v>
      </c>
      <c r="AL153" s="5">
        <f>MIN(Z153,What_if_Analysis!$B$2)</f>
        <v>4.4999999999999998E-2</v>
      </c>
      <c r="AM153">
        <f t="shared" si="56"/>
        <v>25887.108599999996</v>
      </c>
      <c r="AN153">
        <f>AM153-(AK153*(T153*(1+What_if_Analysis!$B$3)))</f>
        <v>-3930.5034000000051</v>
      </c>
    </row>
    <row r="154" spans="1:40" x14ac:dyDescent="0.3">
      <c r="A154" t="s">
        <v>167</v>
      </c>
      <c r="B154" s="3">
        <v>45267</v>
      </c>
      <c r="C154" s="3" t="str">
        <f t="shared" si="40"/>
        <v>Dec-2023</v>
      </c>
      <c r="D154" s="3" t="str">
        <f t="shared" si="41"/>
        <v>Q4-2023</v>
      </c>
      <c r="E154" s="3">
        <v>45265</v>
      </c>
      <c r="F154" s="3" t="str">
        <f t="shared" si="42"/>
        <v>Invalid RequiredDate</v>
      </c>
      <c r="G154" s="12">
        <f t="shared" si="43"/>
        <v>-2</v>
      </c>
      <c r="H154" s="3">
        <f t="shared" si="44"/>
        <v>45293</v>
      </c>
      <c r="I154" t="s">
        <v>647</v>
      </c>
      <c r="J154" t="str">
        <f t="shared" si="45"/>
        <v>Asia → Japan → Tokyo</v>
      </c>
      <c r="K154" s="3" t="str">
        <f t="shared" si="46"/>
        <v>Japan-2023-12</v>
      </c>
      <c r="L154" t="s">
        <v>652</v>
      </c>
      <c r="M154" t="s">
        <v>689</v>
      </c>
      <c r="N154" t="s">
        <v>703</v>
      </c>
      <c r="O154" t="s">
        <v>709</v>
      </c>
      <c r="P154" t="s">
        <v>722</v>
      </c>
      <c r="Q154" t="s">
        <v>728</v>
      </c>
      <c r="R154" t="s">
        <v>886</v>
      </c>
      <c r="S154" s="5">
        <v>1097.5899999999999</v>
      </c>
      <c r="T154" s="5">
        <v>845.55</v>
      </c>
      <c r="U154" s="5" t="str">
        <f t="shared" si="47"/>
        <v>Valid</v>
      </c>
      <c r="V154" s="5">
        <f t="shared" si="38"/>
        <v>845.55</v>
      </c>
      <c r="W154" s="5" t="str">
        <f t="shared" si="48"/>
        <v>Medium</v>
      </c>
      <c r="X154" s="5">
        <v>0.184</v>
      </c>
      <c r="Y154" s="5" t="str">
        <f t="shared" si="49"/>
        <v>Valid</v>
      </c>
      <c r="Z154" s="5">
        <f t="shared" si="50"/>
        <v>0.184</v>
      </c>
      <c r="AA154" s="5">
        <v>6</v>
      </c>
      <c r="AB154">
        <f t="shared" si="51"/>
        <v>4139.8127999999997</v>
      </c>
      <c r="AC154">
        <f t="shared" si="39"/>
        <v>6585.5399999999991</v>
      </c>
      <c r="AD154">
        <f t="shared" si="52"/>
        <v>-2445.7271999999994</v>
      </c>
      <c r="AE154">
        <f t="shared" si="53"/>
        <v>-0.59078207594314402</v>
      </c>
      <c r="AF154">
        <f t="shared" si="54"/>
        <v>1</v>
      </c>
      <c r="AG154">
        <f t="shared" si="55"/>
        <v>0</v>
      </c>
      <c r="AK154">
        <f>AA154*(1+What_if_Analysis!$B$4)</f>
        <v>7.1999999999999993</v>
      </c>
      <c r="AL154" s="5">
        <f>MIN(Z154,What_if_Analysis!$B$2)</f>
        <v>0.05</v>
      </c>
      <c r="AM154">
        <f t="shared" si="56"/>
        <v>5783.561999999999</v>
      </c>
      <c r="AN154">
        <f>AM154-(AK154*(T154*(1+What_if_Analysis!$B$3)))</f>
        <v>-913.19400000000041</v>
      </c>
    </row>
    <row r="155" spans="1:40" x14ac:dyDescent="0.3">
      <c r="A155" t="s">
        <v>168</v>
      </c>
      <c r="B155" s="3">
        <v>45340</v>
      </c>
      <c r="C155" s="3" t="str">
        <f t="shared" si="40"/>
        <v>Feb-2024</v>
      </c>
      <c r="D155" s="3" t="str">
        <f t="shared" si="41"/>
        <v>Q1-2024</v>
      </c>
      <c r="E155" s="3">
        <v>45355</v>
      </c>
      <c r="F155" s="3" t="str">
        <f t="shared" si="42"/>
        <v>Valid</v>
      </c>
      <c r="G155" s="12">
        <f t="shared" si="43"/>
        <v>15</v>
      </c>
      <c r="H155" s="3">
        <f t="shared" si="44"/>
        <v>45355</v>
      </c>
      <c r="I155" t="s">
        <v>646</v>
      </c>
      <c r="J155" t="str">
        <f t="shared" si="45"/>
        <v>Africa → Kenya → Kisumu</v>
      </c>
      <c r="K155" s="3" t="str">
        <f t="shared" si="46"/>
        <v>Kenya-2024-02</v>
      </c>
      <c r="L155" t="s">
        <v>650</v>
      </c>
      <c r="M155" t="s">
        <v>662</v>
      </c>
      <c r="N155" t="s">
        <v>702</v>
      </c>
      <c r="O155" t="s">
        <v>711</v>
      </c>
      <c r="P155" t="s">
        <v>723</v>
      </c>
      <c r="Q155" t="s">
        <v>728</v>
      </c>
      <c r="R155" t="s">
        <v>887</v>
      </c>
      <c r="S155" s="5">
        <v>928.68</v>
      </c>
      <c r="T155" s="5">
        <v>2145.17</v>
      </c>
      <c r="U155" s="5" t="str">
        <f t="shared" si="47"/>
        <v>Valid</v>
      </c>
      <c r="V155" s="5">
        <f t="shared" si="38"/>
        <v>2145.17</v>
      </c>
      <c r="W155" s="5" t="str">
        <f t="shared" si="48"/>
        <v>High</v>
      </c>
      <c r="X155" s="5">
        <v>0.13600000000000001</v>
      </c>
      <c r="Y155" s="5" t="str">
        <f t="shared" si="49"/>
        <v>Valid</v>
      </c>
      <c r="Z155" s="5">
        <f t="shared" si="50"/>
        <v>0.13600000000000001</v>
      </c>
      <c r="AA155" s="5">
        <v>16</v>
      </c>
      <c r="AB155">
        <f t="shared" si="51"/>
        <v>29654.83008</v>
      </c>
      <c r="AC155">
        <f t="shared" si="39"/>
        <v>14858.88</v>
      </c>
      <c r="AD155">
        <f t="shared" si="52"/>
        <v>14795.950080000001</v>
      </c>
      <c r="AE155">
        <f t="shared" si="53"/>
        <v>0.49893896003062177</v>
      </c>
      <c r="AF155">
        <f t="shared" si="54"/>
        <v>0</v>
      </c>
      <c r="AG155">
        <f t="shared" si="55"/>
        <v>0</v>
      </c>
      <c r="AK155">
        <f>AA155*(1+What_if_Analysis!$B$4)</f>
        <v>19.2</v>
      </c>
      <c r="AL155" s="5">
        <f>MIN(Z155,What_if_Analysis!$B$2)</f>
        <v>0.05</v>
      </c>
      <c r="AM155">
        <f t="shared" si="56"/>
        <v>39127.900800000003</v>
      </c>
      <c r="AN155">
        <f>AM155-(AK155*(T155*(1+What_if_Analysis!$B$3)))</f>
        <v>-6178.0895999999993</v>
      </c>
    </row>
    <row r="156" spans="1:40" x14ac:dyDescent="0.3">
      <c r="A156" t="s">
        <v>169</v>
      </c>
      <c r="B156" s="3">
        <v>45230</v>
      </c>
      <c r="C156" s="3" t="str">
        <f t="shared" si="40"/>
        <v>Oct-2023</v>
      </c>
      <c r="D156" s="3" t="str">
        <f t="shared" si="41"/>
        <v>Q4-2023</v>
      </c>
      <c r="E156" s="3">
        <v>45232</v>
      </c>
      <c r="F156" s="3" t="str">
        <f t="shared" si="42"/>
        <v>Valid</v>
      </c>
      <c r="G156" s="12">
        <f t="shared" si="43"/>
        <v>2</v>
      </c>
      <c r="H156" s="3">
        <f t="shared" si="44"/>
        <v>45232</v>
      </c>
      <c r="I156" t="s">
        <v>646</v>
      </c>
      <c r="J156" t="str">
        <f t="shared" si="45"/>
        <v>Africa → Kenya → Kisumu</v>
      </c>
      <c r="K156" s="3" t="str">
        <f t="shared" si="46"/>
        <v>Kenya-2023-10</v>
      </c>
      <c r="L156" t="s">
        <v>650</v>
      </c>
      <c r="M156" t="s">
        <v>662</v>
      </c>
      <c r="N156" t="s">
        <v>702</v>
      </c>
      <c r="O156" t="s">
        <v>707</v>
      </c>
      <c r="P156" t="s">
        <v>719</v>
      </c>
      <c r="Q156" t="s">
        <v>733</v>
      </c>
      <c r="R156" t="s">
        <v>888</v>
      </c>
      <c r="S156" s="5">
        <v>867.89</v>
      </c>
      <c r="T156" s="5">
        <v>1349.94</v>
      </c>
      <c r="U156" s="5" t="str">
        <f t="shared" si="47"/>
        <v>Valid</v>
      </c>
      <c r="V156" s="5">
        <f t="shared" si="38"/>
        <v>1349.94</v>
      </c>
      <c r="W156" s="5" t="str">
        <f t="shared" si="48"/>
        <v>Medium</v>
      </c>
      <c r="X156" s="5">
        <v>0.184</v>
      </c>
      <c r="Y156" s="5" t="str">
        <f t="shared" si="49"/>
        <v>Valid</v>
      </c>
      <c r="Z156" s="5">
        <f t="shared" si="50"/>
        <v>0.184</v>
      </c>
      <c r="AA156" s="5">
        <v>10</v>
      </c>
      <c r="AB156">
        <f t="shared" si="51"/>
        <v>11015.510400000003</v>
      </c>
      <c r="AC156">
        <f t="shared" si="39"/>
        <v>8678.9</v>
      </c>
      <c r="AD156">
        <f t="shared" si="52"/>
        <v>2336.6104000000032</v>
      </c>
      <c r="AE156">
        <f t="shared" si="53"/>
        <v>0.21212003031652557</v>
      </c>
      <c r="AF156">
        <f t="shared" si="54"/>
        <v>1</v>
      </c>
      <c r="AG156">
        <f t="shared" si="55"/>
        <v>0</v>
      </c>
      <c r="AK156">
        <f>AA156*(1+What_if_Analysis!$B$4)</f>
        <v>12</v>
      </c>
      <c r="AL156" s="5">
        <f>MIN(Z156,What_if_Analysis!$B$2)</f>
        <v>0.05</v>
      </c>
      <c r="AM156">
        <f t="shared" si="56"/>
        <v>15389.316000000001</v>
      </c>
      <c r="AN156">
        <f>AM156-(AK156*(T156*(1+What_if_Analysis!$B$3)))</f>
        <v>-2429.8920000000016</v>
      </c>
    </row>
    <row r="157" spans="1:40" x14ac:dyDescent="0.3">
      <c r="A157" t="s">
        <v>170</v>
      </c>
      <c r="B157" s="3">
        <v>45511</v>
      </c>
      <c r="C157" s="3" t="str">
        <f t="shared" si="40"/>
        <v>Aug-2024</v>
      </c>
      <c r="D157" s="3" t="str">
        <f t="shared" si="41"/>
        <v>Q3-2024</v>
      </c>
      <c r="E157" s="3">
        <v>45521</v>
      </c>
      <c r="F157" s="3" t="str">
        <f t="shared" si="42"/>
        <v>Valid</v>
      </c>
      <c r="G157" s="12">
        <f t="shared" si="43"/>
        <v>10</v>
      </c>
      <c r="H157" s="3">
        <f t="shared" si="44"/>
        <v>45521</v>
      </c>
      <c r="I157" t="s">
        <v>647</v>
      </c>
      <c r="J157" t="str">
        <f t="shared" si="45"/>
        <v>Asia → Japan → Osaka</v>
      </c>
      <c r="K157" s="3" t="str">
        <f t="shared" si="46"/>
        <v>Japan-2024-08</v>
      </c>
      <c r="L157" t="s">
        <v>652</v>
      </c>
      <c r="M157" t="s">
        <v>666</v>
      </c>
      <c r="N157" t="s">
        <v>704</v>
      </c>
      <c r="O157" t="s">
        <v>708</v>
      </c>
      <c r="P157" t="s">
        <v>723</v>
      </c>
      <c r="Q157" t="s">
        <v>729</v>
      </c>
      <c r="R157" t="s">
        <v>889</v>
      </c>
      <c r="S157" s="5">
        <v>436.58</v>
      </c>
      <c r="T157" s="5">
        <v>527.48</v>
      </c>
      <c r="U157" s="5" t="str">
        <f t="shared" si="47"/>
        <v>Valid</v>
      </c>
      <c r="V157" s="5">
        <f t="shared" si="38"/>
        <v>527.48</v>
      </c>
      <c r="W157" s="5" t="str">
        <f t="shared" si="48"/>
        <v>Low</v>
      </c>
      <c r="X157" s="5">
        <v>0.111</v>
      </c>
      <c r="Y157" s="5" t="str">
        <f t="shared" si="49"/>
        <v>Valid</v>
      </c>
      <c r="Z157" s="5">
        <f t="shared" si="50"/>
        <v>0.111</v>
      </c>
      <c r="AA157" s="5">
        <v>19</v>
      </c>
      <c r="AB157">
        <f t="shared" si="51"/>
        <v>8909.6646800000017</v>
      </c>
      <c r="AC157">
        <f t="shared" si="39"/>
        <v>8295.02</v>
      </c>
      <c r="AD157">
        <f t="shared" si="52"/>
        <v>614.64468000000124</v>
      </c>
      <c r="AE157">
        <f t="shared" si="53"/>
        <v>6.8986286473802644E-2</v>
      </c>
      <c r="AF157">
        <f t="shared" si="54"/>
        <v>0</v>
      </c>
      <c r="AG157">
        <f t="shared" si="55"/>
        <v>0</v>
      </c>
      <c r="AK157">
        <f>AA157*(1+What_if_Analysis!$B$4)</f>
        <v>22.8</v>
      </c>
      <c r="AL157" s="5">
        <f>MIN(Z157,What_if_Analysis!$B$2)</f>
        <v>0.05</v>
      </c>
      <c r="AM157">
        <f t="shared" si="56"/>
        <v>11425.216800000002</v>
      </c>
      <c r="AN157">
        <f>AM157-(AK157*(T157*(1+What_if_Analysis!$B$3)))</f>
        <v>-1803.9815999999992</v>
      </c>
    </row>
    <row r="158" spans="1:40" x14ac:dyDescent="0.3">
      <c r="A158" t="s">
        <v>171</v>
      </c>
      <c r="B158" s="3">
        <v>45323</v>
      </c>
      <c r="C158" s="3" t="str">
        <f t="shared" si="40"/>
        <v>Feb-2024</v>
      </c>
      <c r="D158" s="3" t="str">
        <f t="shared" si="41"/>
        <v>Q1-2024</v>
      </c>
      <c r="E158" s="3">
        <v>45343</v>
      </c>
      <c r="F158" s="3" t="str">
        <f t="shared" si="42"/>
        <v>Valid</v>
      </c>
      <c r="G158" s="12">
        <f t="shared" si="43"/>
        <v>20</v>
      </c>
      <c r="H158" s="3">
        <f t="shared" si="44"/>
        <v>45343</v>
      </c>
      <c r="I158" t="s">
        <v>649</v>
      </c>
      <c r="J158" t="str">
        <f t="shared" si="45"/>
        <v>Europe → France → Paris</v>
      </c>
      <c r="K158" s="3" t="str">
        <f t="shared" si="46"/>
        <v>France-2024-02</v>
      </c>
      <c r="L158" t="s">
        <v>657</v>
      </c>
      <c r="M158" t="s">
        <v>690</v>
      </c>
      <c r="N158" t="s">
        <v>705</v>
      </c>
      <c r="O158" t="s">
        <v>709</v>
      </c>
      <c r="P158" t="s">
        <v>720</v>
      </c>
      <c r="Q158" t="s">
        <v>729</v>
      </c>
      <c r="R158" t="s">
        <v>890</v>
      </c>
      <c r="S158" s="5">
        <v>656.2</v>
      </c>
      <c r="T158" s="5">
        <v>1467.17</v>
      </c>
      <c r="U158" s="5" t="str">
        <f t="shared" si="47"/>
        <v>Valid</v>
      </c>
      <c r="V158" s="5">
        <f t="shared" si="38"/>
        <v>1467.17</v>
      </c>
      <c r="W158" s="5" t="str">
        <f t="shared" si="48"/>
        <v>Medium</v>
      </c>
      <c r="X158" s="5">
        <v>1.7999999999999999E-2</v>
      </c>
      <c r="Y158" s="5" t="str">
        <f t="shared" si="49"/>
        <v>Valid</v>
      </c>
      <c r="Z158" s="5">
        <f t="shared" si="50"/>
        <v>1.7999999999999999E-2</v>
      </c>
      <c r="AA158" s="5">
        <v>5</v>
      </c>
      <c r="AB158">
        <f t="shared" si="51"/>
        <v>7203.8047000000006</v>
      </c>
      <c r="AC158">
        <f t="shared" si="39"/>
        <v>3281</v>
      </c>
      <c r="AD158">
        <f t="shared" si="52"/>
        <v>3922.8047000000006</v>
      </c>
      <c r="AE158">
        <f t="shared" si="53"/>
        <v>0.54454623124360946</v>
      </c>
      <c r="AF158">
        <f t="shared" si="54"/>
        <v>0</v>
      </c>
      <c r="AG158">
        <f t="shared" si="55"/>
        <v>0</v>
      </c>
      <c r="AK158">
        <f>AA158*(1+What_if_Analysis!$B$4)</f>
        <v>6</v>
      </c>
      <c r="AL158" s="5">
        <f>MIN(Z158,What_if_Analysis!$B$2)</f>
        <v>1.7999999999999999E-2</v>
      </c>
      <c r="AM158">
        <f t="shared" si="56"/>
        <v>8644.5656400000007</v>
      </c>
      <c r="AN158">
        <f>AM158-(AK158*(T158*(1+What_if_Analysis!$B$3)))</f>
        <v>-1038.7563599999994</v>
      </c>
    </row>
    <row r="159" spans="1:40" x14ac:dyDescent="0.3">
      <c r="A159" t="s">
        <v>172</v>
      </c>
      <c r="B159" s="3">
        <v>45531</v>
      </c>
      <c r="C159" s="3" t="str">
        <f t="shared" si="40"/>
        <v>Aug-2024</v>
      </c>
      <c r="D159" s="3" t="str">
        <f t="shared" si="41"/>
        <v>Q3-2024</v>
      </c>
      <c r="E159" s="3">
        <v>45553</v>
      </c>
      <c r="F159" s="3" t="str">
        <f t="shared" si="42"/>
        <v>Valid</v>
      </c>
      <c r="G159" s="12">
        <f t="shared" si="43"/>
        <v>22</v>
      </c>
      <c r="H159" s="3">
        <f t="shared" si="44"/>
        <v>45553</v>
      </c>
      <c r="I159" t="s">
        <v>647</v>
      </c>
      <c r="J159" t="str">
        <f t="shared" si="45"/>
        <v>Asia → India → Delhi</v>
      </c>
      <c r="K159" s="3" t="str">
        <f t="shared" si="46"/>
        <v>India-2024-08</v>
      </c>
      <c r="L159" t="s">
        <v>654</v>
      </c>
      <c r="M159" t="s">
        <v>680</v>
      </c>
      <c r="N159" t="s">
        <v>704</v>
      </c>
      <c r="O159" t="s">
        <v>711</v>
      </c>
      <c r="P159" t="s">
        <v>717</v>
      </c>
      <c r="Q159" t="s">
        <v>727</v>
      </c>
      <c r="R159" t="s">
        <v>891</v>
      </c>
      <c r="S159" s="5">
        <v>896.75</v>
      </c>
      <c r="T159" s="5">
        <v>1651.14</v>
      </c>
      <c r="U159" s="5" t="str">
        <f t="shared" si="47"/>
        <v>Valid</v>
      </c>
      <c r="V159" s="5">
        <f t="shared" si="38"/>
        <v>1651.14</v>
      </c>
      <c r="W159" s="5" t="str">
        <f t="shared" si="48"/>
        <v>Medium</v>
      </c>
      <c r="X159" s="5">
        <v>2.5000000000000001E-2</v>
      </c>
      <c r="Y159" s="5" t="str">
        <f t="shared" si="49"/>
        <v>Valid</v>
      </c>
      <c r="Z159" s="5">
        <f t="shared" si="50"/>
        <v>2.5000000000000001E-2</v>
      </c>
      <c r="AA159" s="5">
        <v>15</v>
      </c>
      <c r="AB159">
        <f t="shared" si="51"/>
        <v>24147.922500000001</v>
      </c>
      <c r="AC159">
        <f t="shared" si="39"/>
        <v>13451.25</v>
      </c>
      <c r="AD159">
        <f t="shared" si="52"/>
        <v>10696.672500000001</v>
      </c>
      <c r="AE159">
        <f t="shared" si="53"/>
        <v>0.44296450346815552</v>
      </c>
      <c r="AF159">
        <f t="shared" si="54"/>
        <v>0</v>
      </c>
      <c r="AG159">
        <f t="shared" si="55"/>
        <v>0</v>
      </c>
      <c r="AK159">
        <f>AA159*(1+What_if_Analysis!$B$4)</f>
        <v>18</v>
      </c>
      <c r="AL159" s="5">
        <f>MIN(Z159,What_if_Analysis!$B$2)</f>
        <v>2.5000000000000001E-2</v>
      </c>
      <c r="AM159">
        <f t="shared" si="56"/>
        <v>28977.507000000001</v>
      </c>
      <c r="AN159">
        <f>AM159-(AK159*(T159*(1+What_if_Analysis!$B$3)))</f>
        <v>-3715.065000000006</v>
      </c>
    </row>
    <row r="160" spans="1:40" x14ac:dyDescent="0.3">
      <c r="A160" t="s">
        <v>173</v>
      </c>
      <c r="B160" s="3">
        <v>45703</v>
      </c>
      <c r="C160" s="3" t="str">
        <f t="shared" si="40"/>
        <v>Feb-2025</v>
      </c>
      <c r="D160" s="3" t="str">
        <f t="shared" si="41"/>
        <v>Q1-2025</v>
      </c>
      <c r="E160" s="3">
        <v>45703</v>
      </c>
      <c r="F160" s="3" t="str">
        <f t="shared" si="42"/>
        <v>Valid</v>
      </c>
      <c r="G160" s="12">
        <f t="shared" si="43"/>
        <v>0</v>
      </c>
      <c r="H160" s="3">
        <f t="shared" si="44"/>
        <v>45703</v>
      </c>
      <c r="I160" t="s">
        <v>649</v>
      </c>
      <c r="J160" t="str">
        <f t="shared" si="45"/>
        <v>Europe → Germany → Frankfurt</v>
      </c>
      <c r="K160" s="3" t="str">
        <f t="shared" si="46"/>
        <v>Germany-2025-02</v>
      </c>
      <c r="L160" t="s">
        <v>656</v>
      </c>
      <c r="M160" t="s">
        <v>698</v>
      </c>
      <c r="N160" t="s">
        <v>705</v>
      </c>
      <c r="O160" t="s">
        <v>709</v>
      </c>
      <c r="P160" t="s">
        <v>716</v>
      </c>
      <c r="Q160" t="s">
        <v>733</v>
      </c>
      <c r="R160" t="s">
        <v>892</v>
      </c>
      <c r="S160" s="5">
        <v>815.83</v>
      </c>
      <c r="T160" s="5">
        <v>1982.18</v>
      </c>
      <c r="U160" s="5" t="str">
        <f t="shared" si="47"/>
        <v>Valid</v>
      </c>
      <c r="V160" s="5">
        <f t="shared" si="38"/>
        <v>1982.18</v>
      </c>
      <c r="W160" s="5" t="str">
        <f t="shared" si="48"/>
        <v>High</v>
      </c>
      <c r="X160" s="5">
        <v>0.127</v>
      </c>
      <c r="Y160" s="5" t="str">
        <f t="shared" si="49"/>
        <v>Valid</v>
      </c>
      <c r="Z160" s="5">
        <f t="shared" si="50"/>
        <v>0.127</v>
      </c>
      <c r="AA160" s="5">
        <v>6</v>
      </c>
      <c r="AB160">
        <f t="shared" si="51"/>
        <v>10382.65884</v>
      </c>
      <c r="AC160">
        <f t="shared" si="39"/>
        <v>4894.9800000000005</v>
      </c>
      <c r="AD160">
        <f t="shared" si="52"/>
        <v>5487.6788399999996</v>
      </c>
      <c r="AE160">
        <f t="shared" si="53"/>
        <v>0.52854272923408507</v>
      </c>
      <c r="AF160">
        <f t="shared" si="54"/>
        <v>1</v>
      </c>
      <c r="AG160">
        <f t="shared" si="55"/>
        <v>0</v>
      </c>
      <c r="AK160">
        <f>AA160*(1+What_if_Analysis!$B$4)</f>
        <v>7.1999999999999993</v>
      </c>
      <c r="AL160" s="5">
        <f>MIN(Z160,What_if_Analysis!$B$2)</f>
        <v>0.05</v>
      </c>
      <c r="AM160">
        <f t="shared" si="56"/>
        <v>13558.111199999999</v>
      </c>
      <c r="AN160">
        <f>AM160-(AK160*(T160*(1+What_if_Analysis!$B$3)))</f>
        <v>-2140.7543999999998</v>
      </c>
    </row>
    <row r="161" spans="1:40" x14ac:dyDescent="0.3">
      <c r="A161" t="s">
        <v>174</v>
      </c>
      <c r="B161" s="3">
        <v>45870</v>
      </c>
      <c r="C161" s="3" t="str">
        <f t="shared" si="40"/>
        <v>Aug-2025</v>
      </c>
      <c r="D161" s="3" t="str">
        <f t="shared" si="41"/>
        <v>Q3-2025</v>
      </c>
      <c r="E161" s="3">
        <v>45890</v>
      </c>
      <c r="F161" s="3" t="str">
        <f t="shared" si="42"/>
        <v>Valid</v>
      </c>
      <c r="G161" s="12">
        <f t="shared" si="43"/>
        <v>20</v>
      </c>
      <c r="H161" s="3">
        <f t="shared" si="44"/>
        <v>45890</v>
      </c>
      <c r="I161" t="s">
        <v>647</v>
      </c>
      <c r="J161" t="str">
        <f t="shared" si="45"/>
        <v>Asia → China → Shanghai</v>
      </c>
      <c r="K161" s="3" t="str">
        <f t="shared" si="46"/>
        <v>China-2025-08</v>
      </c>
      <c r="L161" t="s">
        <v>659</v>
      </c>
      <c r="M161" t="s">
        <v>685</v>
      </c>
      <c r="N161" t="s">
        <v>701</v>
      </c>
      <c r="O161" t="s">
        <v>711</v>
      </c>
      <c r="P161" t="s">
        <v>714</v>
      </c>
      <c r="Q161" t="s">
        <v>730</v>
      </c>
      <c r="R161" t="s">
        <v>893</v>
      </c>
      <c r="S161" s="5">
        <v>1220.4100000000001</v>
      </c>
      <c r="T161" s="5">
        <v>2552.2199999999998</v>
      </c>
      <c r="U161" s="5" t="str">
        <f t="shared" si="47"/>
        <v>Valid</v>
      </c>
      <c r="V161" s="5">
        <f t="shared" si="38"/>
        <v>2552.2199999999998</v>
      </c>
      <c r="W161" s="5" t="str">
        <f t="shared" si="48"/>
        <v>High</v>
      </c>
      <c r="X161" s="5">
        <v>0.18099999999999999</v>
      </c>
      <c r="Y161" s="5" t="str">
        <f t="shared" si="49"/>
        <v>Valid</v>
      </c>
      <c r="Z161" s="5">
        <f t="shared" si="50"/>
        <v>0.18099999999999999</v>
      </c>
      <c r="AA161" s="5">
        <v>14</v>
      </c>
      <c r="AB161">
        <f t="shared" si="51"/>
        <v>29263.754519999995</v>
      </c>
      <c r="AC161">
        <f t="shared" si="39"/>
        <v>17085.740000000002</v>
      </c>
      <c r="AD161">
        <f t="shared" si="52"/>
        <v>12178.014519999993</v>
      </c>
      <c r="AE161">
        <f t="shared" si="53"/>
        <v>0.41614668793360271</v>
      </c>
      <c r="AF161">
        <f t="shared" si="54"/>
        <v>0</v>
      </c>
      <c r="AG161">
        <f t="shared" si="55"/>
        <v>0</v>
      </c>
      <c r="AK161">
        <f>AA161*(1+What_if_Analysis!$B$4)</f>
        <v>16.8</v>
      </c>
      <c r="AL161" s="5">
        <f>MIN(Z161,What_if_Analysis!$B$2)</f>
        <v>0.05</v>
      </c>
      <c r="AM161">
        <f t="shared" si="56"/>
        <v>40733.431199999992</v>
      </c>
      <c r="AN161">
        <f>AM161-(AK161*(T161*(1+What_if_Analysis!$B$3)))</f>
        <v>-6431.594400000009</v>
      </c>
    </row>
    <row r="162" spans="1:40" x14ac:dyDescent="0.3">
      <c r="A162" t="s">
        <v>175</v>
      </c>
      <c r="B162" s="3">
        <v>44977</v>
      </c>
      <c r="C162" s="3" t="str">
        <f t="shared" si="40"/>
        <v>Feb-2023</v>
      </c>
      <c r="D162" s="3" t="str">
        <f t="shared" si="41"/>
        <v>Q1-2023</v>
      </c>
      <c r="E162" s="3">
        <v>44989</v>
      </c>
      <c r="F162" s="3" t="str">
        <f t="shared" si="42"/>
        <v>Valid</v>
      </c>
      <c r="G162" s="12">
        <f t="shared" si="43"/>
        <v>12</v>
      </c>
      <c r="H162" s="3">
        <f t="shared" si="44"/>
        <v>44989</v>
      </c>
      <c r="I162" t="s">
        <v>647</v>
      </c>
      <c r="J162" t="str">
        <f t="shared" si="45"/>
        <v>Asia → India → Delhi</v>
      </c>
      <c r="K162" s="3" t="str">
        <f t="shared" si="46"/>
        <v>India-2023-02</v>
      </c>
      <c r="L162" t="s">
        <v>654</v>
      </c>
      <c r="M162" t="s">
        <v>680</v>
      </c>
      <c r="N162" t="s">
        <v>704</v>
      </c>
      <c r="O162" t="s">
        <v>710</v>
      </c>
      <c r="P162" t="s">
        <v>724</v>
      </c>
      <c r="Q162" t="s">
        <v>732</v>
      </c>
      <c r="R162" t="s">
        <v>894</v>
      </c>
      <c r="S162" s="5">
        <v>299.75</v>
      </c>
      <c r="T162" s="5">
        <v>523.01</v>
      </c>
      <c r="U162" s="5" t="str">
        <f t="shared" si="47"/>
        <v>Valid</v>
      </c>
      <c r="V162" s="5">
        <f t="shared" si="38"/>
        <v>523.01</v>
      </c>
      <c r="W162" s="5" t="str">
        <f t="shared" si="48"/>
        <v>Low</v>
      </c>
      <c r="X162" s="5">
        <v>0.157</v>
      </c>
      <c r="Y162" s="5" t="str">
        <f t="shared" si="49"/>
        <v>Valid</v>
      </c>
      <c r="Z162" s="5">
        <f t="shared" si="50"/>
        <v>0.157</v>
      </c>
      <c r="AA162" s="5">
        <v>50</v>
      </c>
      <c r="AB162">
        <f t="shared" si="51"/>
        <v>22044.871499999997</v>
      </c>
      <c r="AC162">
        <f t="shared" si="39"/>
        <v>14987.5</v>
      </c>
      <c r="AD162">
        <f t="shared" si="52"/>
        <v>7057.3714999999975</v>
      </c>
      <c r="AE162">
        <f t="shared" si="53"/>
        <v>0.32013665854210122</v>
      </c>
      <c r="AF162">
        <f t="shared" si="54"/>
        <v>0</v>
      </c>
      <c r="AG162">
        <f t="shared" si="55"/>
        <v>0</v>
      </c>
      <c r="AK162">
        <f>AA162*(1+What_if_Analysis!$B$4)</f>
        <v>60</v>
      </c>
      <c r="AL162" s="5">
        <f>MIN(Z162,What_if_Analysis!$B$2)</f>
        <v>0.05</v>
      </c>
      <c r="AM162">
        <f t="shared" si="56"/>
        <v>29811.569999999996</v>
      </c>
      <c r="AN162">
        <f>AM162-(AK162*(T162*(1+What_if_Analysis!$B$3)))</f>
        <v>-4707.0900000000074</v>
      </c>
    </row>
    <row r="163" spans="1:40" x14ac:dyDescent="0.3">
      <c r="A163" t="s">
        <v>176</v>
      </c>
      <c r="B163" s="3">
        <v>45595</v>
      </c>
      <c r="C163" s="3" t="str">
        <f t="shared" si="40"/>
        <v>Oct-2024</v>
      </c>
      <c r="D163" s="3" t="str">
        <f t="shared" si="41"/>
        <v>Q4-2024</v>
      </c>
      <c r="E163" s="3">
        <v>45620</v>
      </c>
      <c r="F163" s="3" t="str">
        <f t="shared" si="42"/>
        <v>Valid</v>
      </c>
      <c r="G163" s="12">
        <f t="shared" si="43"/>
        <v>25</v>
      </c>
      <c r="H163" s="3">
        <f t="shared" si="44"/>
        <v>45620</v>
      </c>
      <c r="I163" t="s">
        <v>647</v>
      </c>
      <c r="J163" t="str">
        <f t="shared" si="45"/>
        <v>Asia → China → Shenzhen</v>
      </c>
      <c r="K163" s="3" t="str">
        <f t="shared" si="46"/>
        <v>China-2024-10</v>
      </c>
      <c r="L163" t="s">
        <v>659</v>
      </c>
      <c r="M163" t="s">
        <v>676</v>
      </c>
      <c r="N163" t="s">
        <v>705</v>
      </c>
      <c r="O163" t="s">
        <v>708</v>
      </c>
      <c r="P163" t="s">
        <v>718</v>
      </c>
      <c r="Q163" t="s">
        <v>727</v>
      </c>
      <c r="R163" t="s">
        <v>895</v>
      </c>
      <c r="S163" s="5">
        <v>811.05</v>
      </c>
      <c r="T163" s="5">
        <v>1217.71</v>
      </c>
      <c r="U163" s="5" t="str">
        <f t="shared" si="47"/>
        <v>Valid</v>
      </c>
      <c r="V163" s="5">
        <f t="shared" si="38"/>
        <v>1217.71</v>
      </c>
      <c r="W163" s="5" t="str">
        <f t="shared" si="48"/>
        <v>Medium</v>
      </c>
      <c r="X163" s="5">
        <v>7.1999999999999995E-2</v>
      </c>
      <c r="Y163" s="5" t="str">
        <f t="shared" si="49"/>
        <v>Valid</v>
      </c>
      <c r="Z163" s="5">
        <f t="shared" si="50"/>
        <v>7.1999999999999995E-2</v>
      </c>
      <c r="AA163" s="5">
        <v>5</v>
      </c>
      <c r="AB163">
        <f t="shared" si="51"/>
        <v>5650.1744000000008</v>
      </c>
      <c r="AC163">
        <f t="shared" si="39"/>
        <v>4055.25</v>
      </c>
      <c r="AD163">
        <f t="shared" si="52"/>
        <v>1594.9244000000008</v>
      </c>
      <c r="AE163">
        <f t="shared" si="53"/>
        <v>0.28227879125288602</v>
      </c>
      <c r="AF163">
        <f t="shared" si="54"/>
        <v>0</v>
      </c>
      <c r="AG163">
        <f t="shared" si="55"/>
        <v>0</v>
      </c>
      <c r="AK163">
        <f>AA163*(1+What_if_Analysis!$B$4)</f>
        <v>6</v>
      </c>
      <c r="AL163" s="5">
        <f>MIN(Z163,What_if_Analysis!$B$2)</f>
        <v>0.05</v>
      </c>
      <c r="AM163">
        <f t="shared" si="56"/>
        <v>6940.9470000000001</v>
      </c>
      <c r="AN163">
        <f>AM163-(AK163*(T163*(1+What_if_Analysis!$B$3)))</f>
        <v>-1095.9390000000012</v>
      </c>
    </row>
    <row r="164" spans="1:40" x14ac:dyDescent="0.3">
      <c r="A164" t="s">
        <v>177</v>
      </c>
      <c r="B164" s="3">
        <v>45385</v>
      </c>
      <c r="C164" s="3" t="str">
        <f t="shared" si="40"/>
        <v>Apr-2024</v>
      </c>
      <c r="D164" s="3" t="str">
        <f t="shared" si="41"/>
        <v>Q2-2024</v>
      </c>
      <c r="E164" s="3">
        <v>45389</v>
      </c>
      <c r="F164" s="3" t="str">
        <f t="shared" si="42"/>
        <v>Valid</v>
      </c>
      <c r="G164" s="12">
        <f t="shared" si="43"/>
        <v>4</v>
      </c>
      <c r="H164" s="3">
        <f t="shared" si="44"/>
        <v>45389</v>
      </c>
      <c r="I164" t="s">
        <v>648</v>
      </c>
      <c r="J164" t="str">
        <f t="shared" si="45"/>
        <v>Americas → Brazil → Brasília</v>
      </c>
      <c r="K164" s="3" t="str">
        <f t="shared" si="46"/>
        <v>Brazil-2024-04</v>
      </c>
      <c r="L164" t="s">
        <v>655</v>
      </c>
      <c r="M164" t="s">
        <v>672</v>
      </c>
      <c r="N164" t="s">
        <v>703</v>
      </c>
      <c r="O164" t="s">
        <v>711</v>
      </c>
      <c r="P164" t="s">
        <v>725</v>
      </c>
      <c r="Q164" t="s">
        <v>730</v>
      </c>
      <c r="R164" t="s">
        <v>896</v>
      </c>
      <c r="S164" s="5">
        <v>1023.27</v>
      </c>
      <c r="T164" s="5">
        <v>1343.64</v>
      </c>
      <c r="U164" s="5" t="str">
        <f t="shared" si="47"/>
        <v>Valid</v>
      </c>
      <c r="V164" s="5">
        <f t="shared" si="38"/>
        <v>1343.64</v>
      </c>
      <c r="W164" s="5" t="str">
        <f t="shared" si="48"/>
        <v>Medium</v>
      </c>
      <c r="X164" s="5">
        <v>0.13300000000000001</v>
      </c>
      <c r="Y164" s="5" t="str">
        <f t="shared" si="49"/>
        <v>Valid</v>
      </c>
      <c r="Z164" s="5">
        <f t="shared" si="50"/>
        <v>0.13300000000000001</v>
      </c>
      <c r="AA164" s="5">
        <v>7</v>
      </c>
      <c r="AB164">
        <f t="shared" si="51"/>
        <v>8154.5511600000009</v>
      </c>
      <c r="AC164">
        <f t="shared" si="39"/>
        <v>7162.8899999999994</v>
      </c>
      <c r="AD164">
        <f t="shared" si="52"/>
        <v>991.66116000000147</v>
      </c>
      <c r="AE164">
        <f t="shared" si="53"/>
        <v>0.12160830688810116</v>
      </c>
      <c r="AF164">
        <f t="shared" si="54"/>
        <v>1</v>
      </c>
      <c r="AG164">
        <f t="shared" si="55"/>
        <v>0</v>
      </c>
      <c r="AK164">
        <f>AA164*(1+What_if_Analysis!$B$4)</f>
        <v>8.4</v>
      </c>
      <c r="AL164" s="5">
        <f>MIN(Z164,What_if_Analysis!$B$2)</f>
        <v>0.05</v>
      </c>
      <c r="AM164">
        <f t="shared" si="56"/>
        <v>10722.2472</v>
      </c>
      <c r="AN164">
        <f>AM164-(AK164*(T164*(1+What_if_Analysis!$B$3)))</f>
        <v>-1692.9864000000016</v>
      </c>
    </row>
    <row r="165" spans="1:40" x14ac:dyDescent="0.3">
      <c r="A165" t="s">
        <v>178</v>
      </c>
      <c r="B165" s="3">
        <v>45010</v>
      </c>
      <c r="C165" s="3" t="str">
        <f t="shared" si="40"/>
        <v>Mar-2023</v>
      </c>
      <c r="D165" s="3" t="str">
        <f t="shared" si="41"/>
        <v>Q1-2023</v>
      </c>
      <c r="E165" s="3">
        <v>45011</v>
      </c>
      <c r="F165" s="3" t="str">
        <f t="shared" si="42"/>
        <v>Valid</v>
      </c>
      <c r="G165" s="12">
        <f t="shared" si="43"/>
        <v>1</v>
      </c>
      <c r="H165" s="3">
        <f t="shared" si="44"/>
        <v>45011</v>
      </c>
      <c r="I165" t="s">
        <v>647</v>
      </c>
      <c r="J165" t="str">
        <f t="shared" si="45"/>
        <v>Asia → Japan → Osaka</v>
      </c>
      <c r="K165" s="3" t="str">
        <f t="shared" si="46"/>
        <v>Japan-2023-03</v>
      </c>
      <c r="L165" t="s">
        <v>652</v>
      </c>
      <c r="M165" t="s">
        <v>666</v>
      </c>
      <c r="N165" t="s">
        <v>705</v>
      </c>
      <c r="O165" t="s">
        <v>710</v>
      </c>
      <c r="P165" t="s">
        <v>714</v>
      </c>
      <c r="Q165" t="s">
        <v>732</v>
      </c>
      <c r="R165" t="s">
        <v>897</v>
      </c>
      <c r="S165" s="5">
        <v>135.12</v>
      </c>
      <c r="T165" s="5">
        <v>301.7</v>
      </c>
      <c r="U165" s="5" t="str">
        <f t="shared" si="47"/>
        <v>Valid</v>
      </c>
      <c r="V165" s="5">
        <f t="shared" si="38"/>
        <v>301.7</v>
      </c>
      <c r="W165" s="5" t="str">
        <f t="shared" si="48"/>
        <v>Low</v>
      </c>
      <c r="X165" s="5">
        <v>0.14000000000000001</v>
      </c>
      <c r="Y165" s="5" t="str">
        <f t="shared" si="49"/>
        <v>Valid</v>
      </c>
      <c r="Z165" s="5">
        <f t="shared" si="50"/>
        <v>0.14000000000000001</v>
      </c>
      <c r="AA165" s="5">
        <v>47</v>
      </c>
      <c r="AB165">
        <f t="shared" si="51"/>
        <v>12194.714</v>
      </c>
      <c r="AC165">
        <f t="shared" si="39"/>
        <v>6350.64</v>
      </c>
      <c r="AD165">
        <f t="shared" si="52"/>
        <v>5844.0739999999996</v>
      </c>
      <c r="AE165">
        <f t="shared" si="53"/>
        <v>0.47923009920527859</v>
      </c>
      <c r="AF165">
        <f t="shared" si="54"/>
        <v>1</v>
      </c>
      <c r="AG165">
        <f t="shared" si="55"/>
        <v>0</v>
      </c>
      <c r="AK165">
        <f>AA165*(1+What_if_Analysis!$B$4)</f>
        <v>56.4</v>
      </c>
      <c r="AL165" s="5">
        <f>MIN(Z165,What_if_Analysis!$B$2)</f>
        <v>0.05</v>
      </c>
      <c r="AM165">
        <f t="shared" si="56"/>
        <v>16165.085999999998</v>
      </c>
      <c r="AN165">
        <f>AM165-(AK165*(T165*(1+What_if_Analysis!$B$3)))</f>
        <v>-2552.3820000000032</v>
      </c>
    </row>
    <row r="166" spans="1:40" x14ac:dyDescent="0.3">
      <c r="A166" t="s">
        <v>179</v>
      </c>
      <c r="B166" s="3">
        <v>45447</v>
      </c>
      <c r="C166" s="3" t="str">
        <f t="shared" si="40"/>
        <v>Jun-2024</v>
      </c>
      <c r="D166" s="3" t="str">
        <f t="shared" si="41"/>
        <v>Q2-2024</v>
      </c>
      <c r="E166" s="3">
        <v>45459</v>
      </c>
      <c r="F166" s="3" t="str">
        <f t="shared" si="42"/>
        <v>Valid</v>
      </c>
      <c r="G166" s="12">
        <f t="shared" si="43"/>
        <v>12</v>
      </c>
      <c r="H166" s="3">
        <f t="shared" si="44"/>
        <v>45459</v>
      </c>
      <c r="I166" t="s">
        <v>647</v>
      </c>
      <c r="J166" t="str">
        <f t="shared" si="45"/>
        <v>Asia → China → Shanghai</v>
      </c>
      <c r="K166" s="3" t="str">
        <f t="shared" si="46"/>
        <v>China-2024-06</v>
      </c>
      <c r="L166" t="s">
        <v>659</v>
      </c>
      <c r="M166" t="s">
        <v>685</v>
      </c>
      <c r="N166" t="s">
        <v>701</v>
      </c>
      <c r="O166" t="s">
        <v>707</v>
      </c>
      <c r="P166" t="s">
        <v>713</v>
      </c>
      <c r="Q166" t="s">
        <v>728</v>
      </c>
      <c r="R166" t="s">
        <v>898</v>
      </c>
      <c r="S166" s="5">
        <v>918.42</v>
      </c>
      <c r="T166" s="5">
        <v>1511.71</v>
      </c>
      <c r="U166" s="5" t="str">
        <f t="shared" si="47"/>
        <v>Valid</v>
      </c>
      <c r="V166" s="5">
        <f t="shared" si="38"/>
        <v>1511.71</v>
      </c>
      <c r="W166" s="5" t="str">
        <f t="shared" si="48"/>
        <v>Medium</v>
      </c>
      <c r="X166" s="5">
        <v>0.02</v>
      </c>
      <c r="Y166" s="5" t="str">
        <f t="shared" si="49"/>
        <v>Valid</v>
      </c>
      <c r="Z166" s="5">
        <f t="shared" si="50"/>
        <v>0.02</v>
      </c>
      <c r="AA166" s="5">
        <v>8</v>
      </c>
      <c r="AB166">
        <f t="shared" si="51"/>
        <v>11851.806399999999</v>
      </c>
      <c r="AC166">
        <f t="shared" si="39"/>
        <v>7347.36</v>
      </c>
      <c r="AD166">
        <f t="shared" si="52"/>
        <v>4504.4463999999998</v>
      </c>
      <c r="AE166">
        <f t="shared" si="53"/>
        <v>0.38006412254590999</v>
      </c>
      <c r="AF166">
        <f t="shared" si="54"/>
        <v>0</v>
      </c>
      <c r="AG166">
        <f t="shared" si="55"/>
        <v>0</v>
      </c>
      <c r="AK166">
        <f>AA166*(1+What_if_Analysis!$B$4)</f>
        <v>9.6</v>
      </c>
      <c r="AL166" s="5">
        <f>MIN(Z166,What_if_Analysis!$B$2)</f>
        <v>0.02</v>
      </c>
      <c r="AM166">
        <f t="shared" si="56"/>
        <v>14222.167679999999</v>
      </c>
      <c r="AN166">
        <f>AM166-(AK166*(T166*(1+What_if_Analysis!$B$3)))</f>
        <v>-1741.4899200000018</v>
      </c>
    </row>
    <row r="167" spans="1:40" x14ac:dyDescent="0.3">
      <c r="A167" t="s">
        <v>180</v>
      </c>
      <c r="B167" s="3">
        <v>44976</v>
      </c>
      <c r="C167" s="3" t="str">
        <f t="shared" si="40"/>
        <v>Feb-2023</v>
      </c>
      <c r="D167" s="3" t="str">
        <f t="shared" si="41"/>
        <v>Q1-2023</v>
      </c>
      <c r="E167" s="3">
        <v>44997</v>
      </c>
      <c r="F167" s="3" t="str">
        <f t="shared" si="42"/>
        <v>Valid</v>
      </c>
      <c r="G167" s="12">
        <f t="shared" si="43"/>
        <v>21</v>
      </c>
      <c r="H167" s="3">
        <f t="shared" si="44"/>
        <v>44997</v>
      </c>
      <c r="I167" t="s">
        <v>649</v>
      </c>
      <c r="J167" t="str">
        <f t="shared" si="45"/>
        <v>Europe → Germany → Berlin</v>
      </c>
      <c r="K167" s="3" t="str">
        <f t="shared" si="46"/>
        <v>Germany-2023-02</v>
      </c>
      <c r="L167" t="s">
        <v>656</v>
      </c>
      <c r="M167" t="s">
        <v>671</v>
      </c>
      <c r="N167" t="s">
        <v>705</v>
      </c>
      <c r="O167" t="s">
        <v>711</v>
      </c>
      <c r="P167" t="s">
        <v>716</v>
      </c>
      <c r="Q167" t="s">
        <v>732</v>
      </c>
      <c r="R167" t="s">
        <v>899</v>
      </c>
      <c r="S167" s="5">
        <v>1234.81</v>
      </c>
      <c r="T167" s="5">
        <v>2055.2399999999998</v>
      </c>
      <c r="U167" s="5" t="str">
        <f t="shared" si="47"/>
        <v>Valid</v>
      </c>
      <c r="V167" s="5">
        <f t="shared" si="38"/>
        <v>2055.2399999999998</v>
      </c>
      <c r="W167" s="5" t="str">
        <f t="shared" si="48"/>
        <v>High</v>
      </c>
      <c r="X167" s="5">
        <v>5.2999999999999999E-2</v>
      </c>
      <c r="Y167" s="5" t="str">
        <f t="shared" si="49"/>
        <v>Valid</v>
      </c>
      <c r="Z167" s="5">
        <f t="shared" si="50"/>
        <v>5.2999999999999999E-2</v>
      </c>
      <c r="AA167" s="5">
        <v>44</v>
      </c>
      <c r="AB167">
        <f t="shared" si="51"/>
        <v>85637.740319999997</v>
      </c>
      <c r="AC167">
        <f t="shared" si="39"/>
        <v>54331.64</v>
      </c>
      <c r="AD167">
        <f t="shared" si="52"/>
        <v>31306.100319999998</v>
      </c>
      <c r="AE167">
        <f t="shared" si="53"/>
        <v>0.36556429680441616</v>
      </c>
      <c r="AF167">
        <f t="shared" si="54"/>
        <v>0</v>
      </c>
      <c r="AG167">
        <f t="shared" si="55"/>
        <v>0</v>
      </c>
      <c r="AK167">
        <f>AA167*(1+What_if_Analysis!$B$4)</f>
        <v>52.8</v>
      </c>
      <c r="AL167" s="5">
        <f>MIN(Z167,What_if_Analysis!$B$2)</f>
        <v>0.05</v>
      </c>
      <c r="AM167">
        <f t="shared" si="56"/>
        <v>103090.83839999998</v>
      </c>
      <c r="AN167">
        <f>AM167-(AK167*(T167*(1+What_if_Analysis!$B$3)))</f>
        <v>-16277.500800000023</v>
      </c>
    </row>
    <row r="168" spans="1:40" x14ac:dyDescent="0.3">
      <c r="A168" t="s">
        <v>181</v>
      </c>
      <c r="B168" s="3">
        <v>45034</v>
      </c>
      <c r="C168" s="3" t="str">
        <f t="shared" si="40"/>
        <v>Apr-2023</v>
      </c>
      <c r="D168" s="3" t="str">
        <f t="shared" si="41"/>
        <v>Q2-2023</v>
      </c>
      <c r="E168" s="3">
        <v>45064</v>
      </c>
      <c r="F168" s="3" t="str">
        <f t="shared" si="42"/>
        <v>Valid</v>
      </c>
      <c r="G168" s="12">
        <f t="shared" si="43"/>
        <v>30</v>
      </c>
      <c r="H168" s="3">
        <f t="shared" si="44"/>
        <v>45064</v>
      </c>
      <c r="I168" t="s">
        <v>647</v>
      </c>
      <c r="J168" t="str">
        <f t="shared" si="45"/>
        <v>Asia → China → Shenzhen</v>
      </c>
      <c r="K168" s="3" t="str">
        <f t="shared" si="46"/>
        <v>China-2023-04</v>
      </c>
      <c r="L168" t="s">
        <v>659</v>
      </c>
      <c r="M168" t="s">
        <v>676</v>
      </c>
      <c r="N168" t="s">
        <v>703</v>
      </c>
      <c r="O168" t="s">
        <v>707</v>
      </c>
      <c r="P168" t="s">
        <v>722</v>
      </c>
      <c r="Q168" t="s">
        <v>731</v>
      </c>
      <c r="R168" t="s">
        <v>900</v>
      </c>
      <c r="S168" s="5">
        <v>329.03</v>
      </c>
      <c r="T168" s="5">
        <v>391.15</v>
      </c>
      <c r="U168" s="5" t="str">
        <f t="shared" si="47"/>
        <v>Valid</v>
      </c>
      <c r="V168" s="5">
        <f t="shared" si="38"/>
        <v>391.15</v>
      </c>
      <c r="W168" s="5" t="str">
        <f t="shared" si="48"/>
        <v>Low</v>
      </c>
      <c r="X168" s="5">
        <v>0.19700000000000001</v>
      </c>
      <c r="Y168" s="5" t="str">
        <f t="shared" si="49"/>
        <v>Valid</v>
      </c>
      <c r="Z168" s="5">
        <f t="shared" si="50"/>
        <v>0.19700000000000001</v>
      </c>
      <c r="AA168" s="5">
        <v>46</v>
      </c>
      <c r="AB168">
        <f t="shared" si="51"/>
        <v>14448.298699999998</v>
      </c>
      <c r="AC168">
        <f t="shared" si="39"/>
        <v>15135.38</v>
      </c>
      <c r="AD168">
        <f t="shared" si="52"/>
        <v>-687.08130000000165</v>
      </c>
      <c r="AE168">
        <f t="shared" si="53"/>
        <v>-4.7554477815440081E-2</v>
      </c>
      <c r="AF168">
        <f t="shared" si="54"/>
        <v>0</v>
      </c>
      <c r="AG168">
        <f t="shared" si="55"/>
        <v>0</v>
      </c>
      <c r="AK168">
        <f>AA168*(1+What_if_Analysis!$B$4)</f>
        <v>55.199999999999996</v>
      </c>
      <c r="AL168" s="5">
        <f>MIN(Z168,What_if_Analysis!$B$2)</f>
        <v>0.05</v>
      </c>
      <c r="AM168">
        <f t="shared" si="56"/>
        <v>20511.905999999995</v>
      </c>
      <c r="AN168">
        <f>AM168-(AK168*(T168*(1+What_if_Analysis!$B$3)))</f>
        <v>-3238.7220000000016</v>
      </c>
    </row>
    <row r="169" spans="1:40" x14ac:dyDescent="0.3">
      <c r="A169" t="s">
        <v>182</v>
      </c>
      <c r="B169" s="3">
        <v>45435</v>
      </c>
      <c r="C169" s="3" t="str">
        <f t="shared" si="40"/>
        <v>May-2024</v>
      </c>
      <c r="D169" s="3" t="str">
        <f t="shared" si="41"/>
        <v>Q2-2024</v>
      </c>
      <c r="E169" s="3">
        <v>45457</v>
      </c>
      <c r="F169" s="3" t="str">
        <f t="shared" si="42"/>
        <v>Valid</v>
      </c>
      <c r="G169" s="12">
        <f t="shared" si="43"/>
        <v>22</v>
      </c>
      <c r="H169" s="3">
        <f t="shared" si="44"/>
        <v>45457</v>
      </c>
      <c r="I169" t="s">
        <v>649</v>
      </c>
      <c r="J169" t="str">
        <f t="shared" si="45"/>
        <v>Europe → France → Marseille</v>
      </c>
      <c r="K169" s="3" t="str">
        <f t="shared" si="46"/>
        <v>France-2024-05</v>
      </c>
      <c r="L169" t="s">
        <v>657</v>
      </c>
      <c r="M169" t="s">
        <v>673</v>
      </c>
      <c r="N169" t="s">
        <v>705</v>
      </c>
      <c r="O169" t="s">
        <v>708</v>
      </c>
      <c r="P169" t="s">
        <v>725</v>
      </c>
      <c r="Q169" t="s">
        <v>732</v>
      </c>
      <c r="R169" t="s">
        <v>901</v>
      </c>
      <c r="S169" s="5">
        <v>1481.74</v>
      </c>
      <c r="T169" s="5">
        <v>1848.97</v>
      </c>
      <c r="U169" s="5" t="str">
        <f t="shared" si="47"/>
        <v>Valid</v>
      </c>
      <c r="V169" s="5">
        <f t="shared" si="38"/>
        <v>1848.97</v>
      </c>
      <c r="W169" s="5" t="str">
        <f t="shared" si="48"/>
        <v>Medium</v>
      </c>
      <c r="X169" s="5">
        <v>0.254</v>
      </c>
      <c r="Y169" s="5" t="str">
        <f t="shared" si="49"/>
        <v>Valid</v>
      </c>
      <c r="Z169" s="5">
        <f t="shared" si="50"/>
        <v>0.254</v>
      </c>
      <c r="AA169" s="5">
        <v>9</v>
      </c>
      <c r="AB169">
        <f t="shared" si="51"/>
        <v>12413.98458</v>
      </c>
      <c r="AC169">
        <f t="shared" si="39"/>
        <v>13335.66</v>
      </c>
      <c r="AD169">
        <f t="shared" si="52"/>
        <v>-921.67541999999958</v>
      </c>
      <c r="AE169">
        <f t="shared" si="53"/>
        <v>-7.4244930309072407E-2</v>
      </c>
      <c r="AF169">
        <f t="shared" si="54"/>
        <v>0</v>
      </c>
      <c r="AG169">
        <f t="shared" si="55"/>
        <v>1</v>
      </c>
      <c r="AK169">
        <f>AA169*(1+What_if_Analysis!$B$4)</f>
        <v>10.799999999999999</v>
      </c>
      <c r="AL169" s="5">
        <f>MIN(Z169,What_if_Analysis!$B$2)</f>
        <v>0.05</v>
      </c>
      <c r="AM169">
        <f t="shared" si="56"/>
        <v>18970.432199999996</v>
      </c>
      <c r="AN169">
        <f>AM169-(AK169*(T169*(1+What_if_Analysis!$B$3)))</f>
        <v>-2995.3314000000028</v>
      </c>
    </row>
    <row r="170" spans="1:40" x14ac:dyDescent="0.3">
      <c r="A170" t="s">
        <v>183</v>
      </c>
      <c r="B170" s="3">
        <v>45206</v>
      </c>
      <c r="C170" s="3" t="str">
        <f t="shared" si="40"/>
        <v>Oct-2023</v>
      </c>
      <c r="D170" s="3" t="str">
        <f t="shared" si="41"/>
        <v>Q4-2023</v>
      </c>
      <c r="E170" s="3">
        <v>45222</v>
      </c>
      <c r="F170" s="3" t="str">
        <f t="shared" si="42"/>
        <v>Valid</v>
      </c>
      <c r="G170" s="12">
        <f t="shared" si="43"/>
        <v>16</v>
      </c>
      <c r="H170" s="3">
        <f t="shared" si="44"/>
        <v>45222</v>
      </c>
      <c r="I170" t="s">
        <v>647</v>
      </c>
      <c r="J170" t="str">
        <f t="shared" si="45"/>
        <v>Asia → India → Hyderabad</v>
      </c>
      <c r="K170" s="3" t="str">
        <f t="shared" si="46"/>
        <v>India-2023-10</v>
      </c>
      <c r="L170" t="s">
        <v>654</v>
      </c>
      <c r="M170" t="s">
        <v>696</v>
      </c>
      <c r="N170" t="s">
        <v>704</v>
      </c>
      <c r="O170" t="s">
        <v>707</v>
      </c>
      <c r="P170" t="s">
        <v>715</v>
      </c>
      <c r="Q170" t="s">
        <v>732</v>
      </c>
      <c r="R170" t="s">
        <v>902</v>
      </c>
      <c r="S170" s="5">
        <v>906.81</v>
      </c>
      <c r="T170" s="5">
        <v>1395.56</v>
      </c>
      <c r="U170" s="5" t="str">
        <f t="shared" si="47"/>
        <v>Valid</v>
      </c>
      <c r="V170" s="5">
        <f t="shared" si="38"/>
        <v>1395.56</v>
      </c>
      <c r="W170" s="5" t="str">
        <f t="shared" si="48"/>
        <v>Medium</v>
      </c>
      <c r="X170" s="5">
        <v>0.185</v>
      </c>
      <c r="Y170" s="5" t="str">
        <f t="shared" si="49"/>
        <v>Valid</v>
      </c>
      <c r="Z170" s="5">
        <f t="shared" si="50"/>
        <v>0.185</v>
      </c>
      <c r="AA170" s="5">
        <v>6</v>
      </c>
      <c r="AB170">
        <f t="shared" si="51"/>
        <v>6824.2884000000004</v>
      </c>
      <c r="AC170">
        <f t="shared" si="39"/>
        <v>5440.86</v>
      </c>
      <c r="AD170">
        <f t="shared" si="52"/>
        <v>1383.4284000000007</v>
      </c>
      <c r="AE170">
        <f t="shared" si="53"/>
        <v>0.20272126834498974</v>
      </c>
      <c r="AF170">
        <f t="shared" si="54"/>
        <v>0</v>
      </c>
      <c r="AG170">
        <f t="shared" si="55"/>
        <v>0</v>
      </c>
      <c r="AK170">
        <f>AA170*(1+What_if_Analysis!$B$4)</f>
        <v>7.1999999999999993</v>
      </c>
      <c r="AL170" s="5">
        <f>MIN(Z170,What_if_Analysis!$B$2)</f>
        <v>0.05</v>
      </c>
      <c r="AM170">
        <f t="shared" si="56"/>
        <v>9545.6303999999982</v>
      </c>
      <c r="AN170">
        <f>AM170-(AK170*(T170*(1+What_if_Analysis!$B$3)))</f>
        <v>-1507.2048000000013</v>
      </c>
    </row>
    <row r="171" spans="1:40" x14ac:dyDescent="0.3">
      <c r="A171" t="s">
        <v>184</v>
      </c>
      <c r="B171" s="3">
        <v>45574</v>
      </c>
      <c r="C171" s="3" t="str">
        <f t="shared" si="40"/>
        <v>Oct-2024</v>
      </c>
      <c r="D171" s="3" t="str">
        <f t="shared" si="41"/>
        <v>Q4-2024</v>
      </c>
      <c r="E171" s="3">
        <v>45604</v>
      </c>
      <c r="F171" s="3" t="str">
        <f t="shared" si="42"/>
        <v>Valid</v>
      </c>
      <c r="G171" s="12">
        <f t="shared" si="43"/>
        <v>30</v>
      </c>
      <c r="H171" s="3">
        <f t="shared" si="44"/>
        <v>45604</v>
      </c>
      <c r="I171" t="s">
        <v>649</v>
      </c>
      <c r="J171" t="str">
        <f t="shared" si="45"/>
        <v>Europe → United Kingdom → Manchester</v>
      </c>
      <c r="K171" s="3" t="str">
        <f t="shared" si="46"/>
        <v>United Kingdom-2024-10</v>
      </c>
      <c r="L171" t="s">
        <v>658</v>
      </c>
      <c r="M171" t="s">
        <v>693</v>
      </c>
      <c r="N171" t="s">
        <v>705</v>
      </c>
      <c r="O171" t="s">
        <v>710</v>
      </c>
      <c r="P171" t="s">
        <v>713</v>
      </c>
      <c r="Q171" t="s">
        <v>727</v>
      </c>
      <c r="R171" t="s">
        <v>903</v>
      </c>
      <c r="S171" s="5">
        <v>343.85</v>
      </c>
      <c r="T171" s="5">
        <v>538.04</v>
      </c>
      <c r="U171" s="5" t="str">
        <f t="shared" si="47"/>
        <v>Valid</v>
      </c>
      <c r="V171" s="5">
        <f t="shared" si="38"/>
        <v>538.04</v>
      </c>
      <c r="W171" s="5" t="str">
        <f t="shared" si="48"/>
        <v>Low</v>
      </c>
      <c r="X171" s="5">
        <v>0.13900000000000001</v>
      </c>
      <c r="Y171" s="5" t="str">
        <f t="shared" si="49"/>
        <v>Valid</v>
      </c>
      <c r="Z171" s="5">
        <f t="shared" si="50"/>
        <v>0.13900000000000001</v>
      </c>
      <c r="AA171" s="5">
        <v>5</v>
      </c>
      <c r="AB171">
        <f t="shared" si="51"/>
        <v>2316.2621999999997</v>
      </c>
      <c r="AC171">
        <f t="shared" si="39"/>
        <v>1719.25</v>
      </c>
      <c r="AD171">
        <f t="shared" si="52"/>
        <v>597.01219999999967</v>
      </c>
      <c r="AE171">
        <f t="shared" si="53"/>
        <v>0.25774810813732563</v>
      </c>
      <c r="AF171">
        <f t="shared" si="54"/>
        <v>0</v>
      </c>
      <c r="AG171">
        <f t="shared" si="55"/>
        <v>0</v>
      </c>
      <c r="AK171">
        <f>AA171*(1+What_if_Analysis!$B$4)</f>
        <v>6</v>
      </c>
      <c r="AL171" s="5">
        <f>MIN(Z171,What_if_Analysis!$B$2)</f>
        <v>0.05</v>
      </c>
      <c r="AM171">
        <f t="shared" si="56"/>
        <v>3066.8279999999995</v>
      </c>
      <c r="AN171">
        <f>AM171-(AK171*(T171*(1+What_if_Analysis!$B$3)))</f>
        <v>-484.23600000000079</v>
      </c>
    </row>
    <row r="172" spans="1:40" x14ac:dyDescent="0.3">
      <c r="A172" t="s">
        <v>185</v>
      </c>
      <c r="B172" s="3">
        <v>45488</v>
      </c>
      <c r="C172" s="3" t="str">
        <f t="shared" si="40"/>
        <v>Jul-2024</v>
      </c>
      <c r="D172" s="3" t="str">
        <f t="shared" si="41"/>
        <v>Q3-2024</v>
      </c>
      <c r="E172" s="3">
        <v>45488</v>
      </c>
      <c r="F172" s="3" t="str">
        <f t="shared" si="42"/>
        <v>Valid</v>
      </c>
      <c r="G172" s="12">
        <f t="shared" si="43"/>
        <v>0</v>
      </c>
      <c r="H172" s="3">
        <f t="shared" si="44"/>
        <v>45488</v>
      </c>
      <c r="I172" t="s">
        <v>647</v>
      </c>
      <c r="J172" t="str">
        <f t="shared" si="45"/>
        <v>Asia → Japan → Tokyo</v>
      </c>
      <c r="K172" s="3" t="str">
        <f t="shared" si="46"/>
        <v>Japan-2024-07</v>
      </c>
      <c r="L172" t="s">
        <v>652</v>
      </c>
      <c r="M172" t="s">
        <v>689</v>
      </c>
      <c r="N172" t="s">
        <v>705</v>
      </c>
      <c r="O172" t="s">
        <v>709</v>
      </c>
      <c r="P172" t="s">
        <v>715</v>
      </c>
      <c r="Q172" t="s">
        <v>733</v>
      </c>
      <c r="R172" t="s">
        <v>904</v>
      </c>
      <c r="S172" s="5">
        <v>801.77</v>
      </c>
      <c r="T172" s="5">
        <v>1218.92</v>
      </c>
      <c r="U172" s="5" t="str">
        <f t="shared" si="47"/>
        <v>Valid</v>
      </c>
      <c r="V172" s="5">
        <f t="shared" si="38"/>
        <v>1218.92</v>
      </c>
      <c r="W172" s="5" t="str">
        <f t="shared" si="48"/>
        <v>Medium</v>
      </c>
      <c r="X172" s="5">
        <v>0.254</v>
      </c>
      <c r="Y172" s="5" t="str">
        <f t="shared" si="49"/>
        <v>Valid</v>
      </c>
      <c r="Z172" s="5">
        <f t="shared" si="50"/>
        <v>0.254</v>
      </c>
      <c r="AA172" s="5">
        <v>16</v>
      </c>
      <c r="AB172">
        <f t="shared" si="51"/>
        <v>14549.029120000001</v>
      </c>
      <c r="AC172">
        <f t="shared" si="39"/>
        <v>12828.32</v>
      </c>
      <c r="AD172">
        <f t="shared" si="52"/>
        <v>1720.7091200000013</v>
      </c>
      <c r="AE172">
        <f t="shared" si="53"/>
        <v>0.11826968698788344</v>
      </c>
      <c r="AF172">
        <f t="shared" si="54"/>
        <v>1</v>
      </c>
      <c r="AG172">
        <f t="shared" si="55"/>
        <v>1</v>
      </c>
      <c r="AK172">
        <f>AA172*(1+What_if_Analysis!$B$4)</f>
        <v>19.2</v>
      </c>
      <c r="AL172" s="5">
        <f>MIN(Z172,What_if_Analysis!$B$2)</f>
        <v>0.05</v>
      </c>
      <c r="AM172">
        <f t="shared" si="56"/>
        <v>22233.100799999997</v>
      </c>
      <c r="AN172">
        <f>AM172-(AK172*(T172*(1+What_if_Analysis!$B$3)))</f>
        <v>-3510.4896000000044</v>
      </c>
    </row>
    <row r="173" spans="1:40" x14ac:dyDescent="0.3">
      <c r="A173" t="s">
        <v>186</v>
      </c>
      <c r="B173" s="3">
        <v>45190</v>
      </c>
      <c r="C173" s="3" t="str">
        <f t="shared" si="40"/>
        <v>Sept-2023</v>
      </c>
      <c r="D173" s="3" t="str">
        <f t="shared" si="41"/>
        <v>Q3-2023</v>
      </c>
      <c r="E173" s="3">
        <v>45209</v>
      </c>
      <c r="F173" s="3" t="str">
        <f t="shared" si="42"/>
        <v>Valid</v>
      </c>
      <c r="G173" s="12">
        <f t="shared" si="43"/>
        <v>19</v>
      </c>
      <c r="H173" s="3">
        <f t="shared" si="44"/>
        <v>45209</v>
      </c>
      <c r="I173" t="s">
        <v>647</v>
      </c>
      <c r="J173" t="str">
        <f t="shared" si="45"/>
        <v>Asia → Japan → Tokyo</v>
      </c>
      <c r="K173" s="3" t="str">
        <f t="shared" si="46"/>
        <v>Japan-2023-09</v>
      </c>
      <c r="L173" t="s">
        <v>652</v>
      </c>
      <c r="M173" t="s">
        <v>689</v>
      </c>
      <c r="N173" t="s">
        <v>702</v>
      </c>
      <c r="O173" t="s">
        <v>708</v>
      </c>
      <c r="P173" t="s">
        <v>726</v>
      </c>
      <c r="Q173" t="s">
        <v>727</v>
      </c>
      <c r="R173" t="s">
        <v>905</v>
      </c>
      <c r="S173" s="5">
        <v>845.63</v>
      </c>
      <c r="T173" s="5">
        <v>2062.12</v>
      </c>
      <c r="U173" s="5" t="str">
        <f t="shared" si="47"/>
        <v>Valid</v>
      </c>
      <c r="V173" s="5">
        <f t="shared" si="38"/>
        <v>2062.12</v>
      </c>
      <c r="W173" s="5" t="str">
        <f t="shared" si="48"/>
        <v>High</v>
      </c>
      <c r="X173" s="5">
        <v>0.13400000000000001</v>
      </c>
      <c r="Y173" s="5" t="str">
        <f t="shared" si="49"/>
        <v>Valid</v>
      </c>
      <c r="Z173" s="5">
        <f t="shared" si="50"/>
        <v>0.13400000000000001</v>
      </c>
      <c r="AA173" s="5">
        <v>5</v>
      </c>
      <c r="AB173">
        <f t="shared" si="51"/>
        <v>8928.9795999999988</v>
      </c>
      <c r="AC173">
        <f t="shared" si="39"/>
        <v>4228.1499999999996</v>
      </c>
      <c r="AD173">
        <f t="shared" si="52"/>
        <v>4700.8295999999991</v>
      </c>
      <c r="AE173">
        <f t="shared" si="53"/>
        <v>0.52646884757133949</v>
      </c>
      <c r="AF173">
        <f t="shared" si="54"/>
        <v>0</v>
      </c>
      <c r="AG173">
        <f t="shared" si="55"/>
        <v>0</v>
      </c>
      <c r="AK173">
        <f>AA173*(1+What_if_Analysis!$B$4)</f>
        <v>6</v>
      </c>
      <c r="AL173" s="5">
        <f>MIN(Z173,What_if_Analysis!$B$2)</f>
        <v>0.05</v>
      </c>
      <c r="AM173">
        <f t="shared" si="56"/>
        <v>11754.083999999999</v>
      </c>
      <c r="AN173">
        <f>AM173-(AK173*(T173*(1+What_if_Analysis!$B$3)))</f>
        <v>-1855.9079999999994</v>
      </c>
    </row>
    <row r="174" spans="1:40" x14ac:dyDescent="0.3">
      <c r="A174" t="s">
        <v>187</v>
      </c>
      <c r="B174" s="3">
        <v>44981</v>
      </c>
      <c r="C174" s="3" t="str">
        <f t="shared" si="40"/>
        <v>Feb-2023</v>
      </c>
      <c r="D174" s="3" t="str">
        <f t="shared" si="41"/>
        <v>Q1-2023</v>
      </c>
      <c r="E174" s="3">
        <v>44994</v>
      </c>
      <c r="F174" s="3" t="str">
        <f t="shared" si="42"/>
        <v>Valid</v>
      </c>
      <c r="G174" s="12">
        <f t="shared" si="43"/>
        <v>13</v>
      </c>
      <c r="H174" s="3">
        <f t="shared" si="44"/>
        <v>44994</v>
      </c>
      <c r="I174" t="s">
        <v>648</v>
      </c>
      <c r="J174" t="str">
        <f t="shared" si="45"/>
        <v>Americas → USA → New York</v>
      </c>
      <c r="K174" s="3" t="str">
        <f t="shared" si="46"/>
        <v>USA-2023-02</v>
      </c>
      <c r="L174" t="s">
        <v>660</v>
      </c>
      <c r="M174" t="s">
        <v>700</v>
      </c>
      <c r="N174" t="s">
        <v>706</v>
      </c>
      <c r="O174" t="s">
        <v>708</v>
      </c>
      <c r="P174" t="s">
        <v>724</v>
      </c>
      <c r="Q174" t="s">
        <v>727</v>
      </c>
      <c r="R174" t="s">
        <v>906</v>
      </c>
      <c r="S174" s="5">
        <v>6.85</v>
      </c>
      <c r="T174" s="5">
        <v>10.18</v>
      </c>
      <c r="U174" s="5" t="str">
        <f t="shared" si="47"/>
        <v>Valid</v>
      </c>
      <c r="V174" s="5">
        <f t="shared" si="38"/>
        <v>10.18</v>
      </c>
      <c r="W174" s="5" t="str">
        <f t="shared" si="48"/>
        <v>Low</v>
      </c>
      <c r="X174" s="5">
        <v>4.7E-2</v>
      </c>
      <c r="Y174" s="5" t="str">
        <f t="shared" si="49"/>
        <v>Valid</v>
      </c>
      <c r="Z174" s="5">
        <f t="shared" si="50"/>
        <v>4.7E-2</v>
      </c>
      <c r="AA174" s="5">
        <v>10</v>
      </c>
      <c r="AB174">
        <f t="shared" si="51"/>
        <v>97.0154</v>
      </c>
      <c r="AC174">
        <f t="shared" si="39"/>
        <v>68.5</v>
      </c>
      <c r="AD174">
        <f t="shared" si="52"/>
        <v>28.5154</v>
      </c>
      <c r="AE174">
        <f t="shared" si="53"/>
        <v>0.2939265312517394</v>
      </c>
      <c r="AF174">
        <f t="shared" si="54"/>
        <v>0</v>
      </c>
      <c r="AG174">
        <f t="shared" si="55"/>
        <v>0</v>
      </c>
      <c r="AK174">
        <f>AA174*(1+What_if_Analysis!$B$4)</f>
        <v>12</v>
      </c>
      <c r="AL174" s="5">
        <f>MIN(Z174,What_if_Analysis!$B$2)</f>
        <v>4.7E-2</v>
      </c>
      <c r="AM174">
        <f t="shared" si="56"/>
        <v>116.41847999999999</v>
      </c>
      <c r="AN174">
        <f>AM174-(AK174*(T174*(1+What_if_Analysis!$B$3)))</f>
        <v>-17.957520000000017</v>
      </c>
    </row>
    <row r="175" spans="1:40" x14ac:dyDescent="0.3">
      <c r="A175" t="s">
        <v>188</v>
      </c>
      <c r="B175" s="3">
        <v>45798</v>
      </c>
      <c r="C175" s="3" t="str">
        <f t="shared" si="40"/>
        <v>May-2025</v>
      </c>
      <c r="D175" s="3" t="str">
        <f t="shared" si="41"/>
        <v>Q2-2025</v>
      </c>
      <c r="E175" s="3">
        <v>45796</v>
      </c>
      <c r="F175" s="3" t="str">
        <f t="shared" si="42"/>
        <v>Invalid RequiredDate</v>
      </c>
      <c r="G175" s="12">
        <f t="shared" si="43"/>
        <v>-2</v>
      </c>
      <c r="H175" s="3">
        <f t="shared" si="44"/>
        <v>45824</v>
      </c>
      <c r="I175" t="s">
        <v>646</v>
      </c>
      <c r="J175" t="str">
        <f t="shared" si="45"/>
        <v>Africa → South Africa → Johannesburg</v>
      </c>
      <c r="K175" s="3" t="str">
        <f t="shared" si="46"/>
        <v>South Africa-2025-05</v>
      </c>
      <c r="L175" t="s">
        <v>661</v>
      </c>
      <c r="M175" t="s">
        <v>682</v>
      </c>
      <c r="N175" t="s">
        <v>703</v>
      </c>
      <c r="O175" t="s">
        <v>710</v>
      </c>
      <c r="P175" t="s">
        <v>719</v>
      </c>
      <c r="Q175" t="s">
        <v>731</v>
      </c>
      <c r="R175" t="s">
        <v>907</v>
      </c>
      <c r="S175" s="5">
        <v>1263.8399999999999</v>
      </c>
      <c r="T175" s="5">
        <v>2281.7199999999998</v>
      </c>
      <c r="U175" s="5" t="str">
        <f t="shared" si="47"/>
        <v>Valid</v>
      </c>
      <c r="V175" s="5">
        <f t="shared" si="38"/>
        <v>2281.7199999999998</v>
      </c>
      <c r="W175" s="5" t="str">
        <f t="shared" si="48"/>
        <v>High</v>
      </c>
      <c r="X175" s="5">
        <v>7.8E-2</v>
      </c>
      <c r="Y175" s="5" t="str">
        <f t="shared" si="49"/>
        <v>Valid</v>
      </c>
      <c r="Z175" s="5">
        <f t="shared" si="50"/>
        <v>7.8E-2</v>
      </c>
      <c r="AA175" s="5">
        <v>15</v>
      </c>
      <c r="AB175">
        <f t="shared" si="51"/>
        <v>31556.187599999997</v>
      </c>
      <c r="AC175">
        <f t="shared" si="39"/>
        <v>18957.599999999999</v>
      </c>
      <c r="AD175">
        <f t="shared" si="52"/>
        <v>12598.587599999999</v>
      </c>
      <c r="AE175">
        <f t="shared" si="53"/>
        <v>0.39924301882398494</v>
      </c>
      <c r="AF175">
        <f t="shared" si="54"/>
        <v>1</v>
      </c>
      <c r="AG175">
        <f t="shared" si="55"/>
        <v>0</v>
      </c>
      <c r="AK175">
        <f>AA175*(1+What_if_Analysis!$B$4)</f>
        <v>18</v>
      </c>
      <c r="AL175" s="5">
        <f>MIN(Z175,What_if_Analysis!$B$2)</f>
        <v>0.05</v>
      </c>
      <c r="AM175">
        <f t="shared" si="56"/>
        <v>39017.411999999997</v>
      </c>
      <c r="AN175">
        <f>AM175-(AK175*(T175*(1+What_if_Analysis!$B$3)))</f>
        <v>-6160.6440000000002</v>
      </c>
    </row>
    <row r="176" spans="1:40" x14ac:dyDescent="0.3">
      <c r="A176" t="s">
        <v>189</v>
      </c>
      <c r="B176" s="3">
        <v>45435</v>
      </c>
      <c r="C176" s="3" t="str">
        <f t="shared" si="40"/>
        <v>May-2024</v>
      </c>
      <c r="D176" s="3" t="str">
        <f t="shared" si="41"/>
        <v>Q2-2024</v>
      </c>
      <c r="E176" s="3">
        <v>45446</v>
      </c>
      <c r="F176" s="3" t="str">
        <f t="shared" si="42"/>
        <v>Valid</v>
      </c>
      <c r="G176" s="12">
        <f t="shared" si="43"/>
        <v>11</v>
      </c>
      <c r="H176" s="3">
        <f t="shared" si="44"/>
        <v>45446</v>
      </c>
      <c r="I176" t="s">
        <v>646</v>
      </c>
      <c r="J176" t="str">
        <f t="shared" si="45"/>
        <v>Africa → South Africa → Johannesburg</v>
      </c>
      <c r="K176" s="3" t="str">
        <f t="shared" si="46"/>
        <v>South Africa-2024-05</v>
      </c>
      <c r="L176" t="s">
        <v>661</v>
      </c>
      <c r="M176" t="s">
        <v>682</v>
      </c>
      <c r="N176" t="s">
        <v>705</v>
      </c>
      <c r="O176" t="s">
        <v>710</v>
      </c>
      <c r="P176" t="s">
        <v>721</v>
      </c>
      <c r="Q176" t="s">
        <v>728</v>
      </c>
      <c r="R176" t="s">
        <v>908</v>
      </c>
      <c r="S176" s="5">
        <v>180.89</v>
      </c>
      <c r="T176" s="5">
        <v>249.57</v>
      </c>
      <c r="U176" s="5" t="str">
        <f t="shared" si="47"/>
        <v>Valid</v>
      </c>
      <c r="V176" s="5">
        <f t="shared" si="38"/>
        <v>249.57</v>
      </c>
      <c r="W176" s="5" t="str">
        <f t="shared" si="48"/>
        <v>Low</v>
      </c>
      <c r="X176" s="5">
        <v>2.1999999999999999E-2</v>
      </c>
      <c r="Y176" s="5" t="str">
        <f t="shared" si="49"/>
        <v>Valid</v>
      </c>
      <c r="Z176" s="5">
        <f t="shared" si="50"/>
        <v>2.1999999999999999E-2</v>
      </c>
      <c r="AA176" s="5">
        <v>8</v>
      </c>
      <c r="AB176">
        <f t="shared" si="51"/>
        <v>1952.6356799999999</v>
      </c>
      <c r="AC176">
        <f t="shared" si="39"/>
        <v>1447.12</v>
      </c>
      <c r="AD176">
        <f t="shared" si="52"/>
        <v>505.51567999999997</v>
      </c>
      <c r="AE176">
        <f t="shared" si="53"/>
        <v>0.25888888806948362</v>
      </c>
      <c r="AF176">
        <f t="shared" si="54"/>
        <v>0</v>
      </c>
      <c r="AG176">
        <f t="shared" si="55"/>
        <v>0</v>
      </c>
      <c r="AK176">
        <f>AA176*(1+What_if_Analysis!$B$4)</f>
        <v>9.6</v>
      </c>
      <c r="AL176" s="5">
        <f>MIN(Z176,What_if_Analysis!$B$2)</f>
        <v>2.1999999999999999E-2</v>
      </c>
      <c r="AM176">
        <f t="shared" si="56"/>
        <v>2343.162816</v>
      </c>
      <c r="AN176">
        <f>AM176-(AK176*(T176*(1+What_if_Analysis!$B$3)))</f>
        <v>-292.29638399999976</v>
      </c>
    </row>
    <row r="177" spans="1:40" x14ac:dyDescent="0.3">
      <c r="A177" t="s">
        <v>190</v>
      </c>
      <c r="B177" s="3">
        <v>45761</v>
      </c>
      <c r="C177" s="3" t="str">
        <f t="shared" si="40"/>
        <v>Apr-2025</v>
      </c>
      <c r="D177" s="3" t="str">
        <f t="shared" si="41"/>
        <v>Q2-2025</v>
      </c>
      <c r="E177" s="3">
        <v>45781</v>
      </c>
      <c r="F177" s="3" t="str">
        <f t="shared" si="42"/>
        <v>Valid</v>
      </c>
      <c r="G177" s="12">
        <f t="shared" si="43"/>
        <v>20</v>
      </c>
      <c r="H177" s="3">
        <f t="shared" si="44"/>
        <v>45781</v>
      </c>
      <c r="I177" t="s">
        <v>649</v>
      </c>
      <c r="J177" t="str">
        <f t="shared" si="45"/>
        <v>Europe → United Kingdom → Birmingham</v>
      </c>
      <c r="K177" s="3" t="str">
        <f t="shared" si="46"/>
        <v>United Kingdom-2025-04</v>
      </c>
      <c r="L177" t="s">
        <v>658</v>
      </c>
      <c r="M177" t="s">
        <v>674</v>
      </c>
      <c r="N177" t="s">
        <v>706</v>
      </c>
      <c r="O177" t="s">
        <v>709</v>
      </c>
      <c r="P177" t="s">
        <v>723</v>
      </c>
      <c r="Q177" t="s">
        <v>732</v>
      </c>
      <c r="R177" t="s">
        <v>909</v>
      </c>
      <c r="S177" s="5">
        <v>1413.87</v>
      </c>
      <c r="T177" s="5">
        <v>3275</v>
      </c>
      <c r="U177" s="5" t="str">
        <f t="shared" si="47"/>
        <v>Valid</v>
      </c>
      <c r="V177" s="5">
        <f t="shared" si="38"/>
        <v>3275</v>
      </c>
      <c r="W177" s="5" t="str">
        <f t="shared" si="48"/>
        <v>High</v>
      </c>
      <c r="X177" s="5">
        <v>0.255</v>
      </c>
      <c r="Y177" s="5" t="str">
        <f t="shared" si="49"/>
        <v>Valid</v>
      </c>
      <c r="Z177" s="5">
        <f t="shared" si="50"/>
        <v>0.255</v>
      </c>
      <c r="AA177" s="5">
        <v>38</v>
      </c>
      <c r="AB177">
        <f t="shared" si="51"/>
        <v>92715.25</v>
      </c>
      <c r="AC177">
        <f t="shared" si="39"/>
        <v>53727.06</v>
      </c>
      <c r="AD177">
        <f t="shared" si="52"/>
        <v>38988.19</v>
      </c>
      <c r="AE177">
        <f t="shared" si="53"/>
        <v>0.42051539525590453</v>
      </c>
      <c r="AF177">
        <f t="shared" si="54"/>
        <v>0</v>
      </c>
      <c r="AG177">
        <f t="shared" si="55"/>
        <v>1</v>
      </c>
      <c r="AK177">
        <f>AA177*(1+What_if_Analysis!$B$4)</f>
        <v>45.6</v>
      </c>
      <c r="AL177" s="5">
        <f>MIN(Z177,What_if_Analysis!$B$2)</f>
        <v>0.05</v>
      </c>
      <c r="AM177">
        <f t="shared" si="56"/>
        <v>141873</v>
      </c>
      <c r="AN177">
        <f>AM177-(AK177*(T177*(1+What_if_Analysis!$B$3)))</f>
        <v>-22401.000000000029</v>
      </c>
    </row>
    <row r="178" spans="1:40" x14ac:dyDescent="0.3">
      <c r="A178" t="s">
        <v>191</v>
      </c>
      <c r="B178" s="3">
        <v>45165</v>
      </c>
      <c r="C178" s="3" t="str">
        <f t="shared" si="40"/>
        <v>Aug-2023</v>
      </c>
      <c r="D178" s="3" t="str">
        <f t="shared" si="41"/>
        <v>Q3-2023</v>
      </c>
      <c r="E178" s="3">
        <v>45180</v>
      </c>
      <c r="F178" s="3" t="str">
        <f t="shared" si="42"/>
        <v>Valid</v>
      </c>
      <c r="G178" s="12">
        <f t="shared" si="43"/>
        <v>15</v>
      </c>
      <c r="H178" s="3">
        <f t="shared" si="44"/>
        <v>45180</v>
      </c>
      <c r="I178" t="s">
        <v>649</v>
      </c>
      <c r="J178" t="str">
        <f t="shared" si="45"/>
        <v>Europe → United Kingdom → London</v>
      </c>
      <c r="K178" s="3" t="str">
        <f t="shared" si="46"/>
        <v>United Kingdom-2023-08</v>
      </c>
      <c r="L178" t="s">
        <v>658</v>
      </c>
      <c r="M178" t="s">
        <v>683</v>
      </c>
      <c r="N178" t="s">
        <v>704</v>
      </c>
      <c r="O178" t="s">
        <v>709</v>
      </c>
      <c r="P178" t="s">
        <v>725</v>
      </c>
      <c r="Q178" t="s">
        <v>728</v>
      </c>
      <c r="R178" t="s">
        <v>910</v>
      </c>
      <c r="S178" s="5">
        <v>943.79</v>
      </c>
      <c r="T178" s="5">
        <v>1913.76</v>
      </c>
      <c r="U178" s="5" t="str">
        <f t="shared" si="47"/>
        <v>Valid</v>
      </c>
      <c r="V178" s="5">
        <f t="shared" si="38"/>
        <v>1913.76</v>
      </c>
      <c r="W178" s="5" t="str">
        <f t="shared" si="48"/>
        <v>High</v>
      </c>
      <c r="X178" s="5">
        <v>9.0999999999999998E-2</v>
      </c>
      <c r="Y178" s="5" t="str">
        <f t="shared" si="49"/>
        <v>Valid</v>
      </c>
      <c r="Z178" s="5">
        <f t="shared" si="50"/>
        <v>9.0999999999999998E-2</v>
      </c>
      <c r="AA178" s="5">
        <v>9</v>
      </c>
      <c r="AB178">
        <f t="shared" si="51"/>
        <v>15656.47056</v>
      </c>
      <c r="AC178">
        <f t="shared" si="39"/>
        <v>8494.11</v>
      </c>
      <c r="AD178">
        <f t="shared" si="52"/>
        <v>7162.3605599999992</v>
      </c>
      <c r="AE178">
        <f t="shared" si="53"/>
        <v>0.45746967891338081</v>
      </c>
      <c r="AF178">
        <f t="shared" si="54"/>
        <v>0</v>
      </c>
      <c r="AG178">
        <f t="shared" si="55"/>
        <v>0</v>
      </c>
      <c r="AK178">
        <f>AA178*(1+What_if_Analysis!$B$4)</f>
        <v>10.799999999999999</v>
      </c>
      <c r="AL178" s="5">
        <f>MIN(Z178,What_if_Analysis!$B$2)</f>
        <v>0.05</v>
      </c>
      <c r="AM178">
        <f t="shared" si="56"/>
        <v>19635.177599999995</v>
      </c>
      <c r="AN178">
        <f>AM178-(AK178*(T178*(1+What_if_Analysis!$B$3)))</f>
        <v>-3100.2912000000033</v>
      </c>
    </row>
    <row r="179" spans="1:40" x14ac:dyDescent="0.3">
      <c r="A179" t="s">
        <v>192</v>
      </c>
      <c r="B179" s="3">
        <v>45325</v>
      </c>
      <c r="C179" s="3" t="str">
        <f t="shared" si="40"/>
        <v>Feb-2024</v>
      </c>
      <c r="D179" s="3" t="str">
        <f t="shared" si="41"/>
        <v>Q1-2024</v>
      </c>
      <c r="E179" s="3">
        <v>45343</v>
      </c>
      <c r="F179" s="3" t="str">
        <f t="shared" si="42"/>
        <v>Valid</v>
      </c>
      <c r="G179" s="12">
        <f t="shared" si="43"/>
        <v>18</v>
      </c>
      <c r="H179" s="3">
        <f t="shared" si="44"/>
        <v>45343</v>
      </c>
      <c r="I179" t="s">
        <v>649</v>
      </c>
      <c r="J179" t="str">
        <f t="shared" si="45"/>
        <v>Europe → Germany → Frankfurt</v>
      </c>
      <c r="K179" s="3" t="str">
        <f t="shared" si="46"/>
        <v>Germany-2024-02</v>
      </c>
      <c r="L179" t="s">
        <v>656</v>
      </c>
      <c r="M179" t="s">
        <v>698</v>
      </c>
      <c r="N179" t="s">
        <v>701</v>
      </c>
      <c r="O179" t="s">
        <v>707</v>
      </c>
      <c r="P179" t="s">
        <v>722</v>
      </c>
      <c r="Q179" t="s">
        <v>727</v>
      </c>
      <c r="R179" t="s">
        <v>911</v>
      </c>
      <c r="S179" s="5">
        <v>39.229999999999997</v>
      </c>
      <c r="T179" s="5">
        <v>30.09</v>
      </c>
      <c r="U179" s="5" t="str">
        <f t="shared" si="47"/>
        <v>Valid</v>
      </c>
      <c r="V179" s="5">
        <f t="shared" si="38"/>
        <v>30.09</v>
      </c>
      <c r="W179" s="5" t="str">
        <f t="shared" si="48"/>
        <v>Low</v>
      </c>
      <c r="X179" s="5">
        <v>0.17699999999999999</v>
      </c>
      <c r="Y179" s="5" t="str">
        <f t="shared" si="49"/>
        <v>Valid</v>
      </c>
      <c r="Z179" s="5">
        <f t="shared" si="50"/>
        <v>0.17699999999999999</v>
      </c>
      <c r="AA179" s="5">
        <v>13</v>
      </c>
      <c r="AB179">
        <f t="shared" si="51"/>
        <v>321.93290999999999</v>
      </c>
      <c r="AC179">
        <f t="shared" si="39"/>
        <v>509.98999999999995</v>
      </c>
      <c r="AD179">
        <f t="shared" si="52"/>
        <v>-188.05708999999996</v>
      </c>
      <c r="AE179">
        <f t="shared" si="53"/>
        <v>-0.58414993981199359</v>
      </c>
      <c r="AF179">
        <f t="shared" si="54"/>
        <v>0</v>
      </c>
      <c r="AG179">
        <f t="shared" si="55"/>
        <v>0</v>
      </c>
      <c r="AK179">
        <f>AA179*(1+What_if_Analysis!$B$4)</f>
        <v>15.6</v>
      </c>
      <c r="AL179" s="5">
        <f>MIN(Z179,What_if_Analysis!$B$2)</f>
        <v>0.05</v>
      </c>
      <c r="AM179">
        <f t="shared" si="56"/>
        <v>445.93379999999996</v>
      </c>
      <c r="AN179">
        <f>AM179-(AK179*(T179*(1+What_if_Analysis!$B$3)))</f>
        <v>-70.410600000000102</v>
      </c>
    </row>
    <row r="180" spans="1:40" x14ac:dyDescent="0.3">
      <c r="A180" t="s">
        <v>193</v>
      </c>
      <c r="B180" s="3">
        <v>45021</v>
      </c>
      <c r="C180" s="3" t="str">
        <f t="shared" si="40"/>
        <v>Apr-2023</v>
      </c>
      <c r="D180" s="3" t="str">
        <f t="shared" si="41"/>
        <v>Q2-2023</v>
      </c>
      <c r="E180" s="3">
        <v>45032</v>
      </c>
      <c r="F180" s="3" t="str">
        <f t="shared" si="42"/>
        <v>Valid</v>
      </c>
      <c r="G180" s="12">
        <f t="shared" si="43"/>
        <v>11</v>
      </c>
      <c r="H180" s="3">
        <f t="shared" si="44"/>
        <v>45032</v>
      </c>
      <c r="I180" t="s">
        <v>648</v>
      </c>
      <c r="J180" t="str">
        <f t="shared" si="45"/>
        <v>Americas → Canada → Vancouver</v>
      </c>
      <c r="K180" s="3" t="str">
        <f t="shared" si="46"/>
        <v>Canada-2023-04</v>
      </c>
      <c r="L180" t="s">
        <v>653</v>
      </c>
      <c r="M180" t="s">
        <v>688</v>
      </c>
      <c r="N180" t="s">
        <v>703</v>
      </c>
      <c r="O180" t="s">
        <v>708</v>
      </c>
      <c r="P180" t="s">
        <v>719</v>
      </c>
      <c r="Q180" t="s">
        <v>732</v>
      </c>
      <c r="R180" t="s">
        <v>912</v>
      </c>
      <c r="S180" s="5">
        <v>213.1</v>
      </c>
      <c r="T180" s="5">
        <v>501.31</v>
      </c>
      <c r="U180" s="5" t="str">
        <f t="shared" si="47"/>
        <v>Valid</v>
      </c>
      <c r="V180" s="5">
        <f t="shared" si="38"/>
        <v>501.31</v>
      </c>
      <c r="W180" s="5" t="str">
        <f t="shared" si="48"/>
        <v>Low</v>
      </c>
      <c r="X180" s="5">
        <v>5.6000000000000001E-2</v>
      </c>
      <c r="Y180" s="5" t="str">
        <f t="shared" si="49"/>
        <v>Valid</v>
      </c>
      <c r="Z180" s="5">
        <f t="shared" si="50"/>
        <v>5.6000000000000001E-2</v>
      </c>
      <c r="AA180" s="5">
        <v>15</v>
      </c>
      <c r="AB180">
        <f t="shared" si="51"/>
        <v>7098.5495999999994</v>
      </c>
      <c r="AC180">
        <f t="shared" si="39"/>
        <v>3196.5</v>
      </c>
      <c r="AD180">
        <f t="shared" si="52"/>
        <v>3902.0495999999994</v>
      </c>
      <c r="AE180">
        <f t="shared" si="53"/>
        <v>0.54969674368409005</v>
      </c>
      <c r="AF180">
        <f t="shared" si="54"/>
        <v>0</v>
      </c>
      <c r="AG180">
        <f t="shared" si="55"/>
        <v>0</v>
      </c>
      <c r="AK180">
        <f>AA180*(1+What_if_Analysis!$B$4)</f>
        <v>18</v>
      </c>
      <c r="AL180" s="5">
        <f>MIN(Z180,What_if_Analysis!$B$2)</f>
        <v>0.05</v>
      </c>
      <c r="AM180">
        <f t="shared" si="56"/>
        <v>8572.4009999999998</v>
      </c>
      <c r="AN180">
        <f>AM180-(AK180*(T180*(1+What_if_Analysis!$B$3)))</f>
        <v>-1353.5370000000003</v>
      </c>
    </row>
    <row r="181" spans="1:40" x14ac:dyDescent="0.3">
      <c r="A181" t="s">
        <v>194</v>
      </c>
      <c r="B181" s="3">
        <v>45890</v>
      </c>
      <c r="C181" s="3" t="str">
        <f t="shared" si="40"/>
        <v>Aug-2025</v>
      </c>
      <c r="D181" s="3" t="str">
        <f t="shared" si="41"/>
        <v>Q3-2025</v>
      </c>
      <c r="E181" s="3">
        <v>45912</v>
      </c>
      <c r="F181" s="3" t="str">
        <f t="shared" si="42"/>
        <v>Valid</v>
      </c>
      <c r="G181" s="12">
        <f t="shared" si="43"/>
        <v>22</v>
      </c>
      <c r="H181" s="3">
        <f t="shared" si="44"/>
        <v>45912</v>
      </c>
      <c r="I181" t="s">
        <v>647</v>
      </c>
      <c r="J181" t="str">
        <f t="shared" si="45"/>
        <v>Asia → China → Shenzhen</v>
      </c>
      <c r="K181" s="3" t="str">
        <f t="shared" si="46"/>
        <v>China-2025-08</v>
      </c>
      <c r="L181" t="s">
        <v>659</v>
      </c>
      <c r="M181" t="s">
        <v>676</v>
      </c>
      <c r="N181" t="s">
        <v>702</v>
      </c>
      <c r="O181" t="s">
        <v>707</v>
      </c>
      <c r="P181" t="s">
        <v>717</v>
      </c>
      <c r="Q181" t="s">
        <v>728</v>
      </c>
      <c r="R181" t="s">
        <v>913</v>
      </c>
      <c r="S181" s="5">
        <v>352.66</v>
      </c>
      <c r="T181" s="5">
        <v>411.18</v>
      </c>
      <c r="U181" s="5" t="str">
        <f t="shared" si="47"/>
        <v>Valid</v>
      </c>
      <c r="V181" s="5">
        <f t="shared" si="38"/>
        <v>411.18</v>
      </c>
      <c r="W181" s="5" t="str">
        <f t="shared" si="48"/>
        <v>Low</v>
      </c>
      <c r="X181" s="5">
        <v>0.17299999999999999</v>
      </c>
      <c r="Y181" s="5" t="str">
        <f t="shared" si="49"/>
        <v>Valid</v>
      </c>
      <c r="Z181" s="5">
        <f t="shared" si="50"/>
        <v>0.17299999999999999</v>
      </c>
      <c r="AA181" s="5">
        <v>13</v>
      </c>
      <c r="AB181">
        <f t="shared" si="51"/>
        <v>4420.5961799999995</v>
      </c>
      <c r="AC181">
        <f t="shared" si="39"/>
        <v>4584.58</v>
      </c>
      <c r="AD181">
        <f t="shared" si="52"/>
        <v>-163.98382000000038</v>
      </c>
      <c r="AE181">
        <f t="shared" si="53"/>
        <v>-3.7095408248758066E-2</v>
      </c>
      <c r="AF181">
        <f t="shared" si="54"/>
        <v>0</v>
      </c>
      <c r="AG181">
        <f t="shared" si="55"/>
        <v>0</v>
      </c>
      <c r="AK181">
        <f>AA181*(1+What_if_Analysis!$B$4)</f>
        <v>15.6</v>
      </c>
      <c r="AL181" s="5">
        <f>MIN(Z181,What_if_Analysis!$B$2)</f>
        <v>0.05</v>
      </c>
      <c r="AM181">
        <f t="shared" si="56"/>
        <v>6093.6876000000002</v>
      </c>
      <c r="AN181">
        <f>AM181-(AK181*(T181*(1+What_if_Analysis!$B$3)))</f>
        <v>-962.16120000000046</v>
      </c>
    </row>
    <row r="182" spans="1:40" x14ac:dyDescent="0.3">
      <c r="A182" t="s">
        <v>195</v>
      </c>
      <c r="B182" s="3">
        <v>45915</v>
      </c>
      <c r="C182" s="3" t="str">
        <f t="shared" si="40"/>
        <v>Sept-2025</v>
      </c>
      <c r="D182" s="3" t="str">
        <f t="shared" si="41"/>
        <v>Q3-2025</v>
      </c>
      <c r="E182" s="3">
        <v>45918</v>
      </c>
      <c r="F182" s="3" t="str">
        <f t="shared" si="42"/>
        <v>Valid</v>
      </c>
      <c r="G182" s="12">
        <f t="shared" si="43"/>
        <v>3</v>
      </c>
      <c r="H182" s="3">
        <f t="shared" si="44"/>
        <v>45918</v>
      </c>
      <c r="I182" t="s">
        <v>648</v>
      </c>
      <c r="J182" t="str">
        <f t="shared" si="45"/>
        <v>Americas → Brazil → Rio de Janeiro</v>
      </c>
      <c r="K182" s="3" t="str">
        <f t="shared" si="46"/>
        <v>Brazil-2025-09</v>
      </c>
      <c r="L182" t="s">
        <v>655</v>
      </c>
      <c r="M182" t="s">
        <v>692</v>
      </c>
      <c r="N182" t="s">
        <v>703</v>
      </c>
      <c r="O182" t="s">
        <v>711</v>
      </c>
      <c r="P182" t="s">
        <v>716</v>
      </c>
      <c r="Q182" t="s">
        <v>733</v>
      </c>
      <c r="R182" t="s">
        <v>914</v>
      </c>
      <c r="S182" s="5">
        <v>5.5</v>
      </c>
      <c r="T182" s="5">
        <v>5.92</v>
      </c>
      <c r="U182" s="5" t="str">
        <f t="shared" si="47"/>
        <v>Valid</v>
      </c>
      <c r="V182" s="5">
        <f t="shared" si="38"/>
        <v>5.92</v>
      </c>
      <c r="W182" s="5" t="str">
        <f t="shared" si="48"/>
        <v>Low</v>
      </c>
      <c r="X182" s="5">
        <v>0.21199999999999999</v>
      </c>
      <c r="Y182" s="5" t="str">
        <f t="shared" si="49"/>
        <v>Valid</v>
      </c>
      <c r="Z182" s="5">
        <f t="shared" si="50"/>
        <v>0.21199999999999999</v>
      </c>
      <c r="AA182" s="5">
        <v>4</v>
      </c>
      <c r="AB182">
        <f t="shared" si="51"/>
        <v>18.659839999999999</v>
      </c>
      <c r="AC182">
        <f t="shared" si="39"/>
        <v>22</v>
      </c>
      <c r="AD182">
        <f t="shared" si="52"/>
        <v>-3.3401600000000009</v>
      </c>
      <c r="AE182">
        <f t="shared" si="53"/>
        <v>-0.17900260666758133</v>
      </c>
      <c r="AF182">
        <f t="shared" si="54"/>
        <v>1</v>
      </c>
      <c r="AG182">
        <f t="shared" si="55"/>
        <v>1</v>
      </c>
      <c r="AK182">
        <f>AA182*(1+What_if_Analysis!$B$4)</f>
        <v>4.8</v>
      </c>
      <c r="AL182" s="5">
        <f>MIN(Z182,What_if_Analysis!$B$2)</f>
        <v>0.05</v>
      </c>
      <c r="AM182">
        <f t="shared" si="56"/>
        <v>26.995200000000001</v>
      </c>
      <c r="AN182">
        <f>AM182-(AK182*(T182*(1+What_if_Analysis!$B$3)))</f>
        <v>-4.2623999999999995</v>
      </c>
    </row>
    <row r="183" spans="1:40" x14ac:dyDescent="0.3">
      <c r="A183" t="s">
        <v>196</v>
      </c>
      <c r="B183" s="3">
        <v>45568</v>
      </c>
      <c r="C183" s="3" t="str">
        <f t="shared" si="40"/>
        <v>Oct-2024</v>
      </c>
      <c r="D183" s="3" t="str">
        <f t="shared" si="41"/>
        <v>Q4-2024</v>
      </c>
      <c r="E183" s="3">
        <v>45576</v>
      </c>
      <c r="F183" s="3" t="str">
        <f t="shared" si="42"/>
        <v>Valid</v>
      </c>
      <c r="G183" s="12">
        <f t="shared" si="43"/>
        <v>8</v>
      </c>
      <c r="H183" s="3">
        <f t="shared" si="44"/>
        <v>45576</v>
      </c>
      <c r="I183" t="s">
        <v>647</v>
      </c>
      <c r="J183" t="str">
        <f t="shared" si="45"/>
        <v>Asia → China → Beijing</v>
      </c>
      <c r="K183" s="3" t="str">
        <f t="shared" si="46"/>
        <v>China-2024-10</v>
      </c>
      <c r="L183" t="s">
        <v>659</v>
      </c>
      <c r="M183" t="s">
        <v>699</v>
      </c>
      <c r="N183" t="s">
        <v>706</v>
      </c>
      <c r="O183" t="s">
        <v>711</v>
      </c>
      <c r="P183" t="s">
        <v>717</v>
      </c>
      <c r="Q183" t="s">
        <v>730</v>
      </c>
      <c r="R183" t="s">
        <v>915</v>
      </c>
      <c r="S183" s="5">
        <v>1132.6099999999999</v>
      </c>
      <c r="T183" s="5">
        <v>2206.63</v>
      </c>
      <c r="U183" s="5" t="str">
        <f t="shared" si="47"/>
        <v>Valid</v>
      </c>
      <c r="V183" s="5">
        <f t="shared" si="38"/>
        <v>2206.63</v>
      </c>
      <c r="W183" s="5" t="str">
        <f t="shared" si="48"/>
        <v>High</v>
      </c>
      <c r="X183" s="5">
        <v>6.3E-2</v>
      </c>
      <c r="Y183" s="5" t="str">
        <f t="shared" si="49"/>
        <v>Valid</v>
      </c>
      <c r="Z183" s="5">
        <f t="shared" si="50"/>
        <v>6.3E-2</v>
      </c>
      <c r="AA183" s="5">
        <v>20</v>
      </c>
      <c r="AB183">
        <f t="shared" si="51"/>
        <v>41352.246200000009</v>
      </c>
      <c r="AC183">
        <f t="shared" si="39"/>
        <v>22652.199999999997</v>
      </c>
      <c r="AD183">
        <f t="shared" si="52"/>
        <v>18700.046200000012</v>
      </c>
      <c r="AE183">
        <f t="shared" si="53"/>
        <v>0.45221355351671338</v>
      </c>
      <c r="AF183">
        <f t="shared" si="54"/>
        <v>0</v>
      </c>
      <c r="AG183">
        <f t="shared" si="55"/>
        <v>0</v>
      </c>
      <c r="AK183">
        <f>AA183*(1+What_if_Analysis!$B$4)</f>
        <v>24</v>
      </c>
      <c r="AL183" s="5">
        <f>MIN(Z183,What_if_Analysis!$B$2)</f>
        <v>0.05</v>
      </c>
      <c r="AM183">
        <f t="shared" si="56"/>
        <v>50311.163999999997</v>
      </c>
      <c r="AN183">
        <f>AM183-(AK183*(T183*(1+What_if_Analysis!$B$3)))</f>
        <v>-7943.8680000000095</v>
      </c>
    </row>
    <row r="184" spans="1:40" x14ac:dyDescent="0.3">
      <c r="A184" t="s">
        <v>197</v>
      </c>
      <c r="B184" s="3">
        <v>45690</v>
      </c>
      <c r="C184" s="3" t="str">
        <f t="shared" si="40"/>
        <v>Feb-2025</v>
      </c>
      <c r="D184" s="3" t="str">
        <f t="shared" si="41"/>
        <v>Q1-2025</v>
      </c>
      <c r="E184" s="3">
        <v>45720</v>
      </c>
      <c r="F184" s="3" t="str">
        <f t="shared" si="42"/>
        <v>Valid</v>
      </c>
      <c r="G184" s="12">
        <f t="shared" si="43"/>
        <v>30</v>
      </c>
      <c r="H184" s="3">
        <f t="shared" si="44"/>
        <v>45720</v>
      </c>
      <c r="I184" t="s">
        <v>647</v>
      </c>
      <c r="J184" t="str">
        <f t="shared" si="45"/>
        <v>Asia → Japan → Osaka</v>
      </c>
      <c r="K184" s="3" t="str">
        <f t="shared" si="46"/>
        <v>Japan-2025-02</v>
      </c>
      <c r="L184" t="s">
        <v>652</v>
      </c>
      <c r="M184" t="s">
        <v>666</v>
      </c>
      <c r="N184" t="s">
        <v>702</v>
      </c>
      <c r="O184" t="s">
        <v>710</v>
      </c>
      <c r="P184" t="s">
        <v>716</v>
      </c>
      <c r="Q184" t="s">
        <v>733</v>
      </c>
      <c r="R184" t="s">
        <v>916</v>
      </c>
      <c r="S184" s="5">
        <v>766.59</v>
      </c>
      <c r="T184" s="5">
        <v>1912.8</v>
      </c>
      <c r="U184" s="5" t="str">
        <f t="shared" si="47"/>
        <v>Valid</v>
      </c>
      <c r="V184" s="5">
        <f t="shared" si="38"/>
        <v>1912.8</v>
      </c>
      <c r="W184" s="5" t="str">
        <f t="shared" si="48"/>
        <v>High</v>
      </c>
      <c r="X184" s="5">
        <v>0.19600000000000001</v>
      </c>
      <c r="Y184" s="5" t="str">
        <f t="shared" si="49"/>
        <v>Valid</v>
      </c>
      <c r="Z184" s="5">
        <f t="shared" si="50"/>
        <v>0.19600000000000001</v>
      </c>
      <c r="AA184" s="5">
        <v>5</v>
      </c>
      <c r="AB184">
        <f t="shared" si="51"/>
        <v>7689.4560000000001</v>
      </c>
      <c r="AC184">
        <f t="shared" si="39"/>
        <v>3832.9500000000003</v>
      </c>
      <c r="AD184">
        <f t="shared" si="52"/>
        <v>3856.5059999999999</v>
      </c>
      <c r="AE184">
        <f t="shared" si="53"/>
        <v>0.50153170783472845</v>
      </c>
      <c r="AF184">
        <f t="shared" si="54"/>
        <v>0</v>
      </c>
      <c r="AG184">
        <f t="shared" si="55"/>
        <v>0</v>
      </c>
      <c r="AK184">
        <f>AA184*(1+What_if_Analysis!$B$4)</f>
        <v>6</v>
      </c>
      <c r="AL184" s="5">
        <f>MIN(Z184,What_if_Analysis!$B$2)</f>
        <v>0.05</v>
      </c>
      <c r="AM184">
        <f t="shared" si="56"/>
        <v>10902.96</v>
      </c>
      <c r="AN184">
        <f>AM184-(AK184*(T184*(1+What_if_Analysis!$B$3)))</f>
        <v>-1721.5200000000004</v>
      </c>
    </row>
    <row r="185" spans="1:40" x14ac:dyDescent="0.3">
      <c r="A185" t="s">
        <v>198</v>
      </c>
      <c r="B185" s="3">
        <v>45157</v>
      </c>
      <c r="C185" s="3" t="str">
        <f t="shared" si="40"/>
        <v>Aug-2023</v>
      </c>
      <c r="D185" s="3" t="str">
        <f t="shared" si="41"/>
        <v>Q3-2023</v>
      </c>
      <c r="E185" s="3">
        <v>45161</v>
      </c>
      <c r="F185" s="3" t="str">
        <f t="shared" si="42"/>
        <v>Valid</v>
      </c>
      <c r="G185" s="12">
        <f t="shared" si="43"/>
        <v>4</v>
      </c>
      <c r="H185" s="3">
        <f t="shared" si="44"/>
        <v>45161</v>
      </c>
      <c r="I185" t="s">
        <v>646</v>
      </c>
      <c r="J185" t="str">
        <f t="shared" si="45"/>
        <v>Africa → Nigeria → Abuja</v>
      </c>
      <c r="K185" s="3" t="str">
        <f t="shared" si="46"/>
        <v>Nigeria-2023-08</v>
      </c>
      <c r="L185" t="s">
        <v>651</v>
      </c>
      <c r="M185" t="s">
        <v>669</v>
      </c>
      <c r="N185" t="s">
        <v>705</v>
      </c>
      <c r="O185" t="s">
        <v>708</v>
      </c>
      <c r="P185" t="s">
        <v>713</v>
      </c>
      <c r="Q185" t="s">
        <v>732</v>
      </c>
      <c r="R185" t="s">
        <v>917</v>
      </c>
      <c r="S185" s="5">
        <v>790.63</v>
      </c>
      <c r="T185" s="5">
        <v>1382.31</v>
      </c>
      <c r="U185" s="5" t="str">
        <f t="shared" si="47"/>
        <v>Valid</v>
      </c>
      <c r="V185" s="5">
        <f t="shared" si="38"/>
        <v>1382.31</v>
      </c>
      <c r="W185" s="5" t="str">
        <f t="shared" si="48"/>
        <v>Medium</v>
      </c>
      <c r="X185" s="5">
        <v>0.10100000000000001</v>
      </c>
      <c r="Y185" s="5" t="str">
        <f t="shared" si="49"/>
        <v>Valid</v>
      </c>
      <c r="Z185" s="5">
        <f t="shared" si="50"/>
        <v>0.10100000000000001</v>
      </c>
      <c r="AA185" s="5">
        <v>7</v>
      </c>
      <c r="AB185">
        <f t="shared" si="51"/>
        <v>8698.8768300000011</v>
      </c>
      <c r="AC185">
        <f t="shared" si="39"/>
        <v>5534.41</v>
      </c>
      <c r="AD185">
        <f t="shared" si="52"/>
        <v>3164.4668300000012</v>
      </c>
      <c r="AE185">
        <f t="shared" si="53"/>
        <v>0.36377878338116448</v>
      </c>
      <c r="AF185">
        <f t="shared" si="54"/>
        <v>1</v>
      </c>
      <c r="AG185">
        <f t="shared" si="55"/>
        <v>0</v>
      </c>
      <c r="AK185">
        <f>AA185*(1+What_if_Analysis!$B$4)</f>
        <v>8.4</v>
      </c>
      <c r="AL185" s="5">
        <f>MIN(Z185,What_if_Analysis!$B$2)</f>
        <v>0.05</v>
      </c>
      <c r="AM185">
        <f t="shared" si="56"/>
        <v>11030.8338</v>
      </c>
      <c r="AN185">
        <f>AM185-(AK185*(T185*(1+What_if_Analysis!$B$3)))</f>
        <v>-1741.7106000000022</v>
      </c>
    </row>
    <row r="186" spans="1:40" x14ac:dyDescent="0.3">
      <c r="A186" t="s">
        <v>199</v>
      </c>
      <c r="B186" s="3">
        <v>45587</v>
      </c>
      <c r="C186" s="3" t="str">
        <f t="shared" si="40"/>
        <v>Oct-2024</v>
      </c>
      <c r="D186" s="3" t="str">
        <f t="shared" si="41"/>
        <v>Q4-2024</v>
      </c>
      <c r="E186" s="3">
        <v>45594</v>
      </c>
      <c r="F186" s="3" t="str">
        <f t="shared" si="42"/>
        <v>Valid</v>
      </c>
      <c r="G186" s="12">
        <f t="shared" si="43"/>
        <v>7</v>
      </c>
      <c r="H186" s="3">
        <f t="shared" si="44"/>
        <v>45594</v>
      </c>
      <c r="I186" t="s">
        <v>646</v>
      </c>
      <c r="J186" t="str">
        <f t="shared" si="45"/>
        <v>Africa → Nigeria → Port Harcourt</v>
      </c>
      <c r="K186" s="3" t="str">
        <f t="shared" si="46"/>
        <v>Nigeria-2024-10</v>
      </c>
      <c r="L186" t="s">
        <v>651</v>
      </c>
      <c r="M186" t="s">
        <v>663</v>
      </c>
      <c r="N186" t="s">
        <v>706</v>
      </c>
      <c r="O186" t="s">
        <v>710</v>
      </c>
      <c r="P186" t="s">
        <v>724</v>
      </c>
      <c r="Q186" t="s">
        <v>732</v>
      </c>
      <c r="R186" t="s">
        <v>918</v>
      </c>
      <c r="S186" s="5">
        <v>1023.06</v>
      </c>
      <c r="T186" s="5">
        <v>1355.61</v>
      </c>
      <c r="U186" s="5" t="str">
        <f t="shared" si="47"/>
        <v>Valid</v>
      </c>
      <c r="V186" s="5">
        <f t="shared" si="38"/>
        <v>1355.61</v>
      </c>
      <c r="W186" s="5" t="str">
        <f t="shared" si="48"/>
        <v>Medium</v>
      </c>
      <c r="X186" s="5">
        <v>0.153</v>
      </c>
      <c r="Y186" s="5" t="str">
        <f t="shared" si="49"/>
        <v>Valid</v>
      </c>
      <c r="Z186" s="5">
        <f t="shared" si="50"/>
        <v>0.153</v>
      </c>
      <c r="AA186" s="5">
        <v>23</v>
      </c>
      <c r="AB186">
        <f t="shared" si="51"/>
        <v>26408.63841</v>
      </c>
      <c r="AC186">
        <f t="shared" si="39"/>
        <v>23530.379999999997</v>
      </c>
      <c r="AD186">
        <f t="shared" si="52"/>
        <v>2878.2584100000022</v>
      </c>
      <c r="AE186">
        <f t="shared" si="53"/>
        <v>0.10898927711888809</v>
      </c>
      <c r="AF186">
        <f t="shared" si="54"/>
        <v>1</v>
      </c>
      <c r="AG186">
        <f t="shared" si="55"/>
        <v>0</v>
      </c>
      <c r="AK186">
        <f>AA186*(1+What_if_Analysis!$B$4)</f>
        <v>27.599999999999998</v>
      </c>
      <c r="AL186" s="5">
        <f>MIN(Z186,What_if_Analysis!$B$2)</f>
        <v>0.05</v>
      </c>
      <c r="AM186">
        <f t="shared" si="56"/>
        <v>35544.094199999992</v>
      </c>
      <c r="AN186">
        <f>AM186-(AK186*(T186*(1+What_if_Analysis!$B$3)))</f>
        <v>-5612.225400000003</v>
      </c>
    </row>
    <row r="187" spans="1:40" x14ac:dyDescent="0.3">
      <c r="A187" t="s">
        <v>200</v>
      </c>
      <c r="B187" s="3">
        <v>45099</v>
      </c>
      <c r="C187" s="3" t="str">
        <f t="shared" si="40"/>
        <v>Jun-2023</v>
      </c>
      <c r="D187" s="3" t="str">
        <f t="shared" si="41"/>
        <v>Q2-2023</v>
      </c>
      <c r="E187" s="3">
        <v>45128</v>
      </c>
      <c r="F187" s="3" t="str">
        <f t="shared" si="42"/>
        <v>Valid</v>
      </c>
      <c r="G187" s="12">
        <f t="shared" si="43"/>
        <v>29</v>
      </c>
      <c r="H187" s="3">
        <f t="shared" si="44"/>
        <v>45128</v>
      </c>
      <c r="I187" t="s">
        <v>649</v>
      </c>
      <c r="J187" t="str">
        <f t="shared" si="45"/>
        <v>Europe → France → Lyon</v>
      </c>
      <c r="K187" s="3" t="str">
        <f t="shared" si="46"/>
        <v>France-2023-06</v>
      </c>
      <c r="L187" t="s">
        <v>657</v>
      </c>
      <c r="M187" t="s">
        <v>679</v>
      </c>
      <c r="N187" t="s">
        <v>701</v>
      </c>
      <c r="O187" t="s">
        <v>707</v>
      </c>
      <c r="P187" t="s">
        <v>713</v>
      </c>
      <c r="Q187" t="s">
        <v>733</v>
      </c>
      <c r="R187" t="s">
        <v>919</v>
      </c>
      <c r="S187" s="5">
        <v>734.34</v>
      </c>
      <c r="T187" s="5">
        <v>887.9</v>
      </c>
      <c r="U187" s="5" t="str">
        <f t="shared" si="47"/>
        <v>Valid</v>
      </c>
      <c r="V187" s="5">
        <f t="shared" si="38"/>
        <v>887.9</v>
      </c>
      <c r="W187" s="5" t="str">
        <f t="shared" si="48"/>
        <v>Medium</v>
      </c>
      <c r="X187" s="5">
        <v>2.5000000000000001E-2</v>
      </c>
      <c r="Y187" s="5" t="str">
        <f t="shared" si="49"/>
        <v>Valid</v>
      </c>
      <c r="Z187" s="5">
        <f t="shared" si="50"/>
        <v>2.5000000000000001E-2</v>
      </c>
      <c r="AA187" s="5">
        <v>12</v>
      </c>
      <c r="AB187">
        <f t="shared" si="51"/>
        <v>10388.429999999998</v>
      </c>
      <c r="AC187">
        <f t="shared" si="39"/>
        <v>8812.08</v>
      </c>
      <c r="AD187">
        <f t="shared" si="52"/>
        <v>1576.3499999999985</v>
      </c>
      <c r="AE187">
        <f t="shared" si="53"/>
        <v>0.15174092716608753</v>
      </c>
      <c r="AF187">
        <f t="shared" si="54"/>
        <v>0</v>
      </c>
      <c r="AG187">
        <f t="shared" si="55"/>
        <v>0</v>
      </c>
      <c r="AK187">
        <f>AA187*(1+What_if_Analysis!$B$4)</f>
        <v>14.399999999999999</v>
      </c>
      <c r="AL187" s="5">
        <f>MIN(Z187,What_if_Analysis!$B$2)</f>
        <v>2.5000000000000001E-2</v>
      </c>
      <c r="AM187">
        <f t="shared" si="56"/>
        <v>12466.115999999998</v>
      </c>
      <c r="AN187">
        <f>AM187-(AK187*(T187*(1+What_if_Analysis!$B$3)))</f>
        <v>-1598.2200000000012</v>
      </c>
    </row>
    <row r="188" spans="1:40" x14ac:dyDescent="0.3">
      <c r="A188" t="s">
        <v>201</v>
      </c>
      <c r="B188" s="3">
        <v>45670</v>
      </c>
      <c r="C188" s="3" t="str">
        <f t="shared" si="40"/>
        <v>Jan-2025</v>
      </c>
      <c r="D188" s="3" t="str">
        <f t="shared" si="41"/>
        <v>Q1-2025</v>
      </c>
      <c r="E188" s="3">
        <v>45696</v>
      </c>
      <c r="F188" s="3" t="str">
        <f t="shared" si="42"/>
        <v>Valid</v>
      </c>
      <c r="G188" s="12">
        <f t="shared" si="43"/>
        <v>26</v>
      </c>
      <c r="H188" s="3">
        <f t="shared" si="44"/>
        <v>45696</v>
      </c>
      <c r="I188" t="s">
        <v>649</v>
      </c>
      <c r="J188" t="str">
        <f t="shared" si="45"/>
        <v>Europe → France → Paris</v>
      </c>
      <c r="K188" s="3" t="str">
        <f t="shared" si="46"/>
        <v>France-2025-01</v>
      </c>
      <c r="L188" t="s">
        <v>657</v>
      </c>
      <c r="M188" t="s">
        <v>690</v>
      </c>
      <c r="N188" t="s">
        <v>703</v>
      </c>
      <c r="O188" t="s">
        <v>1424</v>
      </c>
      <c r="P188" t="s">
        <v>718</v>
      </c>
      <c r="Q188" t="s">
        <v>732</v>
      </c>
      <c r="R188" t="s">
        <v>920</v>
      </c>
      <c r="S188" s="5">
        <v>594.74</v>
      </c>
      <c r="T188" s="5">
        <v>1020.69</v>
      </c>
      <c r="U188" s="5" t="str">
        <f t="shared" si="47"/>
        <v>Valid</v>
      </c>
      <c r="V188" s="5">
        <f t="shared" si="38"/>
        <v>1020.69</v>
      </c>
      <c r="W188" s="5" t="str">
        <f t="shared" si="48"/>
        <v>Medium</v>
      </c>
      <c r="X188" s="5">
        <v>0.21099999999999999</v>
      </c>
      <c r="Y188" s="5" t="str">
        <f t="shared" si="49"/>
        <v>Valid</v>
      </c>
      <c r="Z188" s="5">
        <f t="shared" si="50"/>
        <v>0.21099999999999999</v>
      </c>
      <c r="AA188" s="5">
        <v>6</v>
      </c>
      <c r="AB188">
        <f t="shared" si="51"/>
        <v>4831.9464600000001</v>
      </c>
      <c r="AC188">
        <f t="shared" si="39"/>
        <v>3568.44</v>
      </c>
      <c r="AD188">
        <f t="shared" si="52"/>
        <v>1263.5064600000001</v>
      </c>
      <c r="AE188">
        <f t="shared" si="53"/>
        <v>0.26149016146176424</v>
      </c>
      <c r="AF188">
        <f t="shared" si="54"/>
        <v>0</v>
      </c>
      <c r="AG188">
        <f t="shared" si="55"/>
        <v>1</v>
      </c>
      <c r="AK188">
        <f>AA188*(1+What_if_Analysis!$B$4)</f>
        <v>7.1999999999999993</v>
      </c>
      <c r="AL188" s="5">
        <f>MIN(Z188,What_if_Analysis!$B$2)</f>
        <v>0.05</v>
      </c>
      <c r="AM188">
        <f t="shared" si="56"/>
        <v>6981.5195999999996</v>
      </c>
      <c r="AN188">
        <f>AM188-(AK188*(T188*(1+What_if_Analysis!$B$3)))</f>
        <v>-1102.3452000000016</v>
      </c>
    </row>
    <row r="189" spans="1:40" x14ac:dyDescent="0.3">
      <c r="A189" t="s">
        <v>144</v>
      </c>
      <c r="B189" s="3">
        <v>44955</v>
      </c>
      <c r="C189" s="3" t="str">
        <f t="shared" si="40"/>
        <v>Jan-2023</v>
      </c>
      <c r="D189" s="3" t="str">
        <f t="shared" si="41"/>
        <v>Q1-2023</v>
      </c>
      <c r="E189" s="3">
        <v>44985</v>
      </c>
      <c r="F189" s="3" t="str">
        <f t="shared" si="42"/>
        <v>Valid</v>
      </c>
      <c r="G189" s="12">
        <f t="shared" si="43"/>
        <v>30</v>
      </c>
      <c r="H189" s="3">
        <f t="shared" si="44"/>
        <v>44985</v>
      </c>
      <c r="I189" t="s">
        <v>647</v>
      </c>
      <c r="J189" t="str">
        <f t="shared" si="45"/>
        <v>Asia → India → Bengaluru</v>
      </c>
      <c r="K189" s="3" t="str">
        <f t="shared" si="46"/>
        <v>India-2023-01</v>
      </c>
      <c r="L189" t="s">
        <v>654</v>
      </c>
      <c r="M189" t="s">
        <v>668</v>
      </c>
      <c r="N189" t="s">
        <v>703</v>
      </c>
      <c r="O189" t="s">
        <v>707</v>
      </c>
      <c r="P189" t="s">
        <v>717</v>
      </c>
      <c r="Q189" t="s">
        <v>733</v>
      </c>
      <c r="R189" t="s">
        <v>921</v>
      </c>
      <c r="S189" s="5">
        <v>1262.0999999999999</v>
      </c>
      <c r="T189" s="5">
        <v>1395.53</v>
      </c>
      <c r="U189" s="5" t="str">
        <f t="shared" si="47"/>
        <v>Valid</v>
      </c>
      <c r="V189" s="5">
        <f t="shared" si="38"/>
        <v>1395.53</v>
      </c>
      <c r="W189" s="5" t="str">
        <f t="shared" si="48"/>
        <v>Medium</v>
      </c>
      <c r="X189" s="5">
        <v>0.23300000000000001</v>
      </c>
      <c r="Y189" s="5" t="str">
        <f t="shared" si="49"/>
        <v>Valid</v>
      </c>
      <c r="Z189" s="5">
        <f t="shared" si="50"/>
        <v>0.23300000000000001</v>
      </c>
      <c r="AA189" s="5">
        <v>25</v>
      </c>
      <c r="AB189">
        <f t="shared" si="51"/>
        <v>26759.28775</v>
      </c>
      <c r="AC189">
        <f t="shared" si="39"/>
        <v>31552.499999999996</v>
      </c>
      <c r="AD189">
        <f t="shared" si="52"/>
        <v>-4793.2122499999969</v>
      </c>
      <c r="AE189">
        <f t="shared" si="53"/>
        <v>-0.17912331205452198</v>
      </c>
      <c r="AF189">
        <f t="shared" si="54"/>
        <v>0</v>
      </c>
      <c r="AG189">
        <f t="shared" si="55"/>
        <v>1</v>
      </c>
      <c r="AK189">
        <f>AA189*(1+What_if_Analysis!$B$4)</f>
        <v>30</v>
      </c>
      <c r="AL189" s="5">
        <f>MIN(Z189,What_if_Analysis!$B$2)</f>
        <v>0.05</v>
      </c>
      <c r="AM189">
        <f t="shared" si="56"/>
        <v>39772.604999999996</v>
      </c>
      <c r="AN189">
        <f>AM189-(AK189*(T189*(1+What_if_Analysis!$B$3)))</f>
        <v>-6279.8850000000093</v>
      </c>
    </row>
    <row r="190" spans="1:40" x14ac:dyDescent="0.3">
      <c r="A190" t="s">
        <v>202</v>
      </c>
      <c r="B190" s="3">
        <v>45126</v>
      </c>
      <c r="C190" s="3" t="str">
        <f t="shared" si="40"/>
        <v>Jul-2023</v>
      </c>
      <c r="D190" s="3" t="str">
        <f t="shared" si="41"/>
        <v>Q3-2023</v>
      </c>
      <c r="E190" s="3">
        <v>45138</v>
      </c>
      <c r="F190" s="3" t="str">
        <f t="shared" si="42"/>
        <v>Valid</v>
      </c>
      <c r="G190" s="12">
        <f t="shared" si="43"/>
        <v>12</v>
      </c>
      <c r="H190" s="3">
        <f t="shared" si="44"/>
        <v>45138</v>
      </c>
      <c r="I190" t="s">
        <v>648</v>
      </c>
      <c r="J190" t="str">
        <f t="shared" si="45"/>
        <v>Americas → Brazil → Rio de Janeiro</v>
      </c>
      <c r="K190" s="3" t="str">
        <f t="shared" si="46"/>
        <v>Brazil-2023-07</v>
      </c>
      <c r="L190" t="s">
        <v>655</v>
      </c>
      <c r="M190" t="s">
        <v>692</v>
      </c>
      <c r="N190" t="s">
        <v>701</v>
      </c>
      <c r="O190" t="s">
        <v>707</v>
      </c>
      <c r="P190" t="s">
        <v>712</v>
      </c>
      <c r="Q190" t="s">
        <v>732</v>
      </c>
      <c r="R190" t="s">
        <v>922</v>
      </c>
      <c r="S190" s="5">
        <v>1334.64</v>
      </c>
      <c r="T190" s="5">
        <v>2273.42</v>
      </c>
      <c r="U190" s="5" t="str">
        <f t="shared" si="47"/>
        <v>Valid</v>
      </c>
      <c r="V190" s="5">
        <f t="shared" si="38"/>
        <v>2273.42</v>
      </c>
      <c r="W190" s="5" t="str">
        <f t="shared" si="48"/>
        <v>High</v>
      </c>
      <c r="X190" s="5">
        <v>0.11799999999999999</v>
      </c>
      <c r="Y190" s="5" t="str">
        <f t="shared" si="49"/>
        <v>Valid</v>
      </c>
      <c r="Z190" s="5">
        <f t="shared" si="50"/>
        <v>0.11799999999999999</v>
      </c>
      <c r="AA190" s="5">
        <v>14</v>
      </c>
      <c r="AB190">
        <f t="shared" si="51"/>
        <v>28072.190160000002</v>
      </c>
      <c r="AC190">
        <f t="shared" si="39"/>
        <v>18684.960000000003</v>
      </c>
      <c r="AD190">
        <f t="shared" si="52"/>
        <v>9387.2301599999992</v>
      </c>
      <c r="AE190">
        <f t="shared" si="53"/>
        <v>0.33439607335575267</v>
      </c>
      <c r="AF190">
        <f t="shared" si="54"/>
        <v>0</v>
      </c>
      <c r="AG190">
        <f t="shared" si="55"/>
        <v>0</v>
      </c>
      <c r="AK190">
        <f>AA190*(1+What_if_Analysis!$B$4)</f>
        <v>16.8</v>
      </c>
      <c r="AL190" s="5">
        <f>MIN(Z190,What_if_Analysis!$B$2)</f>
        <v>0.05</v>
      </c>
      <c r="AM190">
        <f t="shared" si="56"/>
        <v>36283.783200000005</v>
      </c>
      <c r="AN190">
        <f>AM190-(AK190*(T190*(1+What_if_Analysis!$B$3)))</f>
        <v>-5729.0184000000008</v>
      </c>
    </row>
    <row r="191" spans="1:40" x14ac:dyDescent="0.3">
      <c r="A191" t="s">
        <v>203</v>
      </c>
      <c r="B191" s="3">
        <v>45431</v>
      </c>
      <c r="C191" s="3" t="str">
        <f t="shared" si="40"/>
        <v>May-2024</v>
      </c>
      <c r="D191" s="3" t="str">
        <f t="shared" si="41"/>
        <v>Q2-2024</v>
      </c>
      <c r="E191" s="3">
        <v>45451</v>
      </c>
      <c r="F191" s="3" t="str">
        <f t="shared" si="42"/>
        <v>Valid</v>
      </c>
      <c r="G191" s="12">
        <f t="shared" si="43"/>
        <v>20</v>
      </c>
      <c r="H191" s="3">
        <f t="shared" si="44"/>
        <v>45451</v>
      </c>
      <c r="I191" t="s">
        <v>648</v>
      </c>
      <c r="J191" t="str">
        <f t="shared" si="45"/>
        <v>Americas → Brazil → Brasília</v>
      </c>
      <c r="K191" s="3" t="str">
        <f t="shared" si="46"/>
        <v>Brazil-2024-05</v>
      </c>
      <c r="L191" t="s">
        <v>655</v>
      </c>
      <c r="M191" t="s">
        <v>672</v>
      </c>
      <c r="N191" t="s">
        <v>705</v>
      </c>
      <c r="O191" t="s">
        <v>707</v>
      </c>
      <c r="P191" t="s">
        <v>718</v>
      </c>
      <c r="Q191" t="s">
        <v>732</v>
      </c>
      <c r="R191" t="s">
        <v>923</v>
      </c>
      <c r="S191" s="5">
        <v>1075.9000000000001</v>
      </c>
      <c r="T191" s="5">
        <v>1242.1500000000001</v>
      </c>
      <c r="U191" s="5" t="str">
        <f t="shared" si="47"/>
        <v>Valid</v>
      </c>
      <c r="V191" s="5">
        <f t="shared" si="38"/>
        <v>1242.1500000000001</v>
      </c>
      <c r="W191" s="5" t="str">
        <f t="shared" si="48"/>
        <v>Medium</v>
      </c>
      <c r="X191" s="5">
        <v>1.2E-2</v>
      </c>
      <c r="Y191" s="5" t="str">
        <f t="shared" si="49"/>
        <v>Valid</v>
      </c>
      <c r="Z191" s="5">
        <f t="shared" si="50"/>
        <v>1.2E-2</v>
      </c>
      <c r="AA191" s="5">
        <v>7</v>
      </c>
      <c r="AB191">
        <f t="shared" si="51"/>
        <v>8590.7094000000016</v>
      </c>
      <c r="AC191">
        <f t="shared" si="39"/>
        <v>7531.3000000000011</v>
      </c>
      <c r="AD191">
        <f t="shared" si="52"/>
        <v>1059.4094000000005</v>
      </c>
      <c r="AE191">
        <f t="shared" si="53"/>
        <v>0.12332036280961853</v>
      </c>
      <c r="AF191">
        <f t="shared" si="54"/>
        <v>0</v>
      </c>
      <c r="AG191">
        <f t="shared" si="55"/>
        <v>0</v>
      </c>
      <c r="AK191">
        <f>AA191*(1+What_if_Analysis!$B$4)</f>
        <v>8.4</v>
      </c>
      <c r="AL191" s="5">
        <f>MIN(Z191,What_if_Analysis!$B$2)</f>
        <v>1.2E-2</v>
      </c>
      <c r="AM191">
        <f t="shared" si="56"/>
        <v>10308.851280000001</v>
      </c>
      <c r="AN191">
        <f>AM191-(AK191*(T191*(1+What_if_Analysis!$B$3)))</f>
        <v>-1168.6147200000014</v>
      </c>
    </row>
    <row r="192" spans="1:40" x14ac:dyDescent="0.3">
      <c r="A192" t="s">
        <v>204</v>
      </c>
      <c r="B192" s="3">
        <v>45325</v>
      </c>
      <c r="C192" s="3" t="str">
        <f t="shared" si="40"/>
        <v>Feb-2024</v>
      </c>
      <c r="D192" s="3" t="str">
        <f t="shared" si="41"/>
        <v>Q1-2024</v>
      </c>
      <c r="E192" s="3">
        <v>45341</v>
      </c>
      <c r="F192" s="3" t="str">
        <f t="shared" si="42"/>
        <v>Valid</v>
      </c>
      <c r="G192" s="12">
        <f t="shared" si="43"/>
        <v>16</v>
      </c>
      <c r="H192" s="3">
        <f t="shared" si="44"/>
        <v>45341</v>
      </c>
      <c r="I192" t="s">
        <v>647</v>
      </c>
      <c r="J192" t="str">
        <f t="shared" si="45"/>
        <v>Asia → China → Shenzhen</v>
      </c>
      <c r="K192" s="3" t="str">
        <f t="shared" si="46"/>
        <v>China-2024-02</v>
      </c>
      <c r="L192" t="s">
        <v>659</v>
      </c>
      <c r="M192" t="s">
        <v>676</v>
      </c>
      <c r="N192" t="s">
        <v>705</v>
      </c>
      <c r="O192" t="s">
        <v>708</v>
      </c>
      <c r="P192" t="s">
        <v>722</v>
      </c>
      <c r="Q192" t="s">
        <v>731</v>
      </c>
      <c r="R192" t="s">
        <v>924</v>
      </c>
      <c r="S192" s="5">
        <v>993.75</v>
      </c>
      <c r="T192" s="5">
        <v>1310.29</v>
      </c>
      <c r="U192" s="5" t="str">
        <f t="shared" si="47"/>
        <v>Valid</v>
      </c>
      <c r="V192" s="5">
        <f t="shared" si="38"/>
        <v>1310.29</v>
      </c>
      <c r="W192" s="5" t="str">
        <f t="shared" si="48"/>
        <v>Medium</v>
      </c>
      <c r="X192" s="5">
        <v>0.215</v>
      </c>
      <c r="Y192" s="5" t="str">
        <f t="shared" si="49"/>
        <v>Valid</v>
      </c>
      <c r="Z192" s="5">
        <f t="shared" si="50"/>
        <v>0.215</v>
      </c>
      <c r="AA192" s="5">
        <v>19</v>
      </c>
      <c r="AB192">
        <f t="shared" si="51"/>
        <v>19542.975350000001</v>
      </c>
      <c r="AC192">
        <f t="shared" si="39"/>
        <v>18881.25</v>
      </c>
      <c r="AD192">
        <f t="shared" si="52"/>
        <v>661.72535000000062</v>
      </c>
      <c r="AE192">
        <f t="shared" si="53"/>
        <v>3.3860010471742245E-2</v>
      </c>
      <c r="AF192">
        <f t="shared" si="54"/>
        <v>0</v>
      </c>
      <c r="AG192">
        <f t="shared" si="55"/>
        <v>1</v>
      </c>
      <c r="AK192">
        <f>AA192*(1+What_if_Analysis!$B$4)</f>
        <v>22.8</v>
      </c>
      <c r="AL192" s="5">
        <f>MIN(Z192,What_if_Analysis!$B$2)</f>
        <v>0.05</v>
      </c>
      <c r="AM192">
        <f t="shared" si="56"/>
        <v>28380.881399999998</v>
      </c>
      <c r="AN192">
        <f>AM192-(AK192*(T192*(1+What_if_Analysis!$B$3)))</f>
        <v>-4481.1918000000078</v>
      </c>
    </row>
    <row r="193" spans="1:40" x14ac:dyDescent="0.3">
      <c r="A193" t="s">
        <v>205</v>
      </c>
      <c r="B193" s="3">
        <v>45146</v>
      </c>
      <c r="C193" s="3" t="str">
        <f t="shared" si="40"/>
        <v>Aug-2023</v>
      </c>
      <c r="D193" s="3" t="str">
        <f t="shared" si="41"/>
        <v>Q3-2023</v>
      </c>
      <c r="E193" s="3">
        <v>45160</v>
      </c>
      <c r="F193" s="3" t="str">
        <f t="shared" si="42"/>
        <v>Valid</v>
      </c>
      <c r="G193" s="12">
        <f t="shared" si="43"/>
        <v>14</v>
      </c>
      <c r="H193" s="3">
        <f t="shared" si="44"/>
        <v>45160</v>
      </c>
      <c r="I193" t="s">
        <v>649</v>
      </c>
      <c r="J193" t="str">
        <f t="shared" si="45"/>
        <v>Europe → United Kingdom → Birmingham</v>
      </c>
      <c r="K193" s="3" t="str">
        <f t="shared" si="46"/>
        <v>United Kingdom-2023-08</v>
      </c>
      <c r="L193" t="s">
        <v>658</v>
      </c>
      <c r="M193" t="s">
        <v>674</v>
      </c>
      <c r="N193" t="s">
        <v>703</v>
      </c>
      <c r="O193" t="s">
        <v>711</v>
      </c>
      <c r="P193" t="s">
        <v>725</v>
      </c>
      <c r="Q193" t="s">
        <v>732</v>
      </c>
      <c r="R193" t="s">
        <v>925</v>
      </c>
      <c r="S193" s="5">
        <v>446.69</v>
      </c>
      <c r="T193" s="5">
        <v>967.25</v>
      </c>
      <c r="U193" s="5" t="str">
        <f t="shared" si="47"/>
        <v>Valid</v>
      </c>
      <c r="V193" s="5">
        <f t="shared" si="38"/>
        <v>967.25</v>
      </c>
      <c r="W193" s="5" t="str">
        <f t="shared" si="48"/>
        <v>Medium</v>
      </c>
      <c r="X193" s="5">
        <v>9.4E-2</v>
      </c>
      <c r="Y193" s="5" t="str">
        <f t="shared" si="49"/>
        <v>Valid</v>
      </c>
      <c r="Z193" s="5">
        <f t="shared" si="50"/>
        <v>9.4E-2</v>
      </c>
      <c r="AA193" s="5">
        <v>10</v>
      </c>
      <c r="AB193">
        <f t="shared" si="51"/>
        <v>8763.2849999999999</v>
      </c>
      <c r="AC193">
        <f t="shared" si="39"/>
        <v>4466.8999999999996</v>
      </c>
      <c r="AD193">
        <f t="shared" si="52"/>
        <v>4296.3850000000002</v>
      </c>
      <c r="AE193">
        <f t="shared" si="53"/>
        <v>0.49027105702941309</v>
      </c>
      <c r="AF193">
        <f t="shared" si="54"/>
        <v>0</v>
      </c>
      <c r="AG193">
        <f t="shared" si="55"/>
        <v>0</v>
      </c>
      <c r="AK193">
        <f>AA193*(1+What_if_Analysis!$B$4)</f>
        <v>12</v>
      </c>
      <c r="AL193" s="5">
        <f>MIN(Z193,What_if_Analysis!$B$2)</f>
        <v>0.05</v>
      </c>
      <c r="AM193">
        <f t="shared" si="56"/>
        <v>11026.65</v>
      </c>
      <c r="AN193">
        <f>AM193-(AK193*(T193*(1+What_if_Analysis!$B$3)))</f>
        <v>-1741.0500000000011</v>
      </c>
    </row>
    <row r="194" spans="1:40" x14ac:dyDescent="0.3">
      <c r="A194" t="s">
        <v>206</v>
      </c>
      <c r="B194" s="3">
        <v>45516</v>
      </c>
      <c r="C194" s="3" t="str">
        <f t="shared" si="40"/>
        <v>Aug-2024</v>
      </c>
      <c r="D194" s="3" t="str">
        <f t="shared" si="41"/>
        <v>Q3-2024</v>
      </c>
      <c r="E194" s="3">
        <v>45538</v>
      </c>
      <c r="F194" s="3" t="str">
        <f t="shared" si="42"/>
        <v>Valid</v>
      </c>
      <c r="G194" s="12">
        <f t="shared" si="43"/>
        <v>22</v>
      </c>
      <c r="H194" s="3">
        <f t="shared" si="44"/>
        <v>45538</v>
      </c>
      <c r="I194" t="s">
        <v>648</v>
      </c>
      <c r="J194" t="str">
        <f t="shared" si="45"/>
        <v>Americas → USA → Austin</v>
      </c>
      <c r="K194" s="3" t="str">
        <f t="shared" si="46"/>
        <v>USA-2024-08</v>
      </c>
      <c r="L194" t="s">
        <v>660</v>
      </c>
      <c r="M194" t="s">
        <v>697</v>
      </c>
      <c r="N194" t="s">
        <v>704</v>
      </c>
      <c r="O194" t="s">
        <v>710</v>
      </c>
      <c r="P194" t="s">
        <v>714</v>
      </c>
      <c r="Q194" t="s">
        <v>731</v>
      </c>
      <c r="R194" t="s">
        <v>926</v>
      </c>
      <c r="S194" s="5">
        <v>797.8</v>
      </c>
      <c r="T194" s="5">
        <v>886.22</v>
      </c>
      <c r="U194" s="5" t="str">
        <f t="shared" si="47"/>
        <v>Valid</v>
      </c>
      <c r="V194" s="5">
        <f t="shared" ref="V194:V257" si="57">IF(T194&lt;0,AVERAGEIF($Q$2:$Q$633,Q194,$T$2:$T$633),T194)</f>
        <v>886.22</v>
      </c>
      <c r="W194" s="5" t="str">
        <f t="shared" si="48"/>
        <v>Medium</v>
      </c>
      <c r="X194" s="5">
        <v>0.23599999999999999</v>
      </c>
      <c r="Y194" s="5" t="str">
        <f t="shared" si="49"/>
        <v>Valid</v>
      </c>
      <c r="Z194" s="5">
        <f t="shared" si="50"/>
        <v>0.23599999999999999</v>
      </c>
      <c r="AA194" s="5">
        <v>36</v>
      </c>
      <c r="AB194">
        <f t="shared" si="51"/>
        <v>24374.594880000001</v>
      </c>
      <c r="AC194">
        <f t="shared" ref="AC194:AC257" si="58">S194*AA194</f>
        <v>28720.799999999999</v>
      </c>
      <c r="AD194">
        <f t="shared" si="52"/>
        <v>-4346.2051199999987</v>
      </c>
      <c r="AE194">
        <f t="shared" si="53"/>
        <v>-0.17830881462428633</v>
      </c>
      <c r="AF194">
        <f t="shared" si="54"/>
        <v>0</v>
      </c>
      <c r="AG194">
        <f t="shared" si="55"/>
        <v>1</v>
      </c>
      <c r="AK194">
        <f>AA194*(1+What_if_Analysis!$B$4)</f>
        <v>43.199999999999996</v>
      </c>
      <c r="AL194" s="5">
        <f>MIN(Z194,What_if_Analysis!$B$2)</f>
        <v>0.05</v>
      </c>
      <c r="AM194">
        <f t="shared" si="56"/>
        <v>36370.468799999995</v>
      </c>
      <c r="AN194">
        <f>AM194-(AK194*(T194*(1+What_if_Analysis!$B$3)))</f>
        <v>-5742.7056000000084</v>
      </c>
    </row>
    <row r="195" spans="1:40" x14ac:dyDescent="0.3">
      <c r="A195" t="s">
        <v>207</v>
      </c>
      <c r="B195" s="3">
        <v>45214</v>
      </c>
      <c r="C195" s="3" t="str">
        <f t="shared" ref="C195:C258" si="59">TEXT(B195,"mmm-yyyy")</f>
        <v>Oct-2023</v>
      </c>
      <c r="D195" s="3" t="str">
        <f t="shared" ref="D195:D258" si="60">"Q" &amp; ROUNDUP(MONTH(B195)/3,0) &amp; "-" &amp; YEAR(B195)</f>
        <v>Q4-2023</v>
      </c>
      <c r="E195" s="3">
        <v>45243</v>
      </c>
      <c r="F195" s="3" t="str">
        <f t="shared" ref="F195:F258" si="61">IF(E195&lt;B195,"Invalid RequiredDate","Valid")</f>
        <v>Valid</v>
      </c>
      <c r="G195" s="12">
        <f t="shared" ref="G195:G258" si="62">MEDIAN($E$2:$E$633-$B$2:$B$633)</f>
        <v>29</v>
      </c>
      <c r="H195" s="3">
        <f t="shared" ref="H195:H258" si="63">IF(E195&lt;B195,B195+$G$2,E195)</f>
        <v>45243</v>
      </c>
      <c r="I195" t="s">
        <v>647</v>
      </c>
      <c r="J195" t="str">
        <f t="shared" ref="J195:J258" si="64">I195 &amp; " → " &amp; L195 &amp; " → " &amp; M195</f>
        <v>Asia → China → Shenzhen</v>
      </c>
      <c r="K195" s="3" t="str">
        <f t="shared" ref="K195:K258" si="65">L195 &amp; "-" &amp; TEXT(C195,"YYYY-MM")</f>
        <v>China-2023-10</v>
      </c>
      <c r="L195" t="s">
        <v>659</v>
      </c>
      <c r="M195" t="s">
        <v>676</v>
      </c>
      <c r="N195" t="s">
        <v>703</v>
      </c>
      <c r="O195" t="s">
        <v>710</v>
      </c>
      <c r="P195" t="s">
        <v>713</v>
      </c>
      <c r="Q195" t="s">
        <v>728</v>
      </c>
      <c r="R195" t="s">
        <v>927</v>
      </c>
      <c r="S195" s="5">
        <v>986.44</v>
      </c>
      <c r="T195" s="5">
        <v>790.61</v>
      </c>
      <c r="U195" s="5" t="str">
        <f t="shared" ref="U195:U258" si="66">IF(T195&lt;0,"Invalid Price","Valid")</f>
        <v>Valid</v>
      </c>
      <c r="V195" s="5">
        <f t="shared" si="57"/>
        <v>790.61</v>
      </c>
      <c r="W195" s="5" t="str">
        <f t="shared" ref="W195:W258" si="67">IF(V195&lt;=616.86,"Low",IF(V195&lt;1912.05,"Medium","High"))</f>
        <v>Medium</v>
      </c>
      <c r="X195" s="5">
        <v>7.1999999999999995E-2</v>
      </c>
      <c r="Y195" s="5" t="str">
        <f t="shared" ref="Y195:Y258" si="68">IF(X195&gt;30%,"High Discount","Valid")</f>
        <v>Valid</v>
      </c>
      <c r="Z195" s="5">
        <f t="shared" ref="Z195:Z258" si="69">IF(X195&gt;30%,30%,X195)</f>
        <v>7.1999999999999995E-2</v>
      </c>
      <c r="AA195" s="5">
        <v>6</v>
      </c>
      <c r="AB195">
        <f t="shared" ref="AB195:AB258" si="70">V195 * AA195 * (1 - Z195)</f>
        <v>4402.1164799999997</v>
      </c>
      <c r="AC195">
        <f t="shared" si="58"/>
        <v>5918.64</v>
      </c>
      <c r="AD195">
        <f t="shared" ref="AD195:AD258" si="71">AB195-AC195</f>
        <v>-1516.5235200000006</v>
      </c>
      <c r="AE195">
        <f t="shared" ref="AE195:AE258" si="72">IF(AB195=0, 0, AD195 / AB195)</f>
        <v>-0.34449872621271499</v>
      </c>
      <c r="AF195">
        <f t="shared" ref="AF195:AF258" si="73">IF(G195&lt;=7,1,0)</f>
        <v>0</v>
      </c>
      <c r="AG195">
        <f t="shared" ref="AG195:AG258" si="74">IF(Z195&gt;20%,1,0)</f>
        <v>0</v>
      </c>
      <c r="AK195">
        <f>AA195*(1+What_if_Analysis!$B$4)</f>
        <v>7.1999999999999993</v>
      </c>
      <c r="AL195" s="5">
        <f>MIN(Z195,What_if_Analysis!$B$2)</f>
        <v>0.05</v>
      </c>
      <c r="AM195">
        <f t="shared" ref="AM195:AM258" si="75">AK195*V195*(1-AL195)</f>
        <v>5407.7723999999998</v>
      </c>
      <c r="AN195">
        <f>AM195-(AK195*(T195*(1+What_if_Analysis!$B$3)))</f>
        <v>-853.85879999999997</v>
      </c>
    </row>
    <row r="196" spans="1:40" x14ac:dyDescent="0.3">
      <c r="A196" t="s">
        <v>208</v>
      </c>
      <c r="B196" s="3">
        <v>45050</v>
      </c>
      <c r="C196" s="3" t="str">
        <f t="shared" si="59"/>
        <v>May-2023</v>
      </c>
      <c r="D196" s="3" t="str">
        <f t="shared" si="60"/>
        <v>Q2-2023</v>
      </c>
      <c r="E196" s="3">
        <v>45072</v>
      </c>
      <c r="F196" s="3" t="str">
        <f t="shared" si="61"/>
        <v>Valid</v>
      </c>
      <c r="G196" s="12">
        <f t="shared" si="62"/>
        <v>22</v>
      </c>
      <c r="H196" s="3">
        <f t="shared" si="63"/>
        <v>45072</v>
      </c>
      <c r="I196" t="s">
        <v>648</v>
      </c>
      <c r="J196" t="str">
        <f t="shared" si="64"/>
        <v>Americas → USA → San Francisco</v>
      </c>
      <c r="K196" s="3" t="str">
        <f t="shared" si="65"/>
        <v>USA-2023-05</v>
      </c>
      <c r="L196" t="s">
        <v>660</v>
      </c>
      <c r="M196" t="s">
        <v>686</v>
      </c>
      <c r="N196" t="s">
        <v>706</v>
      </c>
      <c r="O196" t="s">
        <v>708</v>
      </c>
      <c r="P196" t="s">
        <v>713</v>
      </c>
      <c r="Q196" t="s">
        <v>729</v>
      </c>
      <c r="R196" t="s">
        <v>928</v>
      </c>
      <c r="S196" s="5">
        <v>249.71</v>
      </c>
      <c r="T196" s="5">
        <v>361.33</v>
      </c>
      <c r="U196" s="5" t="str">
        <f t="shared" si="66"/>
        <v>Valid</v>
      </c>
      <c r="V196" s="5">
        <f t="shared" si="57"/>
        <v>361.33</v>
      </c>
      <c r="W196" s="5" t="str">
        <f t="shared" si="67"/>
        <v>Low</v>
      </c>
      <c r="X196" s="5">
        <v>9.4E-2</v>
      </c>
      <c r="Y196" s="5" t="str">
        <f t="shared" si="68"/>
        <v>Valid</v>
      </c>
      <c r="Z196" s="5">
        <f t="shared" si="69"/>
        <v>9.4E-2</v>
      </c>
      <c r="AA196" s="5">
        <v>12</v>
      </c>
      <c r="AB196">
        <f t="shared" si="70"/>
        <v>3928.3797600000003</v>
      </c>
      <c r="AC196">
        <f t="shared" si="58"/>
        <v>2996.52</v>
      </c>
      <c r="AD196">
        <f t="shared" si="71"/>
        <v>931.85976000000028</v>
      </c>
      <c r="AE196">
        <f t="shared" si="72"/>
        <v>0.23721223937881206</v>
      </c>
      <c r="AF196">
        <f t="shared" si="73"/>
        <v>0</v>
      </c>
      <c r="AG196">
        <f t="shared" si="74"/>
        <v>0</v>
      </c>
      <c r="AK196">
        <f>AA196*(1+What_if_Analysis!$B$4)</f>
        <v>14.399999999999999</v>
      </c>
      <c r="AL196" s="5">
        <f>MIN(Z196,What_if_Analysis!$B$2)</f>
        <v>0.05</v>
      </c>
      <c r="AM196">
        <f t="shared" si="75"/>
        <v>4942.9943999999987</v>
      </c>
      <c r="AN196">
        <f>AM196-(AK196*(T196*(1+What_if_Analysis!$B$3)))</f>
        <v>-780.47280000000137</v>
      </c>
    </row>
    <row r="197" spans="1:40" x14ac:dyDescent="0.3">
      <c r="A197" t="s">
        <v>209</v>
      </c>
      <c r="B197" s="3">
        <v>45557</v>
      </c>
      <c r="C197" s="3" t="str">
        <f t="shared" si="59"/>
        <v>Sept-2024</v>
      </c>
      <c r="D197" s="3" t="str">
        <f t="shared" si="60"/>
        <v>Q3-2024</v>
      </c>
      <c r="E197" s="3">
        <v>45566</v>
      </c>
      <c r="F197" s="3" t="str">
        <f t="shared" si="61"/>
        <v>Valid</v>
      </c>
      <c r="G197" s="12">
        <f t="shared" si="62"/>
        <v>9</v>
      </c>
      <c r="H197" s="3">
        <f t="shared" si="63"/>
        <v>45566</v>
      </c>
      <c r="I197" t="s">
        <v>648</v>
      </c>
      <c r="J197" t="str">
        <f t="shared" si="64"/>
        <v>Americas → Brazil → São Paulo</v>
      </c>
      <c r="K197" s="3" t="str">
        <f t="shared" si="65"/>
        <v>Brazil-2024-09</v>
      </c>
      <c r="L197" t="s">
        <v>655</v>
      </c>
      <c r="M197" t="s">
        <v>670</v>
      </c>
      <c r="N197" t="s">
        <v>703</v>
      </c>
      <c r="O197" t="s">
        <v>708</v>
      </c>
      <c r="P197" t="s">
        <v>723</v>
      </c>
      <c r="Q197" t="s">
        <v>732</v>
      </c>
      <c r="R197" t="s">
        <v>929</v>
      </c>
      <c r="S197" s="5">
        <v>1378.8</v>
      </c>
      <c r="T197" s="5">
        <v>1952.04</v>
      </c>
      <c r="U197" s="5" t="str">
        <f t="shared" si="66"/>
        <v>Valid</v>
      </c>
      <c r="V197" s="5">
        <f t="shared" si="57"/>
        <v>1952.04</v>
      </c>
      <c r="W197" s="5" t="str">
        <f t="shared" si="67"/>
        <v>High</v>
      </c>
      <c r="X197" s="5">
        <v>0.159</v>
      </c>
      <c r="Y197" s="5" t="str">
        <f t="shared" si="68"/>
        <v>Valid</v>
      </c>
      <c r="Z197" s="5">
        <f t="shared" si="69"/>
        <v>0.159</v>
      </c>
      <c r="AA197" s="5">
        <v>19</v>
      </c>
      <c r="AB197">
        <f t="shared" si="70"/>
        <v>31191.64716</v>
      </c>
      <c r="AC197">
        <f t="shared" si="58"/>
        <v>26197.200000000001</v>
      </c>
      <c r="AD197">
        <f t="shared" si="71"/>
        <v>4994.4471599999997</v>
      </c>
      <c r="AE197">
        <f t="shared" si="72"/>
        <v>0.16012130216723058</v>
      </c>
      <c r="AF197">
        <f t="shared" si="73"/>
        <v>0</v>
      </c>
      <c r="AG197">
        <f t="shared" si="74"/>
        <v>0</v>
      </c>
      <c r="AK197">
        <f>AA197*(1+What_if_Analysis!$B$4)</f>
        <v>22.8</v>
      </c>
      <c r="AL197" s="5">
        <f>MIN(Z197,What_if_Analysis!$B$2)</f>
        <v>0.05</v>
      </c>
      <c r="AM197">
        <f t="shared" si="75"/>
        <v>42281.186399999999</v>
      </c>
      <c r="AN197">
        <f>AM197-(AK197*(T197*(1+What_if_Analysis!$B$3)))</f>
        <v>-6675.976800000004</v>
      </c>
    </row>
    <row r="198" spans="1:40" x14ac:dyDescent="0.3">
      <c r="A198" t="s">
        <v>210</v>
      </c>
      <c r="B198" s="3">
        <v>45588</v>
      </c>
      <c r="C198" s="3" t="str">
        <f t="shared" si="59"/>
        <v>Oct-2024</v>
      </c>
      <c r="D198" s="3" t="str">
        <f t="shared" si="60"/>
        <v>Q4-2024</v>
      </c>
      <c r="E198" s="3">
        <v>45610</v>
      </c>
      <c r="F198" s="3" t="str">
        <f t="shared" si="61"/>
        <v>Valid</v>
      </c>
      <c r="G198" s="12">
        <f t="shared" si="62"/>
        <v>22</v>
      </c>
      <c r="H198" s="3">
        <f t="shared" si="63"/>
        <v>45610</v>
      </c>
      <c r="I198" t="s">
        <v>647</v>
      </c>
      <c r="J198" t="str">
        <f t="shared" si="64"/>
        <v>Asia → Japan → Osaka</v>
      </c>
      <c r="K198" s="3" t="str">
        <f t="shared" si="65"/>
        <v>Japan-2024-10</v>
      </c>
      <c r="L198" t="s">
        <v>652</v>
      </c>
      <c r="M198" t="s">
        <v>666</v>
      </c>
      <c r="N198" t="s">
        <v>703</v>
      </c>
      <c r="O198" t="s">
        <v>711</v>
      </c>
      <c r="P198" t="s">
        <v>717</v>
      </c>
      <c r="Q198" t="s">
        <v>730</v>
      </c>
      <c r="R198" t="s">
        <v>930</v>
      </c>
      <c r="S198" s="5">
        <v>1406.4</v>
      </c>
      <c r="T198" s="5">
        <v>1564.76</v>
      </c>
      <c r="U198" s="5" t="str">
        <f t="shared" si="66"/>
        <v>Valid</v>
      </c>
      <c r="V198" s="5">
        <f t="shared" si="57"/>
        <v>1564.76</v>
      </c>
      <c r="W198" s="5" t="str">
        <f t="shared" si="67"/>
        <v>Medium</v>
      </c>
      <c r="X198" s="5">
        <v>0.185</v>
      </c>
      <c r="Y198" s="5" t="str">
        <f t="shared" si="68"/>
        <v>Valid</v>
      </c>
      <c r="Z198" s="5">
        <f t="shared" si="69"/>
        <v>0.185</v>
      </c>
      <c r="AA198" s="5">
        <v>17</v>
      </c>
      <c r="AB198">
        <f t="shared" si="70"/>
        <v>21679.749799999998</v>
      </c>
      <c r="AC198">
        <f t="shared" si="58"/>
        <v>23908.800000000003</v>
      </c>
      <c r="AD198">
        <f t="shared" si="71"/>
        <v>-2229.0502000000051</v>
      </c>
      <c r="AE198">
        <f t="shared" si="72"/>
        <v>-0.10281715520536151</v>
      </c>
      <c r="AF198">
        <f t="shared" si="73"/>
        <v>0</v>
      </c>
      <c r="AG198">
        <f t="shared" si="74"/>
        <v>0</v>
      </c>
      <c r="AK198">
        <f>AA198*(1+What_if_Analysis!$B$4)</f>
        <v>20.399999999999999</v>
      </c>
      <c r="AL198" s="5">
        <f>MIN(Z198,What_if_Analysis!$B$2)</f>
        <v>0.05</v>
      </c>
      <c r="AM198">
        <f t="shared" si="75"/>
        <v>30325.048799999997</v>
      </c>
      <c r="AN198">
        <f>AM198-(AK198*(T198*(1+What_if_Analysis!$B$3)))</f>
        <v>-4788.1656000000003</v>
      </c>
    </row>
    <row r="199" spans="1:40" x14ac:dyDescent="0.3">
      <c r="A199" t="s">
        <v>211</v>
      </c>
      <c r="B199" s="3">
        <v>45333</v>
      </c>
      <c r="C199" s="3" t="str">
        <f t="shared" si="59"/>
        <v>Feb-2024</v>
      </c>
      <c r="D199" s="3" t="str">
        <f t="shared" si="60"/>
        <v>Q1-2024</v>
      </c>
      <c r="E199" s="3">
        <v>45354</v>
      </c>
      <c r="F199" s="3" t="str">
        <f t="shared" si="61"/>
        <v>Valid</v>
      </c>
      <c r="G199" s="12">
        <f t="shared" si="62"/>
        <v>21</v>
      </c>
      <c r="H199" s="3">
        <f t="shared" si="63"/>
        <v>45354</v>
      </c>
      <c r="I199" t="s">
        <v>646</v>
      </c>
      <c r="J199" t="str">
        <f t="shared" si="64"/>
        <v>Africa → Kenya → Kisumu</v>
      </c>
      <c r="K199" s="3" t="str">
        <f t="shared" si="65"/>
        <v>Kenya-2024-02</v>
      </c>
      <c r="L199" t="s">
        <v>650</v>
      </c>
      <c r="M199" t="s">
        <v>662</v>
      </c>
      <c r="N199" t="s">
        <v>706</v>
      </c>
      <c r="O199" t="s">
        <v>708</v>
      </c>
      <c r="P199" t="s">
        <v>717</v>
      </c>
      <c r="Q199" t="s">
        <v>730</v>
      </c>
      <c r="R199" t="s">
        <v>931</v>
      </c>
      <c r="S199" s="5">
        <v>516.86</v>
      </c>
      <c r="T199" s="5">
        <v>852.54</v>
      </c>
      <c r="U199" s="5" t="str">
        <f t="shared" si="66"/>
        <v>Valid</v>
      </c>
      <c r="V199" s="5">
        <f t="shared" si="57"/>
        <v>852.54</v>
      </c>
      <c r="W199" s="5" t="str">
        <f t="shared" si="67"/>
        <v>Medium</v>
      </c>
      <c r="X199" s="5">
        <v>5.0999999999999997E-2</v>
      </c>
      <c r="Y199" s="5" t="str">
        <f t="shared" si="68"/>
        <v>Valid</v>
      </c>
      <c r="Z199" s="5">
        <f t="shared" si="69"/>
        <v>5.0999999999999997E-2</v>
      </c>
      <c r="AA199" s="5">
        <v>14</v>
      </c>
      <c r="AB199">
        <f t="shared" si="70"/>
        <v>11326.846439999999</v>
      </c>
      <c r="AC199">
        <f t="shared" si="58"/>
        <v>7236.04</v>
      </c>
      <c r="AD199">
        <f t="shared" si="71"/>
        <v>4090.8064399999994</v>
      </c>
      <c r="AE199">
        <f t="shared" si="72"/>
        <v>0.36116022775355994</v>
      </c>
      <c r="AF199">
        <f t="shared" si="73"/>
        <v>0</v>
      </c>
      <c r="AG199">
        <f t="shared" si="74"/>
        <v>0</v>
      </c>
      <c r="AK199">
        <f>AA199*(1+What_if_Analysis!$B$4)</f>
        <v>16.8</v>
      </c>
      <c r="AL199" s="5">
        <f>MIN(Z199,What_if_Analysis!$B$2)</f>
        <v>0.05</v>
      </c>
      <c r="AM199">
        <f t="shared" si="75"/>
        <v>13606.538399999999</v>
      </c>
      <c r="AN199">
        <f>AM199-(AK199*(T199*(1+What_if_Analysis!$B$3)))</f>
        <v>-2148.4008000000013</v>
      </c>
    </row>
    <row r="200" spans="1:40" x14ac:dyDescent="0.3">
      <c r="A200" t="s">
        <v>212</v>
      </c>
      <c r="B200" s="3">
        <v>44956</v>
      </c>
      <c r="C200" s="3" t="str">
        <f t="shared" si="59"/>
        <v>Jan-2023</v>
      </c>
      <c r="D200" s="3" t="str">
        <f t="shared" si="60"/>
        <v>Q1-2023</v>
      </c>
      <c r="E200" s="3">
        <v>44978</v>
      </c>
      <c r="F200" s="3" t="str">
        <f t="shared" si="61"/>
        <v>Valid</v>
      </c>
      <c r="G200" s="12">
        <f t="shared" si="62"/>
        <v>22</v>
      </c>
      <c r="H200" s="3">
        <f t="shared" si="63"/>
        <v>44978</v>
      </c>
      <c r="I200" t="s">
        <v>649</v>
      </c>
      <c r="J200" t="str">
        <f t="shared" si="64"/>
        <v>Europe → Germany → Munich</v>
      </c>
      <c r="K200" s="3" t="str">
        <f t="shared" si="65"/>
        <v>Germany-2023-01</v>
      </c>
      <c r="L200" t="s">
        <v>656</v>
      </c>
      <c r="M200" t="s">
        <v>684</v>
      </c>
      <c r="N200" t="s">
        <v>705</v>
      </c>
      <c r="O200" t="s">
        <v>709</v>
      </c>
      <c r="P200" t="s">
        <v>715</v>
      </c>
      <c r="Q200" t="s">
        <v>729</v>
      </c>
      <c r="R200" t="s">
        <v>932</v>
      </c>
      <c r="S200" s="5">
        <v>1142.8800000000001</v>
      </c>
      <c r="T200" s="5">
        <v>1465.29</v>
      </c>
      <c r="U200" s="5" t="str">
        <f t="shared" si="66"/>
        <v>Valid</v>
      </c>
      <c r="V200" s="5">
        <f t="shared" si="57"/>
        <v>1465.29</v>
      </c>
      <c r="W200" s="5" t="str">
        <f t="shared" si="67"/>
        <v>Medium</v>
      </c>
      <c r="X200" s="5">
        <v>0.186</v>
      </c>
      <c r="Y200" s="5" t="str">
        <f t="shared" si="68"/>
        <v>Valid</v>
      </c>
      <c r="Z200" s="5">
        <f t="shared" si="69"/>
        <v>0.186</v>
      </c>
      <c r="AA200" s="5">
        <v>7</v>
      </c>
      <c r="AB200">
        <f t="shared" si="70"/>
        <v>8349.2224200000001</v>
      </c>
      <c r="AC200">
        <f t="shared" si="58"/>
        <v>8000.1600000000008</v>
      </c>
      <c r="AD200">
        <f t="shared" si="71"/>
        <v>349.06241999999929</v>
      </c>
      <c r="AE200">
        <f t="shared" si="72"/>
        <v>4.1807775915017401E-2</v>
      </c>
      <c r="AF200">
        <f t="shared" si="73"/>
        <v>0</v>
      </c>
      <c r="AG200">
        <f t="shared" si="74"/>
        <v>0</v>
      </c>
      <c r="AK200">
        <f>AA200*(1+What_if_Analysis!$B$4)</f>
        <v>8.4</v>
      </c>
      <c r="AL200" s="5">
        <f>MIN(Z200,What_if_Analysis!$B$2)</f>
        <v>0.05</v>
      </c>
      <c r="AM200">
        <f t="shared" si="75"/>
        <v>11693.0142</v>
      </c>
      <c r="AN200">
        <f>AM200-(AK200*(T200*(1+What_if_Analysis!$B$3)))</f>
        <v>-1846.265400000002</v>
      </c>
    </row>
    <row r="201" spans="1:40" x14ac:dyDescent="0.3">
      <c r="A201" t="s">
        <v>213</v>
      </c>
      <c r="B201" s="3">
        <v>45030</v>
      </c>
      <c r="C201" s="3" t="str">
        <f t="shared" si="59"/>
        <v>Apr-2023</v>
      </c>
      <c r="D201" s="3" t="str">
        <f t="shared" si="60"/>
        <v>Q2-2023</v>
      </c>
      <c r="E201" s="3">
        <v>45059</v>
      </c>
      <c r="F201" s="3" t="str">
        <f t="shared" si="61"/>
        <v>Valid</v>
      </c>
      <c r="G201" s="12">
        <f t="shared" si="62"/>
        <v>29</v>
      </c>
      <c r="H201" s="3">
        <f t="shared" si="63"/>
        <v>45059</v>
      </c>
      <c r="I201" t="s">
        <v>649</v>
      </c>
      <c r="J201" t="str">
        <f t="shared" si="64"/>
        <v>Europe → Germany → Frankfurt</v>
      </c>
      <c r="K201" s="3" t="str">
        <f t="shared" si="65"/>
        <v>Germany-2023-04</v>
      </c>
      <c r="L201" t="s">
        <v>656</v>
      </c>
      <c r="M201" t="s">
        <v>698</v>
      </c>
      <c r="N201" t="s">
        <v>704</v>
      </c>
      <c r="O201" t="s">
        <v>711</v>
      </c>
      <c r="P201" t="s">
        <v>713</v>
      </c>
      <c r="Q201" t="s">
        <v>728</v>
      </c>
      <c r="R201" t="s">
        <v>933</v>
      </c>
      <c r="S201" s="5">
        <v>1320.33</v>
      </c>
      <c r="T201" s="5">
        <v>2645.23</v>
      </c>
      <c r="U201" s="5" t="str">
        <f t="shared" si="66"/>
        <v>Valid</v>
      </c>
      <c r="V201" s="5">
        <f t="shared" si="57"/>
        <v>2645.23</v>
      </c>
      <c r="W201" s="5" t="str">
        <f t="shared" si="67"/>
        <v>High</v>
      </c>
      <c r="X201" s="5">
        <v>0.155</v>
      </c>
      <c r="Y201" s="5" t="str">
        <f t="shared" si="68"/>
        <v>Valid</v>
      </c>
      <c r="Z201" s="5">
        <f t="shared" si="69"/>
        <v>0.155</v>
      </c>
      <c r="AA201" s="5">
        <v>25</v>
      </c>
      <c r="AB201">
        <f t="shared" si="70"/>
        <v>55880.483749999999</v>
      </c>
      <c r="AC201">
        <f t="shared" si="58"/>
        <v>33008.25</v>
      </c>
      <c r="AD201">
        <f t="shared" si="71"/>
        <v>22872.233749999999</v>
      </c>
      <c r="AE201">
        <f t="shared" si="72"/>
        <v>0.40930629470436536</v>
      </c>
      <c r="AF201">
        <f t="shared" si="73"/>
        <v>0</v>
      </c>
      <c r="AG201">
        <f t="shared" si="74"/>
        <v>0</v>
      </c>
      <c r="AK201">
        <f>AA201*(1+What_if_Analysis!$B$4)</f>
        <v>30</v>
      </c>
      <c r="AL201" s="5">
        <f>MIN(Z201,What_if_Analysis!$B$2)</f>
        <v>0.05</v>
      </c>
      <c r="AM201">
        <f t="shared" si="75"/>
        <v>75389.054999999993</v>
      </c>
      <c r="AN201">
        <f>AM201-(AK201*(T201*(1+What_if_Analysis!$B$3)))</f>
        <v>-11903.535000000018</v>
      </c>
    </row>
    <row r="202" spans="1:40" x14ac:dyDescent="0.3">
      <c r="A202" t="s">
        <v>214</v>
      </c>
      <c r="B202" s="3">
        <v>44939</v>
      </c>
      <c r="C202" s="3" t="str">
        <f t="shared" si="59"/>
        <v>Jan-2023</v>
      </c>
      <c r="D202" s="3" t="str">
        <f t="shared" si="60"/>
        <v>Q1-2023</v>
      </c>
      <c r="E202" s="3">
        <v>44945</v>
      </c>
      <c r="F202" s="3" t="str">
        <f t="shared" si="61"/>
        <v>Valid</v>
      </c>
      <c r="G202" s="12">
        <f t="shared" si="62"/>
        <v>6</v>
      </c>
      <c r="H202" s="3">
        <f t="shared" si="63"/>
        <v>44945</v>
      </c>
      <c r="I202" t="s">
        <v>648</v>
      </c>
      <c r="J202" t="str">
        <f t="shared" si="64"/>
        <v>Americas → USA → Chicago</v>
      </c>
      <c r="K202" s="3" t="str">
        <f t="shared" si="65"/>
        <v>USA-2023-01</v>
      </c>
      <c r="L202" t="s">
        <v>660</v>
      </c>
      <c r="M202" t="s">
        <v>677</v>
      </c>
      <c r="N202" t="s">
        <v>701</v>
      </c>
      <c r="O202" t="s">
        <v>711</v>
      </c>
      <c r="P202" t="s">
        <v>722</v>
      </c>
      <c r="Q202" t="s">
        <v>730</v>
      </c>
      <c r="R202" t="s">
        <v>934</v>
      </c>
      <c r="S202" s="5">
        <v>833.57</v>
      </c>
      <c r="T202" s="5">
        <v>881.57</v>
      </c>
      <c r="U202" s="5" t="str">
        <f t="shared" si="66"/>
        <v>Valid</v>
      </c>
      <c r="V202" s="5">
        <f t="shared" si="57"/>
        <v>881.57</v>
      </c>
      <c r="W202" s="5" t="str">
        <f t="shared" si="67"/>
        <v>Medium</v>
      </c>
      <c r="X202" s="5">
        <v>5.7000000000000002E-2</v>
      </c>
      <c r="Y202" s="5" t="str">
        <f t="shared" si="68"/>
        <v>Valid</v>
      </c>
      <c r="Z202" s="5">
        <f t="shared" si="69"/>
        <v>5.7000000000000002E-2</v>
      </c>
      <c r="AA202" s="5">
        <v>18</v>
      </c>
      <c r="AB202">
        <f t="shared" si="70"/>
        <v>14963.769179999999</v>
      </c>
      <c r="AC202">
        <f t="shared" si="58"/>
        <v>15004.26</v>
      </c>
      <c r="AD202">
        <f t="shared" si="71"/>
        <v>-40.490820000000895</v>
      </c>
      <c r="AE202">
        <f t="shared" si="72"/>
        <v>-2.7059238560107821E-3</v>
      </c>
      <c r="AF202">
        <f t="shared" si="73"/>
        <v>1</v>
      </c>
      <c r="AG202">
        <f t="shared" si="74"/>
        <v>0</v>
      </c>
      <c r="AK202">
        <f>AA202*(1+What_if_Analysis!$B$4)</f>
        <v>21.599999999999998</v>
      </c>
      <c r="AL202" s="5">
        <f>MIN(Z202,What_if_Analysis!$B$2)</f>
        <v>0.05</v>
      </c>
      <c r="AM202">
        <f t="shared" si="75"/>
        <v>18089.8164</v>
      </c>
      <c r="AN202">
        <f>AM202-(AK202*(T202*(1+What_if_Analysis!$B$3)))</f>
        <v>-2856.2868000000017</v>
      </c>
    </row>
    <row r="203" spans="1:40" x14ac:dyDescent="0.3">
      <c r="A203" t="s">
        <v>215</v>
      </c>
      <c r="B203" s="3">
        <v>45303</v>
      </c>
      <c r="C203" s="3" t="str">
        <f t="shared" si="59"/>
        <v>Jan-2024</v>
      </c>
      <c r="D203" s="3" t="str">
        <f t="shared" si="60"/>
        <v>Q1-2024</v>
      </c>
      <c r="E203" s="3">
        <v>45320</v>
      </c>
      <c r="F203" s="3" t="str">
        <f t="shared" si="61"/>
        <v>Valid</v>
      </c>
      <c r="G203" s="12">
        <f t="shared" si="62"/>
        <v>17</v>
      </c>
      <c r="H203" s="3">
        <f t="shared" si="63"/>
        <v>45320</v>
      </c>
      <c r="I203" t="s">
        <v>648</v>
      </c>
      <c r="J203" t="str">
        <f t="shared" si="64"/>
        <v>Americas → USA → Chicago</v>
      </c>
      <c r="K203" s="3" t="str">
        <f t="shared" si="65"/>
        <v>USA-2024-01</v>
      </c>
      <c r="L203" t="s">
        <v>660</v>
      </c>
      <c r="M203" t="s">
        <v>677</v>
      </c>
      <c r="N203" t="s">
        <v>702</v>
      </c>
      <c r="O203" t="s">
        <v>710</v>
      </c>
      <c r="P203" t="s">
        <v>720</v>
      </c>
      <c r="Q203" t="s">
        <v>728</v>
      </c>
      <c r="R203" t="s">
        <v>935</v>
      </c>
      <c r="S203" s="5">
        <v>493.76</v>
      </c>
      <c r="T203" s="5">
        <v>625.04</v>
      </c>
      <c r="U203" s="5" t="str">
        <f t="shared" si="66"/>
        <v>Valid</v>
      </c>
      <c r="V203" s="5">
        <f t="shared" si="57"/>
        <v>625.04</v>
      </c>
      <c r="W203" s="5" t="str">
        <f t="shared" si="67"/>
        <v>Medium</v>
      </c>
      <c r="X203" s="5">
        <v>0.25800000000000001</v>
      </c>
      <c r="Y203" s="5" t="str">
        <f t="shared" si="68"/>
        <v>Valid</v>
      </c>
      <c r="Z203" s="5">
        <f t="shared" si="69"/>
        <v>0.25800000000000001</v>
      </c>
      <c r="AA203" s="5">
        <v>10</v>
      </c>
      <c r="AB203">
        <f t="shared" si="70"/>
        <v>4637.7968000000001</v>
      </c>
      <c r="AC203">
        <f t="shared" si="58"/>
        <v>4937.6000000000004</v>
      </c>
      <c r="AD203">
        <f t="shared" si="71"/>
        <v>-299.80320000000029</v>
      </c>
      <c r="AE203">
        <f t="shared" si="72"/>
        <v>-6.464345311549663E-2</v>
      </c>
      <c r="AF203">
        <f t="shared" si="73"/>
        <v>0</v>
      </c>
      <c r="AG203">
        <f t="shared" si="74"/>
        <v>1</v>
      </c>
      <c r="AK203">
        <f>AA203*(1+What_if_Analysis!$B$4)</f>
        <v>12</v>
      </c>
      <c r="AL203" s="5">
        <f>MIN(Z203,What_if_Analysis!$B$2)</f>
        <v>0.05</v>
      </c>
      <c r="AM203">
        <f t="shared" si="75"/>
        <v>7125.4559999999992</v>
      </c>
      <c r="AN203">
        <f>AM203-(AK203*(T203*(1+What_if_Analysis!$B$3)))</f>
        <v>-1125.072000000001</v>
      </c>
    </row>
    <row r="204" spans="1:40" x14ac:dyDescent="0.3">
      <c r="A204" t="s">
        <v>216</v>
      </c>
      <c r="B204" s="3">
        <v>45153</v>
      </c>
      <c r="C204" s="3" t="str">
        <f t="shared" si="59"/>
        <v>Aug-2023</v>
      </c>
      <c r="D204" s="3" t="str">
        <f t="shared" si="60"/>
        <v>Q3-2023</v>
      </c>
      <c r="E204" s="3">
        <v>45176</v>
      </c>
      <c r="F204" s="3" t="str">
        <f t="shared" si="61"/>
        <v>Valid</v>
      </c>
      <c r="G204" s="12">
        <f t="shared" si="62"/>
        <v>23</v>
      </c>
      <c r="H204" s="3">
        <f t="shared" si="63"/>
        <v>45176</v>
      </c>
      <c r="I204" t="s">
        <v>648</v>
      </c>
      <c r="J204" t="str">
        <f t="shared" si="64"/>
        <v>Americas → USA → New York</v>
      </c>
      <c r="K204" s="3" t="str">
        <f t="shared" si="65"/>
        <v>USA-2023-08</v>
      </c>
      <c r="L204" t="s">
        <v>660</v>
      </c>
      <c r="M204" t="s">
        <v>700</v>
      </c>
      <c r="N204" t="s">
        <v>706</v>
      </c>
      <c r="O204" t="s">
        <v>708</v>
      </c>
      <c r="P204" t="s">
        <v>723</v>
      </c>
      <c r="Q204" t="s">
        <v>730</v>
      </c>
      <c r="R204" t="s">
        <v>936</v>
      </c>
      <c r="S204" s="5">
        <v>590.33000000000004</v>
      </c>
      <c r="T204" s="5">
        <v>973.04</v>
      </c>
      <c r="U204" s="5" t="str">
        <f t="shared" si="66"/>
        <v>Valid</v>
      </c>
      <c r="V204" s="5">
        <f t="shared" si="57"/>
        <v>973.04</v>
      </c>
      <c r="W204" s="5" t="str">
        <f t="shared" si="67"/>
        <v>Medium</v>
      </c>
      <c r="X204" s="5">
        <v>0</v>
      </c>
      <c r="Y204" s="5" t="str">
        <f t="shared" si="68"/>
        <v>Valid</v>
      </c>
      <c r="Z204" s="5">
        <f t="shared" si="69"/>
        <v>0</v>
      </c>
      <c r="AA204" s="5">
        <v>26</v>
      </c>
      <c r="AB204">
        <f t="shared" si="70"/>
        <v>25299.040000000001</v>
      </c>
      <c r="AC204">
        <f t="shared" si="58"/>
        <v>15348.580000000002</v>
      </c>
      <c r="AD204">
        <f t="shared" si="71"/>
        <v>9950.4599999999991</v>
      </c>
      <c r="AE204">
        <f t="shared" si="72"/>
        <v>0.39331373838691108</v>
      </c>
      <c r="AF204">
        <f t="shared" si="73"/>
        <v>0</v>
      </c>
      <c r="AG204">
        <f t="shared" si="74"/>
        <v>0</v>
      </c>
      <c r="AK204">
        <f>AA204*(1+What_if_Analysis!$B$4)</f>
        <v>31.2</v>
      </c>
      <c r="AL204" s="5">
        <f>MIN(Z204,What_if_Analysis!$B$2)</f>
        <v>0</v>
      </c>
      <c r="AM204">
        <f t="shared" si="75"/>
        <v>30358.847999999998</v>
      </c>
      <c r="AN204">
        <f>AM204-(AK204*(T204*(1+What_if_Analysis!$B$3)))</f>
        <v>-3035.8847999999998</v>
      </c>
    </row>
    <row r="205" spans="1:40" x14ac:dyDescent="0.3">
      <c r="A205" t="s">
        <v>217</v>
      </c>
      <c r="B205" s="3">
        <v>44946</v>
      </c>
      <c r="C205" s="3" t="str">
        <f t="shared" si="59"/>
        <v>Jan-2023</v>
      </c>
      <c r="D205" s="3" t="str">
        <f t="shared" si="60"/>
        <v>Q1-2023</v>
      </c>
      <c r="E205" s="3">
        <v>44960</v>
      </c>
      <c r="F205" s="3" t="str">
        <f t="shared" si="61"/>
        <v>Valid</v>
      </c>
      <c r="G205" s="12">
        <f t="shared" si="62"/>
        <v>14</v>
      </c>
      <c r="H205" s="3">
        <f t="shared" si="63"/>
        <v>44960</v>
      </c>
      <c r="I205" t="s">
        <v>646</v>
      </c>
      <c r="J205" t="str">
        <f t="shared" si="64"/>
        <v>Africa → Kenya → Kisumu</v>
      </c>
      <c r="K205" s="3" t="str">
        <f t="shared" si="65"/>
        <v>Kenya-2023-01</v>
      </c>
      <c r="L205" t="s">
        <v>650</v>
      </c>
      <c r="M205" t="s">
        <v>662</v>
      </c>
      <c r="N205" t="s">
        <v>701</v>
      </c>
      <c r="O205" t="s">
        <v>707</v>
      </c>
      <c r="P205" t="s">
        <v>724</v>
      </c>
      <c r="Q205" t="s">
        <v>729</v>
      </c>
      <c r="R205" t="s">
        <v>937</v>
      </c>
      <c r="S205" s="5">
        <v>884.36</v>
      </c>
      <c r="T205" s="5">
        <v>1545.34</v>
      </c>
      <c r="U205" s="5" t="str">
        <f t="shared" si="66"/>
        <v>Valid</v>
      </c>
      <c r="V205" s="5">
        <f t="shared" si="57"/>
        <v>1545.34</v>
      </c>
      <c r="W205" s="5" t="str">
        <f t="shared" si="67"/>
        <v>Medium</v>
      </c>
      <c r="X205" s="5">
        <v>0.24299999999999999</v>
      </c>
      <c r="Y205" s="5" t="str">
        <f t="shared" si="68"/>
        <v>Valid</v>
      </c>
      <c r="Z205" s="5">
        <f t="shared" si="69"/>
        <v>0.24299999999999999</v>
      </c>
      <c r="AA205" s="5">
        <v>41</v>
      </c>
      <c r="AB205">
        <f t="shared" si="70"/>
        <v>47962.717579999997</v>
      </c>
      <c r="AC205">
        <f t="shared" si="58"/>
        <v>36258.76</v>
      </c>
      <c r="AD205">
        <f t="shared" si="71"/>
        <v>11703.957579999995</v>
      </c>
      <c r="AE205">
        <f t="shared" si="72"/>
        <v>0.24402198562827965</v>
      </c>
      <c r="AF205">
        <f t="shared" si="73"/>
        <v>0</v>
      </c>
      <c r="AG205">
        <f t="shared" si="74"/>
        <v>1</v>
      </c>
      <c r="AK205">
        <f>AA205*(1+What_if_Analysis!$B$4)</f>
        <v>49.199999999999996</v>
      </c>
      <c r="AL205" s="5">
        <f>MIN(Z205,What_if_Analysis!$B$2)</f>
        <v>0.05</v>
      </c>
      <c r="AM205">
        <f t="shared" si="75"/>
        <v>72229.191599999991</v>
      </c>
      <c r="AN205">
        <f>AM205-(AK205*(T205*(1+What_if_Analysis!$B$3)))</f>
        <v>-11404.609200000006</v>
      </c>
    </row>
    <row r="206" spans="1:40" x14ac:dyDescent="0.3">
      <c r="A206" t="s">
        <v>218</v>
      </c>
      <c r="B206" s="3">
        <v>45692</v>
      </c>
      <c r="C206" s="3" t="str">
        <f t="shared" si="59"/>
        <v>Feb-2025</v>
      </c>
      <c r="D206" s="3" t="str">
        <f t="shared" si="60"/>
        <v>Q1-2025</v>
      </c>
      <c r="E206" s="3">
        <v>45713</v>
      </c>
      <c r="F206" s="3" t="str">
        <f t="shared" si="61"/>
        <v>Valid</v>
      </c>
      <c r="G206" s="12">
        <f t="shared" si="62"/>
        <v>21</v>
      </c>
      <c r="H206" s="3">
        <f t="shared" si="63"/>
        <v>45713</v>
      </c>
      <c r="I206" t="s">
        <v>649</v>
      </c>
      <c r="J206" t="str">
        <f t="shared" si="64"/>
        <v>Europe → United Kingdom → Birmingham</v>
      </c>
      <c r="K206" s="3" t="str">
        <f t="shared" si="65"/>
        <v>United Kingdom-2025-02</v>
      </c>
      <c r="L206" t="s">
        <v>658</v>
      </c>
      <c r="M206" t="s">
        <v>674</v>
      </c>
      <c r="N206" t="s">
        <v>701</v>
      </c>
      <c r="O206" t="s">
        <v>709</v>
      </c>
      <c r="P206" t="s">
        <v>726</v>
      </c>
      <c r="Q206" t="s">
        <v>732</v>
      </c>
      <c r="R206" t="s">
        <v>938</v>
      </c>
      <c r="S206" s="5">
        <v>1016.32</v>
      </c>
      <c r="T206" s="5">
        <v>2253.42</v>
      </c>
      <c r="U206" s="5" t="str">
        <f t="shared" si="66"/>
        <v>Valid</v>
      </c>
      <c r="V206" s="5">
        <f t="shared" si="57"/>
        <v>2253.42</v>
      </c>
      <c r="W206" s="5" t="str">
        <f t="shared" si="67"/>
        <v>High</v>
      </c>
      <c r="X206" s="5">
        <v>5.5E-2</v>
      </c>
      <c r="Y206" s="5" t="str">
        <f t="shared" si="68"/>
        <v>Valid</v>
      </c>
      <c r="Z206" s="5">
        <f t="shared" si="69"/>
        <v>5.5E-2</v>
      </c>
      <c r="AA206" s="5">
        <v>12</v>
      </c>
      <c r="AB206">
        <f t="shared" si="70"/>
        <v>25553.782800000001</v>
      </c>
      <c r="AC206">
        <f t="shared" si="58"/>
        <v>12195.84</v>
      </c>
      <c r="AD206">
        <f t="shared" si="71"/>
        <v>13357.942800000001</v>
      </c>
      <c r="AE206">
        <f t="shared" si="72"/>
        <v>0.52273837124419797</v>
      </c>
      <c r="AF206">
        <f t="shared" si="73"/>
        <v>0</v>
      </c>
      <c r="AG206">
        <f t="shared" si="74"/>
        <v>0</v>
      </c>
      <c r="AK206">
        <f>AA206*(1+What_if_Analysis!$B$4)</f>
        <v>14.399999999999999</v>
      </c>
      <c r="AL206" s="5">
        <f>MIN(Z206,What_if_Analysis!$B$2)</f>
        <v>0.05</v>
      </c>
      <c r="AM206">
        <f t="shared" si="75"/>
        <v>30826.785599999999</v>
      </c>
      <c r="AN206">
        <f>AM206-(AK206*(T206*(1+What_if_Analysis!$B$3)))</f>
        <v>-4867.387200000001</v>
      </c>
    </row>
    <row r="207" spans="1:40" x14ac:dyDescent="0.3">
      <c r="A207" t="s">
        <v>219</v>
      </c>
      <c r="B207" s="3">
        <v>45035</v>
      </c>
      <c r="C207" s="3" t="str">
        <f t="shared" si="59"/>
        <v>Apr-2023</v>
      </c>
      <c r="D207" s="3" t="str">
        <f t="shared" si="60"/>
        <v>Q2-2023</v>
      </c>
      <c r="E207" s="3">
        <v>45044</v>
      </c>
      <c r="F207" s="3" t="str">
        <f t="shared" si="61"/>
        <v>Valid</v>
      </c>
      <c r="G207" s="12">
        <f t="shared" si="62"/>
        <v>9</v>
      </c>
      <c r="H207" s="3">
        <f t="shared" si="63"/>
        <v>45044</v>
      </c>
      <c r="I207" t="s">
        <v>649</v>
      </c>
      <c r="J207" t="str">
        <f t="shared" si="64"/>
        <v>Europe → Germany → Berlin</v>
      </c>
      <c r="K207" s="3" t="str">
        <f t="shared" si="65"/>
        <v>Germany-2023-04</v>
      </c>
      <c r="L207" t="s">
        <v>656</v>
      </c>
      <c r="M207" t="s">
        <v>671</v>
      </c>
      <c r="N207" t="s">
        <v>702</v>
      </c>
      <c r="O207" t="s">
        <v>708</v>
      </c>
      <c r="P207" t="s">
        <v>718</v>
      </c>
      <c r="Q207" t="s">
        <v>732</v>
      </c>
      <c r="R207" t="s">
        <v>939</v>
      </c>
      <c r="S207" s="5">
        <v>1178.42</v>
      </c>
      <c r="T207" s="5">
        <v>2446.56</v>
      </c>
      <c r="U207" s="5" t="str">
        <f t="shared" si="66"/>
        <v>Valid</v>
      </c>
      <c r="V207" s="5">
        <f t="shared" si="57"/>
        <v>2446.56</v>
      </c>
      <c r="W207" s="5" t="str">
        <f t="shared" si="67"/>
        <v>High</v>
      </c>
      <c r="X207" s="5">
        <v>2.9000000000000001E-2</v>
      </c>
      <c r="Y207" s="5" t="str">
        <f t="shared" si="68"/>
        <v>Valid</v>
      </c>
      <c r="Z207" s="5">
        <f t="shared" si="69"/>
        <v>2.9000000000000001E-2</v>
      </c>
      <c r="AA207" s="5">
        <v>11</v>
      </c>
      <c r="AB207">
        <f t="shared" si="70"/>
        <v>26131.70736</v>
      </c>
      <c r="AC207">
        <f t="shared" si="58"/>
        <v>12962.62</v>
      </c>
      <c r="AD207">
        <f t="shared" si="71"/>
        <v>13169.08736</v>
      </c>
      <c r="AE207">
        <f t="shared" si="72"/>
        <v>0.5039505141618883</v>
      </c>
      <c r="AF207">
        <f t="shared" si="73"/>
        <v>0</v>
      </c>
      <c r="AG207">
        <f t="shared" si="74"/>
        <v>0</v>
      </c>
      <c r="AK207">
        <f>AA207*(1+What_if_Analysis!$B$4)</f>
        <v>13.2</v>
      </c>
      <c r="AL207" s="5">
        <f>MIN(Z207,What_if_Analysis!$B$2)</f>
        <v>2.9000000000000001E-2</v>
      </c>
      <c r="AM207">
        <f t="shared" si="75"/>
        <v>31358.048831999997</v>
      </c>
      <c r="AN207">
        <f>AM207-(AK207*(T207*(1+What_if_Analysis!$B$3)))</f>
        <v>-4166.0023680000049</v>
      </c>
    </row>
    <row r="208" spans="1:40" x14ac:dyDescent="0.3">
      <c r="A208" t="s">
        <v>220</v>
      </c>
      <c r="B208" s="3">
        <v>45109</v>
      </c>
      <c r="C208" s="3" t="str">
        <f t="shared" si="59"/>
        <v>Jul-2023</v>
      </c>
      <c r="D208" s="3" t="str">
        <f t="shared" si="60"/>
        <v>Q3-2023</v>
      </c>
      <c r="E208" s="3">
        <v>45139</v>
      </c>
      <c r="F208" s="3" t="str">
        <f t="shared" si="61"/>
        <v>Valid</v>
      </c>
      <c r="G208" s="12">
        <f t="shared" si="62"/>
        <v>30</v>
      </c>
      <c r="H208" s="3">
        <f t="shared" si="63"/>
        <v>45139</v>
      </c>
      <c r="I208" t="s">
        <v>649</v>
      </c>
      <c r="J208" t="str">
        <f t="shared" si="64"/>
        <v>Europe → United Kingdom → Birmingham</v>
      </c>
      <c r="K208" s="3" t="str">
        <f t="shared" si="65"/>
        <v>United Kingdom-2023-07</v>
      </c>
      <c r="L208" t="s">
        <v>658</v>
      </c>
      <c r="M208" t="s">
        <v>674</v>
      </c>
      <c r="N208" t="s">
        <v>705</v>
      </c>
      <c r="O208" t="s">
        <v>707</v>
      </c>
      <c r="P208" t="s">
        <v>717</v>
      </c>
      <c r="Q208" t="s">
        <v>727</v>
      </c>
      <c r="R208" t="s">
        <v>940</v>
      </c>
      <c r="S208" s="5">
        <v>137.46</v>
      </c>
      <c r="T208" s="5">
        <v>188.3</v>
      </c>
      <c r="U208" s="5" t="str">
        <f t="shared" si="66"/>
        <v>Valid</v>
      </c>
      <c r="V208" s="5">
        <f t="shared" si="57"/>
        <v>188.3</v>
      </c>
      <c r="W208" s="5" t="str">
        <f t="shared" si="67"/>
        <v>Low</v>
      </c>
      <c r="X208" s="5">
        <v>3.7999999999999999E-2</v>
      </c>
      <c r="Y208" s="5" t="str">
        <f t="shared" si="68"/>
        <v>Valid</v>
      </c>
      <c r="Z208" s="5">
        <f t="shared" si="69"/>
        <v>3.7999999999999999E-2</v>
      </c>
      <c r="AA208" s="5">
        <v>37</v>
      </c>
      <c r="AB208">
        <f t="shared" si="70"/>
        <v>6702.3501999999999</v>
      </c>
      <c r="AC208">
        <f t="shared" si="58"/>
        <v>5086.0200000000004</v>
      </c>
      <c r="AD208">
        <f t="shared" si="71"/>
        <v>1616.3301999999994</v>
      </c>
      <c r="AE208">
        <f t="shared" si="72"/>
        <v>0.24115872071262398</v>
      </c>
      <c r="AF208">
        <f t="shared" si="73"/>
        <v>0</v>
      </c>
      <c r="AG208">
        <f t="shared" si="74"/>
        <v>0</v>
      </c>
      <c r="AK208">
        <f>AA208*(1+What_if_Analysis!$B$4)</f>
        <v>44.4</v>
      </c>
      <c r="AL208" s="5">
        <f>MIN(Z208,What_if_Analysis!$B$2)</f>
        <v>3.7999999999999999E-2</v>
      </c>
      <c r="AM208">
        <f t="shared" si="75"/>
        <v>8042.82024</v>
      </c>
      <c r="AN208">
        <f>AM208-(AK208*(T208*(1+What_if_Analysis!$B$3)))</f>
        <v>-1153.7517600000001</v>
      </c>
    </row>
    <row r="209" spans="1:40" x14ac:dyDescent="0.3">
      <c r="A209" t="s">
        <v>221</v>
      </c>
      <c r="B209" s="3">
        <v>45678</v>
      </c>
      <c r="C209" s="3" t="str">
        <f t="shared" si="59"/>
        <v>Jan-2025</v>
      </c>
      <c r="D209" s="3" t="str">
        <f t="shared" si="60"/>
        <v>Q1-2025</v>
      </c>
      <c r="E209" s="3">
        <v>45702</v>
      </c>
      <c r="F209" s="3" t="str">
        <f t="shared" si="61"/>
        <v>Valid</v>
      </c>
      <c r="G209" s="12">
        <f t="shared" si="62"/>
        <v>24</v>
      </c>
      <c r="H209" s="3">
        <f t="shared" si="63"/>
        <v>45702</v>
      </c>
      <c r="I209" t="s">
        <v>646</v>
      </c>
      <c r="J209" t="str">
        <f t="shared" si="64"/>
        <v>Africa → Kenya → Nairobi</v>
      </c>
      <c r="K209" s="3" t="str">
        <f t="shared" si="65"/>
        <v>Kenya-2025-01</v>
      </c>
      <c r="L209" t="s">
        <v>650</v>
      </c>
      <c r="M209" t="s">
        <v>664</v>
      </c>
      <c r="N209" t="s">
        <v>705</v>
      </c>
      <c r="O209" t="s">
        <v>707</v>
      </c>
      <c r="P209" t="s">
        <v>713</v>
      </c>
      <c r="Q209" t="s">
        <v>733</v>
      </c>
      <c r="R209" t="s">
        <v>941</v>
      </c>
      <c r="S209" s="5">
        <v>1030.44</v>
      </c>
      <c r="T209" s="5">
        <v>2562.84</v>
      </c>
      <c r="U209" s="5" t="str">
        <f t="shared" si="66"/>
        <v>Valid</v>
      </c>
      <c r="V209" s="5">
        <f t="shared" si="57"/>
        <v>2562.84</v>
      </c>
      <c r="W209" s="5" t="str">
        <f t="shared" si="67"/>
        <v>High</v>
      </c>
      <c r="X209" s="5">
        <v>0.14799999999999999</v>
      </c>
      <c r="Y209" s="5" t="str">
        <f t="shared" si="68"/>
        <v>Valid</v>
      </c>
      <c r="Z209" s="5">
        <f t="shared" si="69"/>
        <v>0.14799999999999999</v>
      </c>
      <c r="AA209" s="5">
        <v>13</v>
      </c>
      <c r="AB209">
        <f t="shared" si="70"/>
        <v>28386.015839999996</v>
      </c>
      <c r="AC209">
        <f t="shared" si="58"/>
        <v>13395.720000000001</v>
      </c>
      <c r="AD209">
        <f t="shared" si="71"/>
        <v>14990.295839999995</v>
      </c>
      <c r="AE209">
        <f t="shared" si="72"/>
        <v>0.52808734852027039</v>
      </c>
      <c r="AF209">
        <f t="shared" si="73"/>
        <v>0</v>
      </c>
      <c r="AG209">
        <f t="shared" si="74"/>
        <v>0</v>
      </c>
      <c r="AK209">
        <f>AA209*(1+What_if_Analysis!$B$4)</f>
        <v>15.6</v>
      </c>
      <c r="AL209" s="5">
        <f>MIN(Z209,What_if_Analysis!$B$2)</f>
        <v>0.05</v>
      </c>
      <c r="AM209">
        <f t="shared" si="75"/>
        <v>37981.288800000002</v>
      </c>
      <c r="AN209">
        <f>AM209-(AK209*(T209*(1+What_if_Analysis!$B$3)))</f>
        <v>-5997.0455999999976</v>
      </c>
    </row>
    <row r="210" spans="1:40" x14ac:dyDescent="0.3">
      <c r="A210" t="s">
        <v>222</v>
      </c>
      <c r="B210" s="3">
        <v>45545</v>
      </c>
      <c r="C210" s="3" t="str">
        <f t="shared" si="59"/>
        <v>Sept-2024</v>
      </c>
      <c r="D210" s="3" t="str">
        <f t="shared" si="60"/>
        <v>Q3-2024</v>
      </c>
      <c r="E210" s="3">
        <v>45572</v>
      </c>
      <c r="F210" s="3" t="str">
        <f t="shared" si="61"/>
        <v>Valid</v>
      </c>
      <c r="G210" s="12">
        <f t="shared" si="62"/>
        <v>27</v>
      </c>
      <c r="H210" s="3">
        <f t="shared" si="63"/>
        <v>45572</v>
      </c>
      <c r="I210" t="s">
        <v>646</v>
      </c>
      <c r="J210" t="str">
        <f t="shared" si="64"/>
        <v>Africa → Kenya → Kisumu</v>
      </c>
      <c r="K210" s="3" t="str">
        <f t="shared" si="65"/>
        <v>Kenya-2024-09</v>
      </c>
      <c r="L210" t="s">
        <v>650</v>
      </c>
      <c r="M210" t="s">
        <v>662</v>
      </c>
      <c r="N210" t="s">
        <v>704</v>
      </c>
      <c r="O210" t="s">
        <v>707</v>
      </c>
      <c r="P210" t="s">
        <v>716</v>
      </c>
      <c r="Q210" t="s">
        <v>728</v>
      </c>
      <c r="R210" t="s">
        <v>942</v>
      </c>
      <c r="S210" s="5">
        <v>1248.3900000000001</v>
      </c>
      <c r="T210" s="5">
        <v>1805.11</v>
      </c>
      <c r="U210" s="5" t="str">
        <f t="shared" si="66"/>
        <v>Valid</v>
      </c>
      <c r="V210" s="5">
        <f t="shared" si="57"/>
        <v>1805.11</v>
      </c>
      <c r="W210" s="5" t="str">
        <f t="shared" si="67"/>
        <v>Medium</v>
      </c>
      <c r="X210" s="5">
        <v>0.20300000000000001</v>
      </c>
      <c r="Y210" s="5" t="str">
        <f t="shared" si="68"/>
        <v>Valid</v>
      </c>
      <c r="Z210" s="5">
        <f t="shared" si="69"/>
        <v>0.20300000000000001</v>
      </c>
      <c r="AA210" s="5">
        <v>11</v>
      </c>
      <c r="AB210">
        <f t="shared" si="70"/>
        <v>15825.399369999997</v>
      </c>
      <c r="AC210">
        <f t="shared" si="58"/>
        <v>13732.29</v>
      </c>
      <c r="AD210">
        <f t="shared" si="71"/>
        <v>2093.1093699999965</v>
      </c>
      <c r="AE210">
        <f t="shared" si="72"/>
        <v>0.13226265707820786</v>
      </c>
      <c r="AF210">
        <f t="shared" si="73"/>
        <v>0</v>
      </c>
      <c r="AG210">
        <f t="shared" si="74"/>
        <v>1</v>
      </c>
      <c r="AK210">
        <f>AA210*(1+What_if_Analysis!$B$4)</f>
        <v>13.2</v>
      </c>
      <c r="AL210" s="5">
        <f>MIN(Z210,What_if_Analysis!$B$2)</f>
        <v>0.05</v>
      </c>
      <c r="AM210">
        <f t="shared" si="75"/>
        <v>22636.079399999995</v>
      </c>
      <c r="AN210">
        <f>AM210-(AK210*(T210*(1+What_if_Analysis!$B$3)))</f>
        <v>-3574.1178000000036</v>
      </c>
    </row>
    <row r="211" spans="1:40" x14ac:dyDescent="0.3">
      <c r="A211" t="s">
        <v>223</v>
      </c>
      <c r="B211" s="3">
        <v>45859</v>
      </c>
      <c r="C211" s="3" t="str">
        <f t="shared" si="59"/>
        <v>Jul-2025</v>
      </c>
      <c r="D211" s="3" t="str">
        <f t="shared" si="60"/>
        <v>Q3-2025</v>
      </c>
      <c r="E211" s="3">
        <v>45876</v>
      </c>
      <c r="F211" s="3" t="str">
        <f t="shared" si="61"/>
        <v>Valid</v>
      </c>
      <c r="G211" s="12">
        <f t="shared" si="62"/>
        <v>17</v>
      </c>
      <c r="H211" s="3">
        <f t="shared" si="63"/>
        <v>45876</v>
      </c>
      <c r="I211" t="s">
        <v>646</v>
      </c>
      <c r="J211" t="str">
        <f t="shared" si="64"/>
        <v>Africa → Nigeria → Lagos</v>
      </c>
      <c r="K211" s="3" t="str">
        <f t="shared" si="65"/>
        <v>Nigeria-2025-07</v>
      </c>
      <c r="L211" t="s">
        <v>651</v>
      </c>
      <c r="M211" t="s">
        <v>665</v>
      </c>
      <c r="N211" t="s">
        <v>706</v>
      </c>
      <c r="O211" t="s">
        <v>711</v>
      </c>
      <c r="P211" t="s">
        <v>724</v>
      </c>
      <c r="Q211" t="s">
        <v>733</v>
      </c>
      <c r="R211" t="s">
        <v>943</v>
      </c>
      <c r="S211" s="5">
        <v>1204.95</v>
      </c>
      <c r="T211" s="5">
        <v>2065.73</v>
      </c>
      <c r="U211" s="5" t="str">
        <f t="shared" si="66"/>
        <v>Valid</v>
      </c>
      <c r="V211" s="5">
        <f t="shared" si="57"/>
        <v>2065.73</v>
      </c>
      <c r="W211" s="5" t="str">
        <f t="shared" si="67"/>
        <v>High</v>
      </c>
      <c r="X211" s="5">
        <v>0.13600000000000001</v>
      </c>
      <c r="Y211" s="5" t="str">
        <f t="shared" si="68"/>
        <v>Valid</v>
      </c>
      <c r="Z211" s="5">
        <f t="shared" si="69"/>
        <v>0.13600000000000001</v>
      </c>
      <c r="AA211" s="5">
        <v>10</v>
      </c>
      <c r="AB211">
        <f t="shared" si="70"/>
        <v>17847.907199999998</v>
      </c>
      <c r="AC211">
        <f t="shared" si="58"/>
        <v>12049.5</v>
      </c>
      <c r="AD211">
        <f t="shared" si="71"/>
        <v>5798.4071999999978</v>
      </c>
      <c r="AE211">
        <f t="shared" si="72"/>
        <v>0.32487882949100039</v>
      </c>
      <c r="AF211">
        <f t="shared" si="73"/>
        <v>0</v>
      </c>
      <c r="AG211">
        <f t="shared" si="74"/>
        <v>0</v>
      </c>
      <c r="AK211">
        <f>AA211*(1+What_if_Analysis!$B$4)</f>
        <v>12</v>
      </c>
      <c r="AL211" s="5">
        <f>MIN(Z211,What_if_Analysis!$B$2)</f>
        <v>0.05</v>
      </c>
      <c r="AM211">
        <f t="shared" si="75"/>
        <v>23549.322</v>
      </c>
      <c r="AN211">
        <f>AM211-(AK211*(T211*(1+What_if_Analysis!$B$3)))</f>
        <v>-3718.3140000000058</v>
      </c>
    </row>
    <row r="212" spans="1:40" x14ac:dyDescent="0.3">
      <c r="A212" t="s">
        <v>224</v>
      </c>
      <c r="B212" s="3">
        <v>45567</v>
      </c>
      <c r="C212" s="3" t="str">
        <f t="shared" si="59"/>
        <v>Oct-2024</v>
      </c>
      <c r="D212" s="3" t="str">
        <f t="shared" si="60"/>
        <v>Q4-2024</v>
      </c>
      <c r="E212" s="3">
        <v>45588</v>
      </c>
      <c r="F212" s="3" t="str">
        <f t="shared" si="61"/>
        <v>Valid</v>
      </c>
      <c r="G212" s="12">
        <f t="shared" si="62"/>
        <v>21</v>
      </c>
      <c r="H212" s="3">
        <f t="shared" si="63"/>
        <v>45588</v>
      </c>
      <c r="I212" t="s">
        <v>646</v>
      </c>
      <c r="J212" t="str">
        <f t="shared" si="64"/>
        <v>Africa → South Africa → Durban</v>
      </c>
      <c r="K212" s="3" t="str">
        <f t="shared" si="65"/>
        <v>South Africa-2024-10</v>
      </c>
      <c r="L212" t="s">
        <v>661</v>
      </c>
      <c r="M212" t="s">
        <v>687</v>
      </c>
      <c r="N212" t="s">
        <v>701</v>
      </c>
      <c r="O212" t="s">
        <v>709</v>
      </c>
      <c r="P212" t="s">
        <v>720</v>
      </c>
      <c r="Q212" t="s">
        <v>727</v>
      </c>
      <c r="R212" t="s">
        <v>944</v>
      </c>
      <c r="S212" s="5">
        <v>1095.6099999999999</v>
      </c>
      <c r="T212" s="5">
        <v>2366.5100000000002</v>
      </c>
      <c r="U212" s="5" t="str">
        <f t="shared" si="66"/>
        <v>Valid</v>
      </c>
      <c r="V212" s="5">
        <f t="shared" si="57"/>
        <v>2366.5100000000002</v>
      </c>
      <c r="W212" s="5" t="str">
        <f t="shared" si="67"/>
        <v>High</v>
      </c>
      <c r="X212" s="5">
        <v>0.152</v>
      </c>
      <c r="Y212" s="5" t="str">
        <f t="shared" si="68"/>
        <v>Valid</v>
      </c>
      <c r="Z212" s="5">
        <f t="shared" si="69"/>
        <v>0.152</v>
      </c>
      <c r="AA212" s="5">
        <v>9</v>
      </c>
      <c r="AB212">
        <f t="shared" si="70"/>
        <v>18061.204320000004</v>
      </c>
      <c r="AC212">
        <f t="shared" si="58"/>
        <v>9860.49</v>
      </c>
      <c r="AD212">
        <f t="shared" si="71"/>
        <v>8200.7143200000046</v>
      </c>
      <c r="AE212">
        <f t="shared" si="72"/>
        <v>0.4540513564158607</v>
      </c>
      <c r="AF212">
        <f t="shared" si="73"/>
        <v>0</v>
      </c>
      <c r="AG212">
        <f t="shared" si="74"/>
        <v>0</v>
      </c>
      <c r="AK212">
        <f>AA212*(1+What_if_Analysis!$B$4)</f>
        <v>10.799999999999999</v>
      </c>
      <c r="AL212" s="5">
        <f>MIN(Z212,What_if_Analysis!$B$2)</f>
        <v>0.05</v>
      </c>
      <c r="AM212">
        <f t="shared" si="75"/>
        <v>24280.392599999999</v>
      </c>
      <c r="AN212">
        <f>AM212-(AK212*(T212*(1+What_if_Analysis!$B$3)))</f>
        <v>-3833.746200000005</v>
      </c>
    </row>
    <row r="213" spans="1:40" x14ac:dyDescent="0.3">
      <c r="A213" t="s">
        <v>225</v>
      </c>
      <c r="B213" s="3">
        <v>45852</v>
      </c>
      <c r="C213" s="3" t="str">
        <f t="shared" si="59"/>
        <v>Jul-2025</v>
      </c>
      <c r="D213" s="3" t="str">
        <f t="shared" si="60"/>
        <v>Q3-2025</v>
      </c>
      <c r="E213" s="3">
        <v>45873</v>
      </c>
      <c r="F213" s="3" t="str">
        <f t="shared" si="61"/>
        <v>Valid</v>
      </c>
      <c r="G213" s="12">
        <f t="shared" si="62"/>
        <v>21</v>
      </c>
      <c r="H213" s="3">
        <f t="shared" si="63"/>
        <v>45873</v>
      </c>
      <c r="I213" t="s">
        <v>648</v>
      </c>
      <c r="J213" t="str">
        <f t="shared" si="64"/>
        <v>Americas → Canada → Montreal</v>
      </c>
      <c r="K213" s="3" t="str">
        <f t="shared" si="65"/>
        <v>Canada-2025-07</v>
      </c>
      <c r="L213" t="s">
        <v>653</v>
      </c>
      <c r="M213" t="s">
        <v>681</v>
      </c>
      <c r="N213" t="s">
        <v>704</v>
      </c>
      <c r="O213" t="s">
        <v>708</v>
      </c>
      <c r="P213" t="s">
        <v>722</v>
      </c>
      <c r="Q213" t="s">
        <v>732</v>
      </c>
      <c r="R213" t="s">
        <v>945</v>
      </c>
      <c r="S213" s="5">
        <v>90.3</v>
      </c>
      <c r="T213" s="5">
        <v>131.76</v>
      </c>
      <c r="U213" s="5" t="str">
        <f t="shared" si="66"/>
        <v>Valid</v>
      </c>
      <c r="V213" s="5">
        <f t="shared" si="57"/>
        <v>131.76</v>
      </c>
      <c r="W213" s="5" t="str">
        <f t="shared" si="67"/>
        <v>Low</v>
      </c>
      <c r="X213" s="5">
        <v>0.10199999999999999</v>
      </c>
      <c r="Y213" s="5" t="str">
        <f t="shared" si="68"/>
        <v>Valid</v>
      </c>
      <c r="Z213" s="5">
        <f t="shared" si="69"/>
        <v>0.10199999999999999</v>
      </c>
      <c r="AA213" s="5">
        <v>15</v>
      </c>
      <c r="AB213">
        <f t="shared" si="70"/>
        <v>1774.8072</v>
      </c>
      <c r="AC213">
        <f t="shared" si="58"/>
        <v>1354.5</v>
      </c>
      <c r="AD213">
        <f t="shared" si="71"/>
        <v>420.30719999999997</v>
      </c>
      <c r="AE213">
        <f t="shared" si="72"/>
        <v>0.23681851189244668</v>
      </c>
      <c r="AF213">
        <f t="shared" si="73"/>
        <v>0</v>
      </c>
      <c r="AG213">
        <f t="shared" si="74"/>
        <v>0</v>
      </c>
      <c r="AK213">
        <f>AA213*(1+What_if_Analysis!$B$4)</f>
        <v>18</v>
      </c>
      <c r="AL213" s="5">
        <f>MIN(Z213,What_if_Analysis!$B$2)</f>
        <v>0.05</v>
      </c>
      <c r="AM213">
        <f t="shared" si="75"/>
        <v>2253.0959999999995</v>
      </c>
      <c r="AN213">
        <f>AM213-(AK213*(T213*(1+What_if_Analysis!$B$3)))</f>
        <v>-355.75200000000041</v>
      </c>
    </row>
    <row r="214" spans="1:40" x14ac:dyDescent="0.3">
      <c r="A214" t="s">
        <v>226</v>
      </c>
      <c r="B214" s="3">
        <v>45544</v>
      </c>
      <c r="C214" s="3" t="str">
        <f t="shared" si="59"/>
        <v>Sept-2024</v>
      </c>
      <c r="D214" s="3" t="str">
        <f t="shared" si="60"/>
        <v>Q3-2024</v>
      </c>
      <c r="E214" s="3">
        <v>45566</v>
      </c>
      <c r="F214" s="3" t="str">
        <f t="shared" si="61"/>
        <v>Valid</v>
      </c>
      <c r="G214" s="12">
        <f t="shared" si="62"/>
        <v>22</v>
      </c>
      <c r="H214" s="3">
        <f t="shared" si="63"/>
        <v>45566</v>
      </c>
      <c r="I214" t="s">
        <v>647</v>
      </c>
      <c r="J214" t="str">
        <f t="shared" si="64"/>
        <v>Asia → China → Shenzhen</v>
      </c>
      <c r="K214" s="3" t="str">
        <f t="shared" si="65"/>
        <v>China-2024-09</v>
      </c>
      <c r="L214" t="s">
        <v>659</v>
      </c>
      <c r="M214" t="s">
        <v>676</v>
      </c>
      <c r="N214" t="s">
        <v>704</v>
      </c>
      <c r="O214" t="s">
        <v>711</v>
      </c>
      <c r="P214" t="s">
        <v>716</v>
      </c>
      <c r="Q214" t="s">
        <v>728</v>
      </c>
      <c r="R214" t="s">
        <v>946</v>
      </c>
      <c r="S214" s="5">
        <v>1166.18</v>
      </c>
      <c r="T214" s="5">
        <v>1335.02</v>
      </c>
      <c r="U214" s="5" t="str">
        <f t="shared" si="66"/>
        <v>Valid</v>
      </c>
      <c r="V214" s="5">
        <f t="shared" si="57"/>
        <v>1335.02</v>
      </c>
      <c r="W214" s="5" t="str">
        <f t="shared" si="67"/>
        <v>Medium</v>
      </c>
      <c r="X214" s="5">
        <v>0.128</v>
      </c>
      <c r="Y214" s="5" t="str">
        <f t="shared" si="68"/>
        <v>Valid</v>
      </c>
      <c r="Z214" s="5">
        <f t="shared" si="69"/>
        <v>0.128</v>
      </c>
      <c r="AA214" s="5">
        <v>6</v>
      </c>
      <c r="AB214">
        <f t="shared" si="70"/>
        <v>6984.8246399999998</v>
      </c>
      <c r="AC214">
        <f t="shared" si="58"/>
        <v>6997.08</v>
      </c>
      <c r="AD214">
        <f t="shared" si="71"/>
        <v>-12.25536000000011</v>
      </c>
      <c r="AE214">
        <f t="shared" si="72"/>
        <v>-1.7545694604582242E-3</v>
      </c>
      <c r="AF214">
        <f t="shared" si="73"/>
        <v>0</v>
      </c>
      <c r="AG214">
        <f t="shared" si="74"/>
        <v>0</v>
      </c>
      <c r="AK214">
        <f>AA214*(1+What_if_Analysis!$B$4)</f>
        <v>7.1999999999999993</v>
      </c>
      <c r="AL214" s="5">
        <f>MIN(Z214,What_if_Analysis!$B$2)</f>
        <v>0.05</v>
      </c>
      <c r="AM214">
        <f t="shared" si="75"/>
        <v>9131.536799999998</v>
      </c>
      <c r="AN214">
        <f>AM214-(AK214*(T214*(1+What_if_Analysis!$B$3)))</f>
        <v>-1441.8216000000029</v>
      </c>
    </row>
    <row r="215" spans="1:40" x14ac:dyDescent="0.3">
      <c r="A215" t="s">
        <v>227</v>
      </c>
      <c r="B215" s="3">
        <v>45686</v>
      </c>
      <c r="C215" s="3" t="str">
        <f t="shared" si="59"/>
        <v>Jan-2025</v>
      </c>
      <c r="D215" s="3" t="str">
        <f t="shared" si="60"/>
        <v>Q1-2025</v>
      </c>
      <c r="E215" s="3">
        <v>45694</v>
      </c>
      <c r="F215" s="3" t="str">
        <f t="shared" si="61"/>
        <v>Valid</v>
      </c>
      <c r="G215" s="12">
        <f t="shared" si="62"/>
        <v>8</v>
      </c>
      <c r="H215" s="3">
        <f t="shared" si="63"/>
        <v>45694</v>
      </c>
      <c r="I215" t="s">
        <v>646</v>
      </c>
      <c r="J215" t="str">
        <f t="shared" si="64"/>
        <v>Africa → Kenya → Kisumu</v>
      </c>
      <c r="K215" s="3" t="str">
        <f t="shared" si="65"/>
        <v>Kenya-2025-01</v>
      </c>
      <c r="L215" t="s">
        <v>650</v>
      </c>
      <c r="M215" t="s">
        <v>662</v>
      </c>
      <c r="N215" t="s">
        <v>702</v>
      </c>
      <c r="O215" t="s">
        <v>707</v>
      </c>
      <c r="P215" t="s">
        <v>717</v>
      </c>
      <c r="Q215" t="s">
        <v>730</v>
      </c>
      <c r="R215" t="s">
        <v>947</v>
      </c>
      <c r="S215" s="5">
        <v>1445.27</v>
      </c>
      <c r="T215" s="5">
        <v>2691.45</v>
      </c>
      <c r="U215" s="5" t="str">
        <f t="shared" si="66"/>
        <v>Valid</v>
      </c>
      <c r="V215" s="5">
        <f t="shared" si="57"/>
        <v>2691.45</v>
      </c>
      <c r="W215" s="5" t="str">
        <f t="shared" si="67"/>
        <v>High</v>
      </c>
      <c r="X215" s="5">
        <v>0</v>
      </c>
      <c r="Y215" s="5" t="str">
        <f t="shared" si="68"/>
        <v>Valid</v>
      </c>
      <c r="Z215" s="5">
        <f t="shared" si="69"/>
        <v>0</v>
      </c>
      <c r="AA215" s="5">
        <v>9</v>
      </c>
      <c r="AB215">
        <f t="shared" si="70"/>
        <v>24223.05</v>
      </c>
      <c r="AC215">
        <f t="shared" si="58"/>
        <v>13007.43</v>
      </c>
      <c r="AD215">
        <f t="shared" si="71"/>
        <v>11215.619999999999</v>
      </c>
      <c r="AE215">
        <f t="shared" si="72"/>
        <v>0.46301436028906351</v>
      </c>
      <c r="AF215">
        <f t="shared" si="73"/>
        <v>0</v>
      </c>
      <c r="AG215">
        <f t="shared" si="74"/>
        <v>0</v>
      </c>
      <c r="AK215">
        <f>AA215*(1+What_if_Analysis!$B$4)</f>
        <v>10.799999999999999</v>
      </c>
      <c r="AL215" s="5">
        <f>MIN(Z215,What_if_Analysis!$B$2)</f>
        <v>0</v>
      </c>
      <c r="AM215">
        <f t="shared" si="75"/>
        <v>29067.659999999996</v>
      </c>
      <c r="AN215">
        <f>AM215-(AK215*(T215*(1+What_if_Analysis!$B$3)))</f>
        <v>-2906.7660000000033</v>
      </c>
    </row>
    <row r="216" spans="1:40" x14ac:dyDescent="0.3">
      <c r="A216" t="s">
        <v>228</v>
      </c>
      <c r="B216" s="3">
        <v>45240</v>
      </c>
      <c r="C216" s="3" t="str">
        <f t="shared" si="59"/>
        <v>Nov-2023</v>
      </c>
      <c r="D216" s="3" t="str">
        <f t="shared" si="60"/>
        <v>Q4-2023</v>
      </c>
      <c r="E216" s="3">
        <v>45258</v>
      </c>
      <c r="F216" s="3" t="str">
        <f t="shared" si="61"/>
        <v>Valid</v>
      </c>
      <c r="G216" s="12">
        <f t="shared" si="62"/>
        <v>18</v>
      </c>
      <c r="H216" s="3">
        <f t="shared" si="63"/>
        <v>45258</v>
      </c>
      <c r="I216" t="s">
        <v>648</v>
      </c>
      <c r="J216" t="str">
        <f t="shared" si="64"/>
        <v>Americas → Brazil → Brasília</v>
      </c>
      <c r="K216" s="3" t="str">
        <f t="shared" si="65"/>
        <v>Brazil-2023-11</v>
      </c>
      <c r="L216" t="s">
        <v>655</v>
      </c>
      <c r="M216" t="s">
        <v>672</v>
      </c>
      <c r="N216" t="s">
        <v>702</v>
      </c>
      <c r="O216" t="s">
        <v>709</v>
      </c>
      <c r="P216" t="s">
        <v>716</v>
      </c>
      <c r="Q216" t="s">
        <v>733</v>
      </c>
      <c r="R216" t="s">
        <v>948</v>
      </c>
      <c r="S216" s="5">
        <v>388.51</v>
      </c>
      <c r="T216" s="5">
        <v>776.46</v>
      </c>
      <c r="U216" s="5" t="str">
        <f t="shared" si="66"/>
        <v>Valid</v>
      </c>
      <c r="V216" s="5">
        <f t="shared" si="57"/>
        <v>776.46</v>
      </c>
      <c r="W216" s="5" t="str">
        <f t="shared" si="67"/>
        <v>Medium</v>
      </c>
      <c r="X216" s="5">
        <v>0.157</v>
      </c>
      <c r="Y216" s="5" t="str">
        <f t="shared" si="68"/>
        <v>Valid</v>
      </c>
      <c r="Z216" s="5">
        <f t="shared" si="69"/>
        <v>0.157</v>
      </c>
      <c r="AA216" s="5">
        <v>12</v>
      </c>
      <c r="AB216">
        <f t="shared" si="70"/>
        <v>7854.6693599999999</v>
      </c>
      <c r="AC216">
        <f t="shared" si="58"/>
        <v>4662.12</v>
      </c>
      <c r="AD216">
        <f t="shared" si="71"/>
        <v>3192.54936</v>
      </c>
      <c r="AE216">
        <f t="shared" si="72"/>
        <v>0.40645241876864946</v>
      </c>
      <c r="AF216">
        <f t="shared" si="73"/>
        <v>0</v>
      </c>
      <c r="AG216">
        <f t="shared" si="74"/>
        <v>0</v>
      </c>
      <c r="AK216">
        <f>AA216*(1+What_if_Analysis!$B$4)</f>
        <v>14.399999999999999</v>
      </c>
      <c r="AL216" s="5">
        <f>MIN(Z216,What_if_Analysis!$B$2)</f>
        <v>0.05</v>
      </c>
      <c r="AM216">
        <f t="shared" si="75"/>
        <v>10621.9728</v>
      </c>
      <c r="AN216">
        <f>AM216-(AK216*(T216*(1+What_if_Analysis!$B$3)))</f>
        <v>-1677.1536000000015</v>
      </c>
    </row>
    <row r="217" spans="1:40" x14ac:dyDescent="0.3">
      <c r="A217" t="s">
        <v>229</v>
      </c>
      <c r="B217" s="3">
        <v>45351</v>
      </c>
      <c r="C217" s="3" t="str">
        <f t="shared" si="59"/>
        <v>Feb-2024</v>
      </c>
      <c r="D217" s="3" t="str">
        <f t="shared" si="60"/>
        <v>Q1-2024</v>
      </c>
      <c r="E217" s="3">
        <v>45381</v>
      </c>
      <c r="F217" s="3" t="str">
        <f t="shared" si="61"/>
        <v>Valid</v>
      </c>
      <c r="G217" s="12">
        <f t="shared" si="62"/>
        <v>30</v>
      </c>
      <c r="H217" s="3">
        <f t="shared" si="63"/>
        <v>45381</v>
      </c>
      <c r="I217" t="s">
        <v>647</v>
      </c>
      <c r="J217" t="str">
        <f t="shared" si="64"/>
        <v>Asia → Japan → Nagoya</v>
      </c>
      <c r="K217" s="3" t="str">
        <f t="shared" si="65"/>
        <v>Japan-2024-02</v>
      </c>
      <c r="L217" t="s">
        <v>652</v>
      </c>
      <c r="M217" t="s">
        <v>694</v>
      </c>
      <c r="N217" t="s">
        <v>705</v>
      </c>
      <c r="O217" t="s">
        <v>711</v>
      </c>
      <c r="P217" t="s">
        <v>714</v>
      </c>
      <c r="Q217" t="s">
        <v>729</v>
      </c>
      <c r="R217" t="s">
        <v>949</v>
      </c>
      <c r="S217" s="5">
        <v>231.11</v>
      </c>
      <c r="T217" s="5">
        <v>318.17</v>
      </c>
      <c r="U217" s="5" t="str">
        <f t="shared" si="66"/>
        <v>Valid</v>
      </c>
      <c r="V217" s="5">
        <f t="shared" si="57"/>
        <v>318.17</v>
      </c>
      <c r="W217" s="5" t="str">
        <f t="shared" si="67"/>
        <v>Low</v>
      </c>
      <c r="X217" s="5">
        <v>0.20100000000000001</v>
      </c>
      <c r="Y217" s="5" t="str">
        <f t="shared" si="68"/>
        <v>Valid</v>
      </c>
      <c r="Z217" s="5">
        <f t="shared" si="69"/>
        <v>0.20100000000000001</v>
      </c>
      <c r="AA217" s="5">
        <v>60</v>
      </c>
      <c r="AB217">
        <f t="shared" si="70"/>
        <v>15253.069799999999</v>
      </c>
      <c r="AC217">
        <f t="shared" si="58"/>
        <v>13866.6</v>
      </c>
      <c r="AD217">
        <f t="shared" si="71"/>
        <v>1386.4697999999989</v>
      </c>
      <c r="AE217">
        <f t="shared" si="72"/>
        <v>9.0897754889969692E-2</v>
      </c>
      <c r="AF217">
        <f t="shared" si="73"/>
        <v>0</v>
      </c>
      <c r="AG217">
        <f t="shared" si="74"/>
        <v>1</v>
      </c>
      <c r="AK217">
        <f>AA217*(1+What_if_Analysis!$B$4)</f>
        <v>72</v>
      </c>
      <c r="AL217" s="5">
        <f>MIN(Z217,What_if_Analysis!$B$2)</f>
        <v>0.05</v>
      </c>
      <c r="AM217">
        <f t="shared" si="75"/>
        <v>21762.828000000001</v>
      </c>
      <c r="AN217">
        <f>AM217-(AK217*(T217*(1+What_if_Analysis!$B$3)))</f>
        <v>-3436.2360000000008</v>
      </c>
    </row>
    <row r="218" spans="1:40" x14ac:dyDescent="0.3">
      <c r="A218" t="s">
        <v>230</v>
      </c>
      <c r="B218" s="3">
        <v>45280</v>
      </c>
      <c r="C218" s="3" t="str">
        <f t="shared" si="59"/>
        <v>Dec-2023</v>
      </c>
      <c r="D218" s="3" t="str">
        <f t="shared" si="60"/>
        <v>Q4-2023</v>
      </c>
      <c r="E218" s="3">
        <v>45305</v>
      </c>
      <c r="F218" s="3" t="str">
        <f t="shared" si="61"/>
        <v>Valid</v>
      </c>
      <c r="G218" s="12">
        <f t="shared" si="62"/>
        <v>25</v>
      </c>
      <c r="H218" s="3">
        <f t="shared" si="63"/>
        <v>45305</v>
      </c>
      <c r="I218" t="s">
        <v>647</v>
      </c>
      <c r="J218" t="str">
        <f t="shared" si="64"/>
        <v>Asia → India → Mumbai</v>
      </c>
      <c r="K218" s="3" t="str">
        <f t="shared" si="65"/>
        <v>India-2023-12</v>
      </c>
      <c r="L218" t="s">
        <v>654</v>
      </c>
      <c r="M218" t="s">
        <v>691</v>
      </c>
      <c r="N218" t="s">
        <v>703</v>
      </c>
      <c r="O218" t="s">
        <v>709</v>
      </c>
      <c r="P218" t="s">
        <v>716</v>
      </c>
      <c r="Q218" t="s">
        <v>732</v>
      </c>
      <c r="R218" t="s">
        <v>950</v>
      </c>
      <c r="S218" s="5">
        <v>1085.6099999999999</v>
      </c>
      <c r="T218" s="5">
        <v>1246.4100000000001</v>
      </c>
      <c r="U218" s="5" t="str">
        <f t="shared" si="66"/>
        <v>Valid</v>
      </c>
      <c r="V218" s="5">
        <f t="shared" si="57"/>
        <v>1246.4100000000001</v>
      </c>
      <c r="W218" s="5" t="str">
        <f t="shared" si="67"/>
        <v>Medium</v>
      </c>
      <c r="X218" s="5">
        <v>0.113</v>
      </c>
      <c r="Y218" s="5" t="str">
        <f t="shared" si="68"/>
        <v>Valid</v>
      </c>
      <c r="Z218" s="5">
        <f t="shared" si="69"/>
        <v>0.113</v>
      </c>
      <c r="AA218" s="5">
        <v>7</v>
      </c>
      <c r="AB218">
        <f t="shared" si="70"/>
        <v>7738.9596900000006</v>
      </c>
      <c r="AC218">
        <f t="shared" si="58"/>
        <v>7599.2699999999995</v>
      </c>
      <c r="AD218">
        <f t="shared" si="71"/>
        <v>139.68969000000106</v>
      </c>
      <c r="AE218">
        <f t="shared" si="72"/>
        <v>1.8050189637310417E-2</v>
      </c>
      <c r="AF218">
        <f t="shared" si="73"/>
        <v>0</v>
      </c>
      <c r="AG218">
        <f t="shared" si="74"/>
        <v>0</v>
      </c>
      <c r="AK218">
        <f>AA218*(1+What_if_Analysis!$B$4)</f>
        <v>8.4</v>
      </c>
      <c r="AL218" s="5">
        <f>MIN(Z218,What_if_Analysis!$B$2)</f>
        <v>0.05</v>
      </c>
      <c r="AM218">
        <f t="shared" si="75"/>
        <v>9946.3518000000004</v>
      </c>
      <c r="AN218">
        <f>AM218-(AK218*(T218*(1+What_if_Analysis!$B$3)))</f>
        <v>-1570.4766000000018</v>
      </c>
    </row>
    <row r="219" spans="1:40" x14ac:dyDescent="0.3">
      <c r="A219" t="s">
        <v>231</v>
      </c>
      <c r="B219" s="3">
        <v>44948</v>
      </c>
      <c r="C219" s="3" t="str">
        <f t="shared" si="59"/>
        <v>Jan-2023</v>
      </c>
      <c r="D219" s="3" t="str">
        <f t="shared" si="60"/>
        <v>Q1-2023</v>
      </c>
      <c r="E219" s="3">
        <v>44947</v>
      </c>
      <c r="F219" s="3" t="str">
        <f t="shared" si="61"/>
        <v>Invalid RequiredDate</v>
      </c>
      <c r="G219" s="12">
        <f t="shared" si="62"/>
        <v>-1</v>
      </c>
      <c r="H219" s="3">
        <f t="shared" si="63"/>
        <v>44974</v>
      </c>
      <c r="I219" t="s">
        <v>649</v>
      </c>
      <c r="J219" t="str">
        <f t="shared" si="64"/>
        <v>Europe → Germany → Munich</v>
      </c>
      <c r="K219" s="3" t="str">
        <f t="shared" si="65"/>
        <v>Germany-2023-01</v>
      </c>
      <c r="L219" t="s">
        <v>656</v>
      </c>
      <c r="M219" t="s">
        <v>684</v>
      </c>
      <c r="N219" t="s">
        <v>701</v>
      </c>
      <c r="O219" t="s">
        <v>711</v>
      </c>
      <c r="P219" t="s">
        <v>721</v>
      </c>
      <c r="Q219" t="s">
        <v>732</v>
      </c>
      <c r="R219" t="s">
        <v>951</v>
      </c>
      <c r="S219" s="5">
        <v>150.86000000000001</v>
      </c>
      <c r="T219" s="5">
        <v>346.96</v>
      </c>
      <c r="U219" s="5" t="str">
        <f t="shared" si="66"/>
        <v>Valid</v>
      </c>
      <c r="V219" s="5">
        <f t="shared" si="57"/>
        <v>346.96</v>
      </c>
      <c r="W219" s="5" t="str">
        <f t="shared" si="67"/>
        <v>Low</v>
      </c>
      <c r="X219" s="5">
        <v>0.19600000000000001</v>
      </c>
      <c r="Y219" s="5" t="str">
        <f t="shared" si="68"/>
        <v>Valid</v>
      </c>
      <c r="Z219" s="5">
        <f t="shared" si="69"/>
        <v>0.19600000000000001</v>
      </c>
      <c r="AA219" s="5">
        <v>8</v>
      </c>
      <c r="AB219">
        <f t="shared" si="70"/>
        <v>2231.6467200000002</v>
      </c>
      <c r="AC219">
        <f t="shared" si="58"/>
        <v>1206.8800000000001</v>
      </c>
      <c r="AD219">
        <f t="shared" si="71"/>
        <v>1024.7667200000001</v>
      </c>
      <c r="AE219">
        <f t="shared" si="72"/>
        <v>0.45919755614365343</v>
      </c>
      <c r="AF219">
        <f t="shared" si="73"/>
        <v>1</v>
      </c>
      <c r="AG219">
        <f t="shared" si="74"/>
        <v>0</v>
      </c>
      <c r="AK219">
        <f>AA219*(1+What_if_Analysis!$B$4)</f>
        <v>9.6</v>
      </c>
      <c r="AL219" s="5">
        <f>MIN(Z219,What_if_Analysis!$B$2)</f>
        <v>0.05</v>
      </c>
      <c r="AM219">
        <f t="shared" si="75"/>
        <v>3164.2751999999996</v>
      </c>
      <c r="AN219">
        <f>AM219-(AK219*(T219*(1+What_if_Analysis!$B$3)))</f>
        <v>-499.6224000000002</v>
      </c>
    </row>
    <row r="220" spans="1:40" x14ac:dyDescent="0.3">
      <c r="A220" t="s">
        <v>232</v>
      </c>
      <c r="B220" s="3">
        <v>45576</v>
      </c>
      <c r="C220" s="3" t="str">
        <f t="shared" si="59"/>
        <v>Oct-2024</v>
      </c>
      <c r="D220" s="3" t="str">
        <f t="shared" si="60"/>
        <v>Q4-2024</v>
      </c>
      <c r="E220" s="3">
        <v>45605</v>
      </c>
      <c r="F220" s="3" t="str">
        <f t="shared" si="61"/>
        <v>Valid</v>
      </c>
      <c r="G220" s="12">
        <f t="shared" si="62"/>
        <v>29</v>
      </c>
      <c r="H220" s="3">
        <f t="shared" si="63"/>
        <v>45605</v>
      </c>
      <c r="I220" t="s">
        <v>647</v>
      </c>
      <c r="J220" t="str">
        <f t="shared" si="64"/>
        <v>Asia → China → Shanghai</v>
      </c>
      <c r="K220" s="3" t="str">
        <f t="shared" si="65"/>
        <v>China-2024-10</v>
      </c>
      <c r="L220" t="s">
        <v>659</v>
      </c>
      <c r="M220" t="s">
        <v>685</v>
      </c>
      <c r="N220" t="s">
        <v>703</v>
      </c>
      <c r="O220" t="s">
        <v>708</v>
      </c>
      <c r="P220" t="s">
        <v>721</v>
      </c>
      <c r="Q220" t="s">
        <v>728</v>
      </c>
      <c r="R220" t="s">
        <v>952</v>
      </c>
      <c r="S220" s="5">
        <v>391.64</v>
      </c>
      <c r="T220" s="5">
        <v>504.76</v>
      </c>
      <c r="U220" s="5" t="str">
        <f t="shared" si="66"/>
        <v>Valid</v>
      </c>
      <c r="V220" s="5">
        <f t="shared" si="57"/>
        <v>504.76</v>
      </c>
      <c r="W220" s="5" t="str">
        <f t="shared" si="67"/>
        <v>Low</v>
      </c>
      <c r="X220" s="5">
        <v>4.0000000000000001E-3</v>
      </c>
      <c r="Y220" s="5" t="str">
        <f t="shared" si="68"/>
        <v>Valid</v>
      </c>
      <c r="Z220" s="5">
        <f t="shared" si="69"/>
        <v>4.0000000000000001E-3</v>
      </c>
      <c r="AA220" s="5">
        <v>13</v>
      </c>
      <c r="AB220">
        <f t="shared" si="70"/>
        <v>6535.6324800000002</v>
      </c>
      <c r="AC220">
        <f t="shared" si="58"/>
        <v>5091.32</v>
      </c>
      <c r="AD220">
        <f t="shared" si="71"/>
        <v>1444.3124800000005</v>
      </c>
      <c r="AE220">
        <f t="shared" si="72"/>
        <v>0.22099046793402319</v>
      </c>
      <c r="AF220">
        <f t="shared" si="73"/>
        <v>0</v>
      </c>
      <c r="AG220">
        <f t="shared" si="74"/>
        <v>0</v>
      </c>
      <c r="AK220">
        <f>AA220*(1+What_if_Analysis!$B$4)</f>
        <v>15.6</v>
      </c>
      <c r="AL220" s="5">
        <f>MIN(Z220,What_if_Analysis!$B$2)</f>
        <v>4.0000000000000001E-3</v>
      </c>
      <c r="AM220">
        <f t="shared" si="75"/>
        <v>7842.7589759999992</v>
      </c>
      <c r="AN220">
        <f>AM220-(AK220*(T220*(1+What_if_Analysis!$B$3)))</f>
        <v>-818.92262400000072</v>
      </c>
    </row>
    <row r="221" spans="1:40" x14ac:dyDescent="0.3">
      <c r="A221" t="s">
        <v>233</v>
      </c>
      <c r="B221" s="3">
        <v>45554</v>
      </c>
      <c r="C221" s="3" t="str">
        <f t="shared" si="59"/>
        <v>Sept-2024</v>
      </c>
      <c r="D221" s="3" t="str">
        <f t="shared" si="60"/>
        <v>Q3-2024</v>
      </c>
      <c r="E221" s="3">
        <v>45579</v>
      </c>
      <c r="F221" s="3" t="str">
        <f t="shared" si="61"/>
        <v>Valid</v>
      </c>
      <c r="G221" s="12">
        <f t="shared" si="62"/>
        <v>25</v>
      </c>
      <c r="H221" s="3">
        <f t="shared" si="63"/>
        <v>45579</v>
      </c>
      <c r="I221" t="s">
        <v>648</v>
      </c>
      <c r="J221" t="str">
        <f t="shared" si="64"/>
        <v>Americas → Brazil → Rio de Janeiro</v>
      </c>
      <c r="K221" s="3" t="str">
        <f t="shared" si="65"/>
        <v>Brazil-2024-09</v>
      </c>
      <c r="L221" t="s">
        <v>655</v>
      </c>
      <c r="M221" t="s">
        <v>692</v>
      </c>
      <c r="N221" t="s">
        <v>705</v>
      </c>
      <c r="O221" t="s">
        <v>707</v>
      </c>
      <c r="P221" t="s">
        <v>723</v>
      </c>
      <c r="Q221" t="s">
        <v>728</v>
      </c>
      <c r="R221" t="s">
        <v>953</v>
      </c>
      <c r="S221" s="5">
        <v>386.96</v>
      </c>
      <c r="T221" s="5">
        <v>937.46</v>
      </c>
      <c r="U221" s="5" t="str">
        <f t="shared" si="66"/>
        <v>Valid</v>
      </c>
      <c r="V221" s="5">
        <f t="shared" si="57"/>
        <v>937.46</v>
      </c>
      <c r="W221" s="5" t="str">
        <f t="shared" si="67"/>
        <v>Medium</v>
      </c>
      <c r="X221" s="5">
        <v>0.26600000000000001</v>
      </c>
      <c r="Y221" s="5" t="str">
        <f t="shared" si="68"/>
        <v>Valid</v>
      </c>
      <c r="Z221" s="5">
        <f t="shared" si="69"/>
        <v>0.26600000000000001</v>
      </c>
      <c r="AA221" s="5">
        <v>41</v>
      </c>
      <c r="AB221">
        <f t="shared" si="70"/>
        <v>28211.92124</v>
      </c>
      <c r="AC221">
        <f t="shared" si="58"/>
        <v>15865.359999999999</v>
      </c>
      <c r="AD221">
        <f t="shared" si="71"/>
        <v>12346.561240000001</v>
      </c>
      <c r="AE221">
        <f t="shared" si="72"/>
        <v>0.43763631462626335</v>
      </c>
      <c r="AF221">
        <f t="shared" si="73"/>
        <v>0</v>
      </c>
      <c r="AG221">
        <f t="shared" si="74"/>
        <v>1</v>
      </c>
      <c r="AK221">
        <f>AA221*(1+What_if_Analysis!$B$4)</f>
        <v>49.199999999999996</v>
      </c>
      <c r="AL221" s="5">
        <f>MIN(Z221,What_if_Analysis!$B$2)</f>
        <v>0.05</v>
      </c>
      <c r="AM221">
        <f t="shared" si="75"/>
        <v>43816.880399999995</v>
      </c>
      <c r="AN221">
        <f>AM221-(AK221*(T221*(1+What_if_Analysis!$B$3)))</f>
        <v>-6918.4548000000068</v>
      </c>
    </row>
    <row r="222" spans="1:40" x14ac:dyDescent="0.3">
      <c r="A222" t="s">
        <v>234</v>
      </c>
      <c r="B222" s="3">
        <v>45894</v>
      </c>
      <c r="C222" s="3" t="str">
        <f t="shared" si="59"/>
        <v>Aug-2025</v>
      </c>
      <c r="D222" s="3" t="str">
        <f t="shared" si="60"/>
        <v>Q3-2025</v>
      </c>
      <c r="E222" s="3">
        <v>45924</v>
      </c>
      <c r="F222" s="3" t="str">
        <f t="shared" si="61"/>
        <v>Valid</v>
      </c>
      <c r="G222" s="12">
        <f t="shared" si="62"/>
        <v>30</v>
      </c>
      <c r="H222" s="3">
        <f t="shared" si="63"/>
        <v>45924</v>
      </c>
      <c r="I222" t="s">
        <v>646</v>
      </c>
      <c r="J222" t="str">
        <f t="shared" si="64"/>
        <v>Africa → Kenya → Nairobi</v>
      </c>
      <c r="K222" s="3" t="str">
        <f t="shared" si="65"/>
        <v>Kenya-2025-08</v>
      </c>
      <c r="L222" t="s">
        <v>650</v>
      </c>
      <c r="M222" t="s">
        <v>664</v>
      </c>
      <c r="N222" t="s">
        <v>704</v>
      </c>
      <c r="O222" t="s">
        <v>711</v>
      </c>
      <c r="P222" t="s">
        <v>717</v>
      </c>
      <c r="Q222" t="s">
        <v>727</v>
      </c>
      <c r="R222" t="s">
        <v>954</v>
      </c>
      <c r="S222" s="5">
        <v>589.14</v>
      </c>
      <c r="T222" s="5">
        <v>1300.58</v>
      </c>
      <c r="U222" s="5" t="str">
        <f t="shared" si="66"/>
        <v>Valid</v>
      </c>
      <c r="V222" s="5">
        <f t="shared" si="57"/>
        <v>1300.58</v>
      </c>
      <c r="W222" s="5" t="str">
        <f t="shared" si="67"/>
        <v>Medium</v>
      </c>
      <c r="X222" s="5">
        <v>5.5E-2</v>
      </c>
      <c r="Y222" s="5" t="str">
        <f t="shared" si="68"/>
        <v>Valid</v>
      </c>
      <c r="Z222" s="5">
        <f t="shared" si="69"/>
        <v>5.5E-2</v>
      </c>
      <c r="AA222" s="5">
        <v>11</v>
      </c>
      <c r="AB222">
        <f t="shared" si="70"/>
        <v>13519.529099999998</v>
      </c>
      <c r="AC222">
        <f t="shared" si="58"/>
        <v>6480.54</v>
      </c>
      <c r="AD222">
        <f t="shared" si="71"/>
        <v>7038.989099999998</v>
      </c>
      <c r="AE222">
        <f t="shared" si="72"/>
        <v>0.52065342275863724</v>
      </c>
      <c r="AF222">
        <f t="shared" si="73"/>
        <v>0</v>
      </c>
      <c r="AG222">
        <f t="shared" si="74"/>
        <v>0</v>
      </c>
      <c r="AK222">
        <f>AA222*(1+What_if_Analysis!$B$4)</f>
        <v>13.2</v>
      </c>
      <c r="AL222" s="5">
        <f>MIN(Z222,What_if_Analysis!$B$2)</f>
        <v>0.05</v>
      </c>
      <c r="AM222">
        <f t="shared" si="75"/>
        <v>16309.273199999998</v>
      </c>
      <c r="AN222">
        <f>AM222-(AK222*(T222*(1+What_if_Analysis!$B$3)))</f>
        <v>-2575.1484000000037</v>
      </c>
    </row>
    <row r="223" spans="1:40" x14ac:dyDescent="0.3">
      <c r="A223" t="s">
        <v>235</v>
      </c>
      <c r="B223" s="3">
        <v>45194</v>
      </c>
      <c r="C223" s="3" t="str">
        <f t="shared" si="59"/>
        <v>Sept-2023</v>
      </c>
      <c r="D223" s="3" t="str">
        <f t="shared" si="60"/>
        <v>Q3-2023</v>
      </c>
      <c r="E223" s="3">
        <v>45201</v>
      </c>
      <c r="F223" s="3" t="str">
        <f t="shared" si="61"/>
        <v>Valid</v>
      </c>
      <c r="G223" s="12">
        <f t="shared" si="62"/>
        <v>7</v>
      </c>
      <c r="H223" s="3">
        <f t="shared" si="63"/>
        <v>45201</v>
      </c>
      <c r="I223" t="s">
        <v>648</v>
      </c>
      <c r="J223" t="str">
        <f t="shared" si="64"/>
        <v>Americas → USA → New York</v>
      </c>
      <c r="K223" s="3" t="str">
        <f t="shared" si="65"/>
        <v>USA-2023-09</v>
      </c>
      <c r="L223" t="s">
        <v>660</v>
      </c>
      <c r="M223" t="s">
        <v>700</v>
      </c>
      <c r="N223" t="s">
        <v>702</v>
      </c>
      <c r="O223" t="s">
        <v>709</v>
      </c>
      <c r="P223" t="s">
        <v>714</v>
      </c>
      <c r="Q223" t="s">
        <v>733</v>
      </c>
      <c r="R223" t="s">
        <v>955</v>
      </c>
      <c r="S223" s="5">
        <v>145.58000000000001</v>
      </c>
      <c r="T223" s="5">
        <v>228.15</v>
      </c>
      <c r="U223" s="5" t="str">
        <f t="shared" si="66"/>
        <v>Valid</v>
      </c>
      <c r="V223" s="5">
        <f t="shared" si="57"/>
        <v>228.15</v>
      </c>
      <c r="W223" s="5" t="str">
        <f t="shared" si="67"/>
        <v>Low</v>
      </c>
      <c r="X223" s="5">
        <v>0.20399999999999999</v>
      </c>
      <c r="Y223" s="5" t="str">
        <f t="shared" si="68"/>
        <v>Valid</v>
      </c>
      <c r="Z223" s="5">
        <f t="shared" si="69"/>
        <v>0.20399999999999999</v>
      </c>
      <c r="AA223" s="5">
        <v>5</v>
      </c>
      <c r="AB223">
        <f t="shared" si="70"/>
        <v>908.03700000000003</v>
      </c>
      <c r="AC223">
        <f t="shared" si="58"/>
        <v>727.90000000000009</v>
      </c>
      <c r="AD223">
        <f t="shared" si="71"/>
        <v>180.13699999999994</v>
      </c>
      <c r="AE223">
        <f t="shared" si="72"/>
        <v>0.19838068272548359</v>
      </c>
      <c r="AF223">
        <f t="shared" si="73"/>
        <v>1</v>
      </c>
      <c r="AG223">
        <f t="shared" si="74"/>
        <v>1</v>
      </c>
      <c r="AK223">
        <f>AA223*(1+What_if_Analysis!$B$4)</f>
        <v>6</v>
      </c>
      <c r="AL223" s="5">
        <f>MIN(Z223,What_if_Analysis!$B$2)</f>
        <v>0.05</v>
      </c>
      <c r="AM223">
        <f t="shared" si="75"/>
        <v>1300.4549999999999</v>
      </c>
      <c r="AN223">
        <f>AM223-(AK223*(T223*(1+What_if_Analysis!$B$3)))</f>
        <v>-205.33500000000026</v>
      </c>
    </row>
    <row r="224" spans="1:40" x14ac:dyDescent="0.3">
      <c r="A224" t="s">
        <v>236</v>
      </c>
      <c r="B224" s="3">
        <v>45164</v>
      </c>
      <c r="C224" s="3" t="str">
        <f t="shared" si="59"/>
        <v>Aug-2023</v>
      </c>
      <c r="D224" s="3" t="str">
        <f t="shared" si="60"/>
        <v>Q3-2023</v>
      </c>
      <c r="E224" s="3">
        <v>45179</v>
      </c>
      <c r="F224" s="3" t="str">
        <f t="shared" si="61"/>
        <v>Valid</v>
      </c>
      <c r="G224" s="12">
        <f t="shared" si="62"/>
        <v>15</v>
      </c>
      <c r="H224" s="3">
        <f t="shared" si="63"/>
        <v>45179</v>
      </c>
      <c r="I224" t="s">
        <v>646</v>
      </c>
      <c r="J224" t="str">
        <f t="shared" si="64"/>
        <v>Africa → South Africa → Cape Town</v>
      </c>
      <c r="K224" s="3" t="str">
        <f t="shared" si="65"/>
        <v>South Africa-2023-08</v>
      </c>
      <c r="L224" t="s">
        <v>661</v>
      </c>
      <c r="M224" t="s">
        <v>695</v>
      </c>
      <c r="N224" t="s">
        <v>703</v>
      </c>
      <c r="O224" t="s">
        <v>711</v>
      </c>
      <c r="P224" t="s">
        <v>725</v>
      </c>
      <c r="Q224" t="s">
        <v>727</v>
      </c>
      <c r="R224" t="s">
        <v>956</v>
      </c>
      <c r="S224" s="5">
        <v>241.14</v>
      </c>
      <c r="T224" s="5">
        <v>496.52</v>
      </c>
      <c r="U224" s="5" t="str">
        <f t="shared" si="66"/>
        <v>Valid</v>
      </c>
      <c r="V224" s="5">
        <f t="shared" si="57"/>
        <v>496.52</v>
      </c>
      <c r="W224" s="5" t="str">
        <f t="shared" si="67"/>
        <v>Low</v>
      </c>
      <c r="X224" s="5">
        <v>9.2999999999999999E-2</v>
      </c>
      <c r="Y224" s="5" t="str">
        <f t="shared" si="68"/>
        <v>Valid</v>
      </c>
      <c r="Z224" s="5">
        <f t="shared" si="69"/>
        <v>9.2999999999999999E-2</v>
      </c>
      <c r="AA224" s="5">
        <v>10</v>
      </c>
      <c r="AB224">
        <f t="shared" si="70"/>
        <v>4503.4363999999996</v>
      </c>
      <c r="AC224">
        <f t="shared" si="58"/>
        <v>2411.3999999999996</v>
      </c>
      <c r="AD224">
        <f t="shared" si="71"/>
        <v>2092.0364</v>
      </c>
      <c r="AE224">
        <f t="shared" si="72"/>
        <v>0.46454223268257994</v>
      </c>
      <c r="AF224">
        <f t="shared" si="73"/>
        <v>0</v>
      </c>
      <c r="AG224">
        <f t="shared" si="74"/>
        <v>0</v>
      </c>
      <c r="AK224">
        <f>AA224*(1+What_if_Analysis!$B$4)</f>
        <v>12</v>
      </c>
      <c r="AL224" s="5">
        <f>MIN(Z224,What_if_Analysis!$B$2)</f>
        <v>0.05</v>
      </c>
      <c r="AM224">
        <f t="shared" si="75"/>
        <v>5660.3279999999995</v>
      </c>
      <c r="AN224">
        <f>AM224-(AK224*(T224*(1+What_if_Analysis!$B$3)))</f>
        <v>-893.73600000000079</v>
      </c>
    </row>
    <row r="225" spans="1:40" x14ac:dyDescent="0.3">
      <c r="A225" t="s">
        <v>237</v>
      </c>
      <c r="B225" s="3">
        <v>45854</v>
      </c>
      <c r="C225" s="3" t="str">
        <f t="shared" si="59"/>
        <v>Jul-2025</v>
      </c>
      <c r="D225" s="3" t="str">
        <f t="shared" si="60"/>
        <v>Q3-2025</v>
      </c>
      <c r="E225" s="3">
        <v>45855</v>
      </c>
      <c r="F225" s="3" t="str">
        <f t="shared" si="61"/>
        <v>Valid</v>
      </c>
      <c r="G225" s="12">
        <f t="shared" si="62"/>
        <v>1</v>
      </c>
      <c r="H225" s="3">
        <f t="shared" si="63"/>
        <v>45855</v>
      </c>
      <c r="I225" t="s">
        <v>646</v>
      </c>
      <c r="J225" t="str">
        <f t="shared" si="64"/>
        <v>Africa → South Africa → Durban</v>
      </c>
      <c r="K225" s="3" t="str">
        <f t="shared" si="65"/>
        <v>South Africa-2025-07</v>
      </c>
      <c r="L225" t="s">
        <v>661</v>
      </c>
      <c r="M225" t="s">
        <v>687</v>
      </c>
      <c r="N225" t="s">
        <v>705</v>
      </c>
      <c r="O225" t="s">
        <v>710</v>
      </c>
      <c r="P225" t="s">
        <v>717</v>
      </c>
      <c r="Q225" t="s">
        <v>729</v>
      </c>
      <c r="R225" t="s">
        <v>957</v>
      </c>
      <c r="S225" s="5">
        <v>1198.9000000000001</v>
      </c>
      <c r="T225" s="5">
        <v>2941.2</v>
      </c>
      <c r="U225" s="5" t="str">
        <f t="shared" si="66"/>
        <v>Valid</v>
      </c>
      <c r="V225" s="5">
        <f t="shared" si="57"/>
        <v>2941.2</v>
      </c>
      <c r="W225" s="5" t="str">
        <f t="shared" si="67"/>
        <v>High</v>
      </c>
      <c r="X225" s="5">
        <v>5.0999999999999997E-2</v>
      </c>
      <c r="Y225" s="5" t="str">
        <f t="shared" si="68"/>
        <v>Valid</v>
      </c>
      <c r="Z225" s="5">
        <f t="shared" si="69"/>
        <v>5.0999999999999997E-2</v>
      </c>
      <c r="AA225" s="5">
        <v>24</v>
      </c>
      <c r="AB225">
        <f t="shared" si="70"/>
        <v>66988.771199999988</v>
      </c>
      <c r="AC225">
        <f t="shared" si="58"/>
        <v>28773.600000000002</v>
      </c>
      <c r="AD225">
        <f t="shared" si="71"/>
        <v>38215.171199999982</v>
      </c>
      <c r="AE225">
        <f t="shared" si="72"/>
        <v>0.57047129713583977</v>
      </c>
      <c r="AF225">
        <f t="shared" si="73"/>
        <v>1</v>
      </c>
      <c r="AG225">
        <f t="shared" si="74"/>
        <v>0</v>
      </c>
      <c r="AK225">
        <f>AA225*(1+What_if_Analysis!$B$4)</f>
        <v>28.799999999999997</v>
      </c>
      <c r="AL225" s="5">
        <f>MIN(Z225,What_if_Analysis!$B$2)</f>
        <v>0.05</v>
      </c>
      <c r="AM225">
        <f t="shared" si="75"/>
        <v>80471.231999999975</v>
      </c>
      <c r="AN225">
        <f>AM225-(AK225*(T225*(1+What_if_Analysis!$B$3)))</f>
        <v>-12705.984000000026</v>
      </c>
    </row>
    <row r="226" spans="1:40" x14ac:dyDescent="0.3">
      <c r="A226" t="s">
        <v>238</v>
      </c>
      <c r="B226" s="3">
        <v>45035</v>
      </c>
      <c r="C226" s="3" t="str">
        <f t="shared" si="59"/>
        <v>Apr-2023</v>
      </c>
      <c r="D226" s="3" t="str">
        <f t="shared" si="60"/>
        <v>Q2-2023</v>
      </c>
      <c r="E226" s="3">
        <v>45053</v>
      </c>
      <c r="F226" s="3" t="str">
        <f t="shared" si="61"/>
        <v>Valid</v>
      </c>
      <c r="G226" s="12">
        <f t="shared" si="62"/>
        <v>18</v>
      </c>
      <c r="H226" s="3">
        <f t="shared" si="63"/>
        <v>45053</v>
      </c>
      <c r="I226" t="s">
        <v>649</v>
      </c>
      <c r="J226" t="str">
        <f t="shared" si="64"/>
        <v>Europe → United Kingdom → Birmingham</v>
      </c>
      <c r="K226" s="3" t="str">
        <f t="shared" si="65"/>
        <v>United Kingdom-2023-04</v>
      </c>
      <c r="L226" t="s">
        <v>658</v>
      </c>
      <c r="M226" t="s">
        <v>674</v>
      </c>
      <c r="N226" t="s">
        <v>706</v>
      </c>
      <c r="O226" t="s">
        <v>707</v>
      </c>
      <c r="P226" t="s">
        <v>725</v>
      </c>
      <c r="Q226" t="s">
        <v>731</v>
      </c>
      <c r="R226" t="s">
        <v>958</v>
      </c>
      <c r="S226" s="5">
        <v>1089.1500000000001</v>
      </c>
      <c r="T226" s="5">
        <v>1088.2</v>
      </c>
      <c r="U226" s="5" t="str">
        <f t="shared" si="66"/>
        <v>Valid</v>
      </c>
      <c r="V226" s="5">
        <f t="shared" si="57"/>
        <v>1088.2</v>
      </c>
      <c r="W226" s="5" t="str">
        <f t="shared" si="67"/>
        <v>Medium</v>
      </c>
      <c r="X226" s="5">
        <v>5.0999999999999997E-2</v>
      </c>
      <c r="Y226" s="5" t="str">
        <f t="shared" si="68"/>
        <v>Valid</v>
      </c>
      <c r="Z226" s="5">
        <f t="shared" si="69"/>
        <v>5.0999999999999997E-2</v>
      </c>
      <c r="AA226" s="5">
        <v>15</v>
      </c>
      <c r="AB226">
        <f t="shared" si="70"/>
        <v>15490.527</v>
      </c>
      <c r="AC226">
        <f t="shared" si="58"/>
        <v>16337.250000000002</v>
      </c>
      <c r="AD226">
        <f t="shared" si="71"/>
        <v>-846.72300000000178</v>
      </c>
      <c r="AE226">
        <f t="shared" si="72"/>
        <v>-5.4660696824582002E-2</v>
      </c>
      <c r="AF226">
        <f t="shared" si="73"/>
        <v>0</v>
      </c>
      <c r="AG226">
        <f t="shared" si="74"/>
        <v>0</v>
      </c>
      <c r="AK226">
        <f>AA226*(1+What_if_Analysis!$B$4)</f>
        <v>18</v>
      </c>
      <c r="AL226" s="5">
        <f>MIN(Z226,What_if_Analysis!$B$2)</f>
        <v>0.05</v>
      </c>
      <c r="AM226">
        <f t="shared" si="75"/>
        <v>18608.22</v>
      </c>
      <c r="AN226">
        <f>AM226-(AK226*(T226*(1+What_if_Analysis!$B$3)))</f>
        <v>-2938.1400000000031</v>
      </c>
    </row>
    <row r="227" spans="1:40" x14ac:dyDescent="0.3">
      <c r="A227" t="s">
        <v>239</v>
      </c>
      <c r="B227" s="3">
        <v>45279</v>
      </c>
      <c r="C227" s="3" t="str">
        <f t="shared" si="59"/>
        <v>Dec-2023</v>
      </c>
      <c r="D227" s="3" t="str">
        <f t="shared" si="60"/>
        <v>Q4-2023</v>
      </c>
      <c r="E227" s="3">
        <v>45280</v>
      </c>
      <c r="F227" s="3" t="str">
        <f t="shared" si="61"/>
        <v>Valid</v>
      </c>
      <c r="G227" s="12">
        <f t="shared" si="62"/>
        <v>1</v>
      </c>
      <c r="H227" s="3">
        <f t="shared" si="63"/>
        <v>45280</v>
      </c>
      <c r="I227" t="s">
        <v>648</v>
      </c>
      <c r="J227" t="str">
        <f t="shared" si="64"/>
        <v>Americas → Brazil → Rio de Janeiro</v>
      </c>
      <c r="K227" s="3" t="str">
        <f t="shared" si="65"/>
        <v>Brazil-2023-12</v>
      </c>
      <c r="L227" t="s">
        <v>655</v>
      </c>
      <c r="M227" t="s">
        <v>692</v>
      </c>
      <c r="N227" t="s">
        <v>704</v>
      </c>
      <c r="O227" t="s">
        <v>710</v>
      </c>
      <c r="P227" t="s">
        <v>713</v>
      </c>
      <c r="Q227" t="s">
        <v>730</v>
      </c>
      <c r="R227" t="s">
        <v>959</v>
      </c>
      <c r="S227" s="5">
        <v>1080.43</v>
      </c>
      <c r="T227" s="5">
        <v>2529.15</v>
      </c>
      <c r="U227" s="5" t="str">
        <f t="shared" si="66"/>
        <v>Valid</v>
      </c>
      <c r="V227" s="5">
        <f t="shared" si="57"/>
        <v>2529.15</v>
      </c>
      <c r="W227" s="5" t="str">
        <f t="shared" si="67"/>
        <v>High</v>
      </c>
      <c r="X227" s="5">
        <v>0.14699999999999999</v>
      </c>
      <c r="Y227" s="5" t="str">
        <f t="shared" si="68"/>
        <v>Valid</v>
      </c>
      <c r="Z227" s="5">
        <f t="shared" si="69"/>
        <v>0.14699999999999999</v>
      </c>
      <c r="AA227" s="5">
        <v>10</v>
      </c>
      <c r="AB227">
        <f t="shared" si="70"/>
        <v>21573.6495</v>
      </c>
      <c r="AC227">
        <f t="shared" si="58"/>
        <v>10804.300000000001</v>
      </c>
      <c r="AD227">
        <f t="shared" si="71"/>
        <v>10769.349499999998</v>
      </c>
      <c r="AE227">
        <f t="shared" si="72"/>
        <v>0.49918997247081437</v>
      </c>
      <c r="AF227">
        <f t="shared" si="73"/>
        <v>1</v>
      </c>
      <c r="AG227">
        <f t="shared" si="74"/>
        <v>0</v>
      </c>
      <c r="AK227">
        <f>AA227*(1+What_if_Analysis!$B$4)</f>
        <v>12</v>
      </c>
      <c r="AL227" s="5">
        <f>MIN(Z227,What_if_Analysis!$B$2)</f>
        <v>0.05</v>
      </c>
      <c r="AM227">
        <f t="shared" si="75"/>
        <v>28832.31</v>
      </c>
      <c r="AN227">
        <f>AM227-(AK227*(T227*(1+What_if_Analysis!$B$3)))</f>
        <v>-4552.4700000000048</v>
      </c>
    </row>
    <row r="228" spans="1:40" x14ac:dyDescent="0.3">
      <c r="A228" t="s">
        <v>240</v>
      </c>
      <c r="B228" s="3">
        <v>45137</v>
      </c>
      <c r="C228" s="3" t="str">
        <f t="shared" si="59"/>
        <v>Jul-2023</v>
      </c>
      <c r="D228" s="3" t="str">
        <f t="shared" si="60"/>
        <v>Q3-2023</v>
      </c>
      <c r="E228" s="3">
        <v>45145</v>
      </c>
      <c r="F228" s="3" t="str">
        <f t="shared" si="61"/>
        <v>Valid</v>
      </c>
      <c r="G228" s="12">
        <f t="shared" si="62"/>
        <v>8</v>
      </c>
      <c r="H228" s="3">
        <f t="shared" si="63"/>
        <v>45145</v>
      </c>
      <c r="I228" t="s">
        <v>647</v>
      </c>
      <c r="J228" t="str">
        <f t="shared" si="64"/>
        <v>Asia → Japan → Nagoya</v>
      </c>
      <c r="K228" s="3" t="str">
        <f t="shared" si="65"/>
        <v>Japan-2023-07</v>
      </c>
      <c r="L228" t="s">
        <v>652</v>
      </c>
      <c r="M228" t="s">
        <v>694</v>
      </c>
      <c r="N228" t="s">
        <v>702</v>
      </c>
      <c r="O228" t="s">
        <v>709</v>
      </c>
      <c r="P228" t="s">
        <v>720</v>
      </c>
      <c r="Q228" t="s">
        <v>729</v>
      </c>
      <c r="R228" t="s">
        <v>960</v>
      </c>
      <c r="S228" s="5">
        <v>1352.44</v>
      </c>
      <c r="T228" s="5">
        <v>2698.01</v>
      </c>
      <c r="U228" s="5" t="str">
        <f t="shared" si="66"/>
        <v>Valid</v>
      </c>
      <c r="V228" s="5">
        <f t="shared" si="57"/>
        <v>2698.01</v>
      </c>
      <c r="W228" s="5" t="str">
        <f t="shared" si="67"/>
        <v>High</v>
      </c>
      <c r="X228" s="5">
        <v>0.13100000000000001</v>
      </c>
      <c r="Y228" s="5" t="str">
        <f t="shared" si="68"/>
        <v>Valid</v>
      </c>
      <c r="Z228" s="5">
        <f t="shared" si="69"/>
        <v>0.13100000000000001</v>
      </c>
      <c r="AA228" s="5">
        <v>13</v>
      </c>
      <c r="AB228">
        <f t="shared" si="70"/>
        <v>30479.418970000002</v>
      </c>
      <c r="AC228">
        <f t="shared" si="58"/>
        <v>17581.72</v>
      </c>
      <c r="AD228">
        <f t="shared" si="71"/>
        <v>12897.698970000001</v>
      </c>
      <c r="AE228">
        <f t="shared" si="72"/>
        <v>0.42316091992090887</v>
      </c>
      <c r="AF228">
        <f t="shared" si="73"/>
        <v>0</v>
      </c>
      <c r="AG228">
        <f t="shared" si="74"/>
        <v>0</v>
      </c>
      <c r="AK228">
        <f>AA228*(1+What_if_Analysis!$B$4)</f>
        <v>15.6</v>
      </c>
      <c r="AL228" s="5">
        <f>MIN(Z228,What_if_Analysis!$B$2)</f>
        <v>0.05</v>
      </c>
      <c r="AM228">
        <f t="shared" si="75"/>
        <v>39984.508200000004</v>
      </c>
      <c r="AN228">
        <f>AM228-(AK228*(T228*(1+What_if_Analysis!$B$3)))</f>
        <v>-6313.3434000000052</v>
      </c>
    </row>
    <row r="229" spans="1:40" x14ac:dyDescent="0.3">
      <c r="A229" t="s">
        <v>241</v>
      </c>
      <c r="B229" s="3">
        <v>45203</v>
      </c>
      <c r="C229" s="3" t="str">
        <f t="shared" si="59"/>
        <v>Oct-2023</v>
      </c>
      <c r="D229" s="3" t="str">
        <f t="shared" si="60"/>
        <v>Q4-2023</v>
      </c>
      <c r="E229" s="3">
        <v>45228</v>
      </c>
      <c r="F229" s="3" t="str">
        <f t="shared" si="61"/>
        <v>Valid</v>
      </c>
      <c r="G229" s="12">
        <f t="shared" si="62"/>
        <v>25</v>
      </c>
      <c r="H229" s="3">
        <f t="shared" si="63"/>
        <v>45228</v>
      </c>
      <c r="I229" t="s">
        <v>648</v>
      </c>
      <c r="J229" t="str">
        <f t="shared" si="64"/>
        <v>Americas → USA → San Francisco</v>
      </c>
      <c r="K229" s="3" t="str">
        <f t="shared" si="65"/>
        <v>USA-2023-10</v>
      </c>
      <c r="L229" t="s">
        <v>660</v>
      </c>
      <c r="M229" t="s">
        <v>686</v>
      </c>
      <c r="N229" t="s">
        <v>705</v>
      </c>
      <c r="O229" t="s">
        <v>710</v>
      </c>
      <c r="P229" t="s">
        <v>719</v>
      </c>
      <c r="Q229" t="s">
        <v>733</v>
      </c>
      <c r="R229" t="s">
        <v>961</v>
      </c>
      <c r="S229" s="5">
        <v>1239.8399999999999</v>
      </c>
      <c r="T229" s="5">
        <v>1482.75</v>
      </c>
      <c r="U229" s="5" t="str">
        <f t="shared" si="66"/>
        <v>Valid</v>
      </c>
      <c r="V229" s="5">
        <f t="shared" si="57"/>
        <v>1482.75</v>
      </c>
      <c r="W229" s="5" t="str">
        <f t="shared" si="67"/>
        <v>Medium</v>
      </c>
      <c r="X229" s="5">
        <v>6.7000000000000004E-2</v>
      </c>
      <c r="Y229" s="5" t="str">
        <f t="shared" si="68"/>
        <v>Valid</v>
      </c>
      <c r="Z229" s="5">
        <f t="shared" si="69"/>
        <v>6.7000000000000004E-2</v>
      </c>
      <c r="AA229" s="5">
        <v>4</v>
      </c>
      <c r="AB229">
        <f t="shared" si="70"/>
        <v>5533.6230000000005</v>
      </c>
      <c r="AC229">
        <f t="shared" si="58"/>
        <v>4959.3599999999997</v>
      </c>
      <c r="AD229">
        <f t="shared" si="71"/>
        <v>574.26300000000083</v>
      </c>
      <c r="AE229">
        <f t="shared" si="72"/>
        <v>0.10377703721413634</v>
      </c>
      <c r="AF229">
        <f t="shared" si="73"/>
        <v>0</v>
      </c>
      <c r="AG229">
        <f t="shared" si="74"/>
        <v>0</v>
      </c>
      <c r="AK229">
        <f>AA229*(1+What_if_Analysis!$B$4)</f>
        <v>4.8</v>
      </c>
      <c r="AL229" s="5">
        <f>MIN(Z229,What_if_Analysis!$B$2)</f>
        <v>0.05</v>
      </c>
      <c r="AM229">
        <f t="shared" si="75"/>
        <v>6761.3399999999992</v>
      </c>
      <c r="AN229">
        <f>AM229-(AK229*(T229*(1+What_if_Analysis!$B$3)))</f>
        <v>-1067.5800000000008</v>
      </c>
    </row>
    <row r="230" spans="1:40" x14ac:dyDescent="0.3">
      <c r="A230" t="s">
        <v>242</v>
      </c>
      <c r="B230" s="3">
        <v>45879</v>
      </c>
      <c r="C230" s="3" t="str">
        <f t="shared" si="59"/>
        <v>Aug-2025</v>
      </c>
      <c r="D230" s="3" t="str">
        <f t="shared" si="60"/>
        <v>Q3-2025</v>
      </c>
      <c r="E230" s="3">
        <v>45899</v>
      </c>
      <c r="F230" s="3" t="str">
        <f t="shared" si="61"/>
        <v>Valid</v>
      </c>
      <c r="G230" s="12">
        <f t="shared" si="62"/>
        <v>20</v>
      </c>
      <c r="H230" s="3">
        <f t="shared" si="63"/>
        <v>45899</v>
      </c>
      <c r="I230" t="s">
        <v>648</v>
      </c>
      <c r="J230" t="str">
        <f t="shared" si="64"/>
        <v>Americas → USA → San Francisco</v>
      </c>
      <c r="K230" s="3" t="str">
        <f t="shared" si="65"/>
        <v>USA-2025-08</v>
      </c>
      <c r="L230" t="s">
        <v>660</v>
      </c>
      <c r="M230" t="s">
        <v>686</v>
      </c>
      <c r="N230" t="s">
        <v>701</v>
      </c>
      <c r="O230" t="s">
        <v>709</v>
      </c>
      <c r="P230" t="s">
        <v>723</v>
      </c>
      <c r="Q230" t="s">
        <v>728</v>
      </c>
      <c r="R230" t="s">
        <v>962</v>
      </c>
      <c r="S230" s="5">
        <v>933.29</v>
      </c>
      <c r="T230" s="5">
        <v>1456.81</v>
      </c>
      <c r="U230" s="5" t="str">
        <f t="shared" si="66"/>
        <v>Valid</v>
      </c>
      <c r="V230" s="5">
        <f t="shared" si="57"/>
        <v>1456.81</v>
      </c>
      <c r="W230" s="5" t="str">
        <f t="shared" si="67"/>
        <v>Medium</v>
      </c>
      <c r="X230" s="5">
        <v>0.123</v>
      </c>
      <c r="Y230" s="5" t="str">
        <f t="shared" si="68"/>
        <v>Valid</v>
      </c>
      <c r="Z230" s="5">
        <f t="shared" si="69"/>
        <v>0.123</v>
      </c>
      <c r="AA230" s="5">
        <v>13</v>
      </c>
      <c r="AB230">
        <f t="shared" si="70"/>
        <v>16609.090809999998</v>
      </c>
      <c r="AC230">
        <f t="shared" si="58"/>
        <v>12132.77</v>
      </c>
      <c r="AD230">
        <f t="shared" si="71"/>
        <v>4476.3208099999974</v>
      </c>
      <c r="AE230">
        <f t="shared" si="72"/>
        <v>0.26951028573489977</v>
      </c>
      <c r="AF230">
        <f t="shared" si="73"/>
        <v>0</v>
      </c>
      <c r="AG230">
        <f t="shared" si="74"/>
        <v>0</v>
      </c>
      <c r="AK230">
        <f>AA230*(1+What_if_Analysis!$B$4)</f>
        <v>15.6</v>
      </c>
      <c r="AL230" s="5">
        <f>MIN(Z230,What_if_Analysis!$B$2)</f>
        <v>0.05</v>
      </c>
      <c r="AM230">
        <f t="shared" si="75"/>
        <v>21589.924199999998</v>
      </c>
      <c r="AN230">
        <f>AM230-(AK230*(T230*(1+What_if_Analysis!$B$3)))</f>
        <v>-3408.9354000000021</v>
      </c>
    </row>
    <row r="231" spans="1:40" x14ac:dyDescent="0.3">
      <c r="A231" t="s">
        <v>243</v>
      </c>
      <c r="B231" s="3">
        <v>44992</v>
      </c>
      <c r="C231" s="3" t="str">
        <f t="shared" si="59"/>
        <v>Mar-2023</v>
      </c>
      <c r="D231" s="3" t="str">
        <f t="shared" si="60"/>
        <v>Q1-2023</v>
      </c>
      <c r="E231" s="3">
        <v>45017</v>
      </c>
      <c r="F231" s="3" t="str">
        <f t="shared" si="61"/>
        <v>Valid</v>
      </c>
      <c r="G231" s="12">
        <f t="shared" si="62"/>
        <v>25</v>
      </c>
      <c r="H231" s="3">
        <f t="shared" si="63"/>
        <v>45017</v>
      </c>
      <c r="I231" t="s">
        <v>646</v>
      </c>
      <c r="J231" t="str">
        <f t="shared" si="64"/>
        <v>Africa → Kenya → Nairobi</v>
      </c>
      <c r="K231" s="3" t="str">
        <f t="shared" si="65"/>
        <v>Kenya-2023-03</v>
      </c>
      <c r="L231" t="s">
        <v>650</v>
      </c>
      <c r="M231" t="s">
        <v>664</v>
      </c>
      <c r="N231" t="s">
        <v>704</v>
      </c>
      <c r="O231" t="s">
        <v>709</v>
      </c>
      <c r="P231" t="s">
        <v>726</v>
      </c>
      <c r="Q231" t="s">
        <v>728</v>
      </c>
      <c r="R231" t="s">
        <v>963</v>
      </c>
      <c r="S231" s="5">
        <v>1024.0999999999999</v>
      </c>
      <c r="T231" s="5">
        <v>918.19</v>
      </c>
      <c r="U231" s="5" t="str">
        <f t="shared" si="66"/>
        <v>Valid</v>
      </c>
      <c r="V231" s="5">
        <f t="shared" si="57"/>
        <v>918.19</v>
      </c>
      <c r="W231" s="5" t="str">
        <f t="shared" si="67"/>
        <v>Medium</v>
      </c>
      <c r="X231" s="5">
        <v>0.189</v>
      </c>
      <c r="Y231" s="5" t="str">
        <f t="shared" si="68"/>
        <v>Valid</v>
      </c>
      <c r="Z231" s="5">
        <f t="shared" si="69"/>
        <v>0.189</v>
      </c>
      <c r="AA231" s="5">
        <v>10</v>
      </c>
      <c r="AB231">
        <f t="shared" si="70"/>
        <v>7446.5209000000004</v>
      </c>
      <c r="AC231">
        <f t="shared" si="58"/>
        <v>10241</v>
      </c>
      <c r="AD231">
        <f t="shared" si="71"/>
        <v>-2794.4790999999996</v>
      </c>
      <c r="AE231">
        <f t="shared" si="72"/>
        <v>-0.37527311579827827</v>
      </c>
      <c r="AF231">
        <f t="shared" si="73"/>
        <v>0</v>
      </c>
      <c r="AG231">
        <f t="shared" si="74"/>
        <v>0</v>
      </c>
      <c r="AK231">
        <f>AA231*(1+What_if_Analysis!$B$4)</f>
        <v>12</v>
      </c>
      <c r="AL231" s="5">
        <f>MIN(Z231,What_if_Analysis!$B$2)</f>
        <v>0.05</v>
      </c>
      <c r="AM231">
        <f t="shared" si="75"/>
        <v>10467.366</v>
      </c>
      <c r="AN231">
        <f>AM231-(AK231*(T231*(1+What_if_Analysis!$B$3)))</f>
        <v>-1652.742000000002</v>
      </c>
    </row>
    <row r="232" spans="1:40" x14ac:dyDescent="0.3">
      <c r="A232" t="s">
        <v>244</v>
      </c>
      <c r="B232" s="3">
        <v>45069</v>
      </c>
      <c r="C232" s="3" t="str">
        <f t="shared" si="59"/>
        <v>May-2023</v>
      </c>
      <c r="D232" s="3" t="str">
        <f t="shared" si="60"/>
        <v>Q2-2023</v>
      </c>
      <c r="E232" s="3">
        <v>45087</v>
      </c>
      <c r="F232" s="3" t="str">
        <f t="shared" si="61"/>
        <v>Valid</v>
      </c>
      <c r="G232" s="12">
        <f t="shared" si="62"/>
        <v>18</v>
      </c>
      <c r="H232" s="3">
        <f t="shared" si="63"/>
        <v>45087</v>
      </c>
      <c r="I232" t="s">
        <v>647</v>
      </c>
      <c r="J232" t="str">
        <f t="shared" si="64"/>
        <v>Asia → China → Shanghai</v>
      </c>
      <c r="K232" s="3" t="str">
        <f t="shared" si="65"/>
        <v>China-2023-05</v>
      </c>
      <c r="L232" t="s">
        <v>659</v>
      </c>
      <c r="M232" t="s">
        <v>685</v>
      </c>
      <c r="N232" t="s">
        <v>701</v>
      </c>
      <c r="O232" t="s">
        <v>710</v>
      </c>
      <c r="P232" t="s">
        <v>718</v>
      </c>
      <c r="Q232" t="s">
        <v>727</v>
      </c>
      <c r="R232" t="s">
        <v>964</v>
      </c>
      <c r="S232" s="5">
        <v>54.62</v>
      </c>
      <c r="T232" s="5">
        <v>48.94</v>
      </c>
      <c r="U232" s="5" t="str">
        <f t="shared" si="66"/>
        <v>Valid</v>
      </c>
      <c r="V232" s="5">
        <f t="shared" si="57"/>
        <v>48.94</v>
      </c>
      <c r="W232" s="5" t="str">
        <f t="shared" si="67"/>
        <v>Low</v>
      </c>
      <c r="X232" s="5">
        <v>0.14799999999999999</v>
      </c>
      <c r="Y232" s="5" t="str">
        <f t="shared" si="68"/>
        <v>Valid</v>
      </c>
      <c r="Z232" s="5">
        <f t="shared" si="69"/>
        <v>0.14799999999999999</v>
      </c>
      <c r="AA232" s="5">
        <v>16</v>
      </c>
      <c r="AB232">
        <f t="shared" si="70"/>
        <v>667.15008</v>
      </c>
      <c r="AC232">
        <f t="shared" si="58"/>
        <v>873.92</v>
      </c>
      <c r="AD232">
        <f t="shared" si="71"/>
        <v>-206.76991999999996</v>
      </c>
      <c r="AE232">
        <f t="shared" si="72"/>
        <v>-0.3099301434543783</v>
      </c>
      <c r="AF232">
        <f t="shared" si="73"/>
        <v>0</v>
      </c>
      <c r="AG232">
        <f t="shared" si="74"/>
        <v>0</v>
      </c>
      <c r="AK232">
        <f>AA232*(1+What_if_Analysis!$B$4)</f>
        <v>19.2</v>
      </c>
      <c r="AL232" s="5">
        <f>MIN(Z232,What_if_Analysis!$B$2)</f>
        <v>0.05</v>
      </c>
      <c r="AM232">
        <f t="shared" si="75"/>
        <v>892.66559999999993</v>
      </c>
      <c r="AN232">
        <f>AM232-(AK232*(T232*(1+What_if_Analysis!$B$3)))</f>
        <v>-140.94720000000018</v>
      </c>
    </row>
    <row r="233" spans="1:40" x14ac:dyDescent="0.3">
      <c r="A233" t="s">
        <v>245</v>
      </c>
      <c r="B233" s="3">
        <v>45771</v>
      </c>
      <c r="C233" s="3" t="str">
        <f t="shared" si="59"/>
        <v>Apr-2025</v>
      </c>
      <c r="D233" s="3" t="str">
        <f t="shared" si="60"/>
        <v>Q2-2025</v>
      </c>
      <c r="E233" s="3">
        <v>45783</v>
      </c>
      <c r="F233" s="3" t="str">
        <f t="shared" si="61"/>
        <v>Valid</v>
      </c>
      <c r="G233" s="12">
        <f t="shared" si="62"/>
        <v>12</v>
      </c>
      <c r="H233" s="3">
        <f t="shared" si="63"/>
        <v>45783</v>
      </c>
      <c r="I233" t="s">
        <v>648</v>
      </c>
      <c r="J233" t="str">
        <f t="shared" si="64"/>
        <v>Americas → Brazil → Brasília</v>
      </c>
      <c r="K233" s="3" t="str">
        <f t="shared" si="65"/>
        <v>Brazil-2025-04</v>
      </c>
      <c r="L233" t="s">
        <v>655</v>
      </c>
      <c r="M233" t="s">
        <v>672</v>
      </c>
      <c r="N233" t="s">
        <v>704</v>
      </c>
      <c r="O233" t="s">
        <v>708</v>
      </c>
      <c r="P233" t="s">
        <v>712</v>
      </c>
      <c r="Q233" t="s">
        <v>730</v>
      </c>
      <c r="R233" t="s">
        <v>965</v>
      </c>
      <c r="S233" s="5">
        <v>394.13</v>
      </c>
      <c r="T233" s="5">
        <v>932.29</v>
      </c>
      <c r="U233" s="5" t="str">
        <f t="shared" si="66"/>
        <v>Valid</v>
      </c>
      <c r="V233" s="5">
        <f t="shared" si="57"/>
        <v>932.29</v>
      </c>
      <c r="W233" s="5" t="str">
        <f t="shared" si="67"/>
        <v>Medium</v>
      </c>
      <c r="X233" s="5">
        <v>0.109</v>
      </c>
      <c r="Y233" s="5" t="str">
        <f t="shared" si="68"/>
        <v>Valid</v>
      </c>
      <c r="Z233" s="5">
        <f t="shared" si="69"/>
        <v>0.109</v>
      </c>
      <c r="AA233" s="5">
        <v>7</v>
      </c>
      <c r="AB233">
        <f t="shared" si="70"/>
        <v>5814.6927299999998</v>
      </c>
      <c r="AC233">
        <f t="shared" si="58"/>
        <v>2758.91</v>
      </c>
      <c r="AD233">
        <f t="shared" si="71"/>
        <v>3055.7827299999999</v>
      </c>
      <c r="AE233">
        <f t="shared" si="72"/>
        <v>0.5255278089303268</v>
      </c>
      <c r="AF233">
        <f t="shared" si="73"/>
        <v>0</v>
      </c>
      <c r="AG233">
        <f t="shared" si="74"/>
        <v>0</v>
      </c>
      <c r="AK233">
        <f>AA233*(1+What_if_Analysis!$B$4)</f>
        <v>8.4</v>
      </c>
      <c r="AL233" s="5">
        <f>MIN(Z233,What_if_Analysis!$B$2)</f>
        <v>0.05</v>
      </c>
      <c r="AM233">
        <f t="shared" si="75"/>
        <v>7439.6741999999995</v>
      </c>
      <c r="AN233">
        <f>AM233-(AK233*(T233*(1+What_if_Analysis!$B$3)))</f>
        <v>-1174.6854000000003</v>
      </c>
    </row>
    <row r="234" spans="1:40" x14ac:dyDescent="0.3">
      <c r="A234" t="s">
        <v>246</v>
      </c>
      <c r="B234" s="3">
        <v>45538</v>
      </c>
      <c r="C234" s="3" t="str">
        <f t="shared" si="59"/>
        <v>Sept-2024</v>
      </c>
      <c r="D234" s="3" t="str">
        <f t="shared" si="60"/>
        <v>Q3-2024</v>
      </c>
      <c r="E234" s="3">
        <v>45543</v>
      </c>
      <c r="F234" s="3" t="str">
        <f t="shared" si="61"/>
        <v>Valid</v>
      </c>
      <c r="G234" s="12">
        <f t="shared" si="62"/>
        <v>5</v>
      </c>
      <c r="H234" s="3">
        <f t="shared" si="63"/>
        <v>45543</v>
      </c>
      <c r="I234" t="s">
        <v>646</v>
      </c>
      <c r="J234" t="str">
        <f t="shared" si="64"/>
        <v>Africa → Nigeria → Lagos</v>
      </c>
      <c r="K234" s="3" t="str">
        <f t="shared" si="65"/>
        <v>Nigeria-2024-09</v>
      </c>
      <c r="L234" t="s">
        <v>651</v>
      </c>
      <c r="M234" t="s">
        <v>665</v>
      </c>
      <c r="N234" t="s">
        <v>705</v>
      </c>
      <c r="O234" t="s">
        <v>711</v>
      </c>
      <c r="P234" t="s">
        <v>723</v>
      </c>
      <c r="Q234" t="s">
        <v>728</v>
      </c>
      <c r="R234" t="s">
        <v>966</v>
      </c>
      <c r="S234" s="5">
        <v>197.63</v>
      </c>
      <c r="T234" s="5">
        <v>325.79000000000002</v>
      </c>
      <c r="U234" s="5" t="str">
        <f t="shared" si="66"/>
        <v>Valid</v>
      </c>
      <c r="V234" s="5">
        <f t="shared" si="57"/>
        <v>325.79000000000002</v>
      </c>
      <c r="W234" s="5" t="str">
        <f t="shared" si="67"/>
        <v>Low</v>
      </c>
      <c r="X234" s="5">
        <v>0.11600000000000001</v>
      </c>
      <c r="Y234" s="5" t="str">
        <f t="shared" si="68"/>
        <v>Valid</v>
      </c>
      <c r="Z234" s="5">
        <f t="shared" si="69"/>
        <v>0.11600000000000001</v>
      </c>
      <c r="AA234" s="5">
        <v>10</v>
      </c>
      <c r="AB234">
        <f t="shared" si="70"/>
        <v>2879.9836</v>
      </c>
      <c r="AC234">
        <f t="shared" si="58"/>
        <v>1976.3</v>
      </c>
      <c r="AD234">
        <f t="shared" si="71"/>
        <v>903.68360000000007</v>
      </c>
      <c r="AE234">
        <f t="shared" si="72"/>
        <v>0.31378081458519419</v>
      </c>
      <c r="AF234">
        <f t="shared" si="73"/>
        <v>1</v>
      </c>
      <c r="AG234">
        <f t="shared" si="74"/>
        <v>0</v>
      </c>
      <c r="AK234">
        <f>AA234*(1+What_if_Analysis!$B$4)</f>
        <v>12</v>
      </c>
      <c r="AL234" s="5">
        <f>MIN(Z234,What_if_Analysis!$B$2)</f>
        <v>0.05</v>
      </c>
      <c r="AM234">
        <f t="shared" si="75"/>
        <v>3714.0060000000003</v>
      </c>
      <c r="AN234">
        <f>AM234-(AK234*(T234*(1+What_if_Analysis!$B$3)))</f>
        <v>-586.42199999999957</v>
      </c>
    </row>
    <row r="235" spans="1:40" x14ac:dyDescent="0.3">
      <c r="A235" t="s">
        <v>247</v>
      </c>
      <c r="B235" s="3">
        <v>45540</v>
      </c>
      <c r="C235" s="3" t="str">
        <f t="shared" si="59"/>
        <v>Sept-2024</v>
      </c>
      <c r="D235" s="3" t="str">
        <f t="shared" si="60"/>
        <v>Q3-2024</v>
      </c>
      <c r="E235" s="3">
        <v>45560</v>
      </c>
      <c r="F235" s="3" t="str">
        <f t="shared" si="61"/>
        <v>Valid</v>
      </c>
      <c r="G235" s="12">
        <f t="shared" si="62"/>
        <v>20</v>
      </c>
      <c r="H235" s="3">
        <f t="shared" si="63"/>
        <v>45560</v>
      </c>
      <c r="I235" t="s">
        <v>647</v>
      </c>
      <c r="J235" t="str">
        <f t="shared" si="64"/>
        <v>Asia → Japan → Osaka</v>
      </c>
      <c r="K235" s="3" t="str">
        <f t="shared" si="65"/>
        <v>Japan-2024-09</v>
      </c>
      <c r="L235" t="s">
        <v>652</v>
      </c>
      <c r="M235" t="s">
        <v>666</v>
      </c>
      <c r="N235" t="s">
        <v>706</v>
      </c>
      <c r="O235" t="s">
        <v>710</v>
      </c>
      <c r="P235" t="s">
        <v>726</v>
      </c>
      <c r="Q235" t="s">
        <v>732</v>
      </c>
      <c r="R235" t="s">
        <v>967</v>
      </c>
      <c r="S235" s="5">
        <v>195.54</v>
      </c>
      <c r="T235" s="5">
        <v>405.97</v>
      </c>
      <c r="U235" s="5" t="str">
        <f t="shared" si="66"/>
        <v>Valid</v>
      </c>
      <c r="V235" s="5">
        <f t="shared" si="57"/>
        <v>405.97</v>
      </c>
      <c r="W235" s="5" t="str">
        <f t="shared" si="67"/>
        <v>Low</v>
      </c>
      <c r="X235" s="5">
        <v>0.187</v>
      </c>
      <c r="Y235" s="5" t="str">
        <f t="shared" si="68"/>
        <v>Valid</v>
      </c>
      <c r="Z235" s="5">
        <f t="shared" si="69"/>
        <v>0.187</v>
      </c>
      <c r="AA235" s="5">
        <v>16</v>
      </c>
      <c r="AB235">
        <f t="shared" si="70"/>
        <v>5280.8577599999999</v>
      </c>
      <c r="AC235">
        <f t="shared" si="58"/>
        <v>3128.64</v>
      </c>
      <c r="AD235">
        <f t="shared" si="71"/>
        <v>2152.21776</v>
      </c>
      <c r="AE235">
        <f t="shared" si="72"/>
        <v>0.40755079152141377</v>
      </c>
      <c r="AF235">
        <f t="shared" si="73"/>
        <v>0</v>
      </c>
      <c r="AG235">
        <f t="shared" si="74"/>
        <v>0</v>
      </c>
      <c r="AK235">
        <f>AA235*(1+What_if_Analysis!$B$4)</f>
        <v>19.2</v>
      </c>
      <c r="AL235" s="5">
        <f>MIN(Z235,What_if_Analysis!$B$2)</f>
        <v>0.05</v>
      </c>
      <c r="AM235">
        <f t="shared" si="75"/>
        <v>7404.8927999999996</v>
      </c>
      <c r="AN235">
        <f>AM235-(AK235*(T235*(1+What_if_Analysis!$B$3)))</f>
        <v>-1169.1936000000005</v>
      </c>
    </row>
    <row r="236" spans="1:40" x14ac:dyDescent="0.3">
      <c r="A236" t="s">
        <v>248</v>
      </c>
      <c r="B236" s="3">
        <v>44999</v>
      </c>
      <c r="C236" s="3" t="str">
        <f t="shared" si="59"/>
        <v>Mar-2023</v>
      </c>
      <c r="D236" s="3" t="str">
        <f t="shared" si="60"/>
        <v>Q1-2023</v>
      </c>
      <c r="E236" s="3">
        <v>45015</v>
      </c>
      <c r="F236" s="3" t="str">
        <f t="shared" si="61"/>
        <v>Valid</v>
      </c>
      <c r="G236" s="12">
        <f t="shared" si="62"/>
        <v>16</v>
      </c>
      <c r="H236" s="3">
        <f t="shared" si="63"/>
        <v>45015</v>
      </c>
      <c r="I236" t="s">
        <v>646</v>
      </c>
      <c r="J236" t="str">
        <f t="shared" si="64"/>
        <v>Africa → South Africa → Cape Town</v>
      </c>
      <c r="K236" s="3" t="str">
        <f t="shared" si="65"/>
        <v>South Africa-2023-03</v>
      </c>
      <c r="L236" t="s">
        <v>661</v>
      </c>
      <c r="M236" t="s">
        <v>695</v>
      </c>
      <c r="N236" t="s">
        <v>704</v>
      </c>
      <c r="O236" t="s">
        <v>710</v>
      </c>
      <c r="P236" t="s">
        <v>723</v>
      </c>
      <c r="Q236" t="s">
        <v>727</v>
      </c>
      <c r="R236" t="s">
        <v>968</v>
      </c>
      <c r="S236" s="5">
        <v>1309.77</v>
      </c>
      <c r="T236" s="5">
        <v>1589.07</v>
      </c>
      <c r="U236" s="5" t="str">
        <f t="shared" si="66"/>
        <v>Valid</v>
      </c>
      <c r="V236" s="5">
        <f t="shared" si="57"/>
        <v>1589.07</v>
      </c>
      <c r="W236" s="5" t="str">
        <f t="shared" si="67"/>
        <v>Medium</v>
      </c>
      <c r="X236" s="5">
        <v>0.10199999999999999</v>
      </c>
      <c r="Y236" s="5" t="str">
        <f t="shared" si="68"/>
        <v>Valid</v>
      </c>
      <c r="Z236" s="5">
        <f t="shared" si="69"/>
        <v>0.10199999999999999</v>
      </c>
      <c r="AA236" s="5">
        <v>10</v>
      </c>
      <c r="AB236">
        <f t="shared" si="70"/>
        <v>14269.848599999999</v>
      </c>
      <c r="AC236">
        <f t="shared" si="58"/>
        <v>13097.7</v>
      </c>
      <c r="AD236">
        <f t="shared" si="71"/>
        <v>1172.1485999999986</v>
      </c>
      <c r="AE236">
        <f t="shared" si="72"/>
        <v>8.2141628328137886E-2</v>
      </c>
      <c r="AF236">
        <f t="shared" si="73"/>
        <v>0</v>
      </c>
      <c r="AG236">
        <f t="shared" si="74"/>
        <v>0</v>
      </c>
      <c r="AK236">
        <f>AA236*(1+What_if_Analysis!$B$4)</f>
        <v>12</v>
      </c>
      <c r="AL236" s="5">
        <f>MIN(Z236,What_if_Analysis!$B$2)</f>
        <v>0.05</v>
      </c>
      <c r="AM236">
        <f t="shared" si="75"/>
        <v>18115.398000000001</v>
      </c>
      <c r="AN236">
        <f>AM236-(AK236*(T236*(1+What_if_Analysis!$B$3)))</f>
        <v>-2860.3260000000009</v>
      </c>
    </row>
    <row r="237" spans="1:40" x14ac:dyDescent="0.3">
      <c r="A237" t="s">
        <v>249</v>
      </c>
      <c r="B237" s="3">
        <v>45302</v>
      </c>
      <c r="C237" s="3" t="str">
        <f t="shared" si="59"/>
        <v>Jan-2024</v>
      </c>
      <c r="D237" s="3" t="str">
        <f t="shared" si="60"/>
        <v>Q1-2024</v>
      </c>
      <c r="E237" s="3">
        <v>45324</v>
      </c>
      <c r="F237" s="3" t="str">
        <f t="shared" si="61"/>
        <v>Valid</v>
      </c>
      <c r="G237" s="12">
        <f t="shared" si="62"/>
        <v>22</v>
      </c>
      <c r="H237" s="3">
        <f t="shared" si="63"/>
        <v>45324</v>
      </c>
      <c r="I237" t="s">
        <v>647</v>
      </c>
      <c r="J237" t="str">
        <f t="shared" si="64"/>
        <v>Asia → Japan → Nagoya</v>
      </c>
      <c r="K237" s="3" t="str">
        <f t="shared" si="65"/>
        <v>Japan-2024-01</v>
      </c>
      <c r="L237" t="s">
        <v>652</v>
      </c>
      <c r="M237" t="s">
        <v>694</v>
      </c>
      <c r="N237" t="s">
        <v>705</v>
      </c>
      <c r="O237" t="s">
        <v>708</v>
      </c>
      <c r="P237" t="s">
        <v>1423</v>
      </c>
      <c r="Q237" t="s">
        <v>728</v>
      </c>
      <c r="R237" t="s">
        <v>969</v>
      </c>
      <c r="S237" s="5">
        <v>1237.68</v>
      </c>
      <c r="T237" s="5">
        <v>1432.8</v>
      </c>
      <c r="U237" s="5" t="str">
        <f t="shared" si="66"/>
        <v>Valid</v>
      </c>
      <c r="V237" s="5">
        <f t="shared" si="57"/>
        <v>1432.8</v>
      </c>
      <c r="W237" s="5" t="str">
        <f t="shared" si="67"/>
        <v>Medium</v>
      </c>
      <c r="X237" s="5">
        <v>6.8000000000000005E-2</v>
      </c>
      <c r="Y237" s="5" t="str">
        <f t="shared" si="68"/>
        <v>Valid</v>
      </c>
      <c r="Z237" s="5">
        <f t="shared" si="69"/>
        <v>6.8000000000000005E-2</v>
      </c>
      <c r="AA237" s="5">
        <v>13</v>
      </c>
      <c r="AB237">
        <f t="shared" si="70"/>
        <v>17359.804799999998</v>
      </c>
      <c r="AC237">
        <f t="shared" si="58"/>
        <v>16089.84</v>
      </c>
      <c r="AD237">
        <f t="shared" si="71"/>
        <v>1269.9647999999979</v>
      </c>
      <c r="AE237">
        <f t="shared" si="72"/>
        <v>7.315547695559331E-2</v>
      </c>
      <c r="AF237">
        <f t="shared" si="73"/>
        <v>0</v>
      </c>
      <c r="AG237">
        <f t="shared" si="74"/>
        <v>0</v>
      </c>
      <c r="AK237">
        <f>AA237*(1+What_if_Analysis!$B$4)</f>
        <v>15.6</v>
      </c>
      <c r="AL237" s="5">
        <f>MIN(Z237,What_if_Analysis!$B$2)</f>
        <v>0.05</v>
      </c>
      <c r="AM237">
        <f t="shared" si="75"/>
        <v>21234.095999999998</v>
      </c>
      <c r="AN237">
        <f>AM237-(AK237*(T237*(1+What_if_Analysis!$B$3)))</f>
        <v>-3352.752000000004</v>
      </c>
    </row>
    <row r="238" spans="1:40" x14ac:dyDescent="0.3">
      <c r="A238" t="s">
        <v>250</v>
      </c>
      <c r="B238" s="3">
        <v>45548</v>
      </c>
      <c r="C238" s="3" t="str">
        <f t="shared" si="59"/>
        <v>Sept-2024</v>
      </c>
      <c r="D238" s="3" t="str">
        <f t="shared" si="60"/>
        <v>Q3-2024</v>
      </c>
      <c r="E238" s="3">
        <v>45567</v>
      </c>
      <c r="F238" s="3" t="str">
        <f t="shared" si="61"/>
        <v>Valid</v>
      </c>
      <c r="G238" s="12">
        <f t="shared" si="62"/>
        <v>19</v>
      </c>
      <c r="H238" s="3">
        <f t="shared" si="63"/>
        <v>45567</v>
      </c>
      <c r="I238" t="s">
        <v>646</v>
      </c>
      <c r="J238" t="str">
        <f t="shared" si="64"/>
        <v>Africa → Kenya → Mombasa</v>
      </c>
      <c r="K238" s="3" t="str">
        <f t="shared" si="65"/>
        <v>Kenya-2024-09</v>
      </c>
      <c r="L238" t="s">
        <v>650</v>
      </c>
      <c r="M238" t="s">
        <v>675</v>
      </c>
      <c r="N238" t="s">
        <v>705</v>
      </c>
      <c r="O238" t="s">
        <v>707</v>
      </c>
      <c r="P238" t="s">
        <v>724</v>
      </c>
      <c r="Q238" t="s">
        <v>730</v>
      </c>
      <c r="R238" t="s">
        <v>970</v>
      </c>
      <c r="S238" s="5">
        <v>1338.99</v>
      </c>
      <c r="T238" s="5">
        <v>1765.76</v>
      </c>
      <c r="U238" s="5" t="str">
        <f t="shared" si="66"/>
        <v>Valid</v>
      </c>
      <c r="V238" s="5">
        <f t="shared" si="57"/>
        <v>1765.76</v>
      </c>
      <c r="W238" s="5" t="str">
        <f t="shared" si="67"/>
        <v>Medium</v>
      </c>
      <c r="X238" s="5">
        <v>0.126</v>
      </c>
      <c r="Y238" s="5" t="str">
        <f t="shared" si="68"/>
        <v>Valid</v>
      </c>
      <c r="Z238" s="5">
        <f t="shared" si="69"/>
        <v>0.126</v>
      </c>
      <c r="AA238" s="5">
        <v>24</v>
      </c>
      <c r="AB238">
        <f t="shared" si="70"/>
        <v>37038.581760000001</v>
      </c>
      <c r="AC238">
        <f t="shared" si="58"/>
        <v>32135.760000000002</v>
      </c>
      <c r="AD238">
        <f t="shared" si="71"/>
        <v>4902.8217599999989</v>
      </c>
      <c r="AE238">
        <f t="shared" si="72"/>
        <v>0.1323706666677725</v>
      </c>
      <c r="AF238">
        <f t="shared" si="73"/>
        <v>0</v>
      </c>
      <c r="AG238">
        <f t="shared" si="74"/>
        <v>0</v>
      </c>
      <c r="AK238">
        <f>AA238*(1+What_if_Analysis!$B$4)</f>
        <v>28.799999999999997</v>
      </c>
      <c r="AL238" s="5">
        <f>MIN(Z238,What_if_Analysis!$B$2)</f>
        <v>0.05</v>
      </c>
      <c r="AM238">
        <f t="shared" si="75"/>
        <v>48311.193599999991</v>
      </c>
      <c r="AN238">
        <f>AM238-(AK238*(T238*(1+What_if_Analysis!$B$3)))</f>
        <v>-7628.0832000000082</v>
      </c>
    </row>
    <row r="239" spans="1:40" x14ac:dyDescent="0.3">
      <c r="A239" t="s">
        <v>251</v>
      </c>
      <c r="B239" s="3">
        <v>45855</v>
      </c>
      <c r="C239" s="3" t="str">
        <f t="shared" si="59"/>
        <v>Jul-2025</v>
      </c>
      <c r="D239" s="3" t="str">
        <f t="shared" si="60"/>
        <v>Q3-2025</v>
      </c>
      <c r="E239" s="3">
        <v>45861</v>
      </c>
      <c r="F239" s="3" t="str">
        <f t="shared" si="61"/>
        <v>Valid</v>
      </c>
      <c r="G239" s="12">
        <f t="shared" si="62"/>
        <v>6</v>
      </c>
      <c r="H239" s="3">
        <f t="shared" si="63"/>
        <v>45861</v>
      </c>
      <c r="I239" t="s">
        <v>648</v>
      </c>
      <c r="J239" t="str">
        <f t="shared" si="64"/>
        <v>Americas → Canada → Vancouver</v>
      </c>
      <c r="K239" s="3" t="str">
        <f t="shared" si="65"/>
        <v>Canada-2025-07</v>
      </c>
      <c r="L239" t="s">
        <v>653</v>
      </c>
      <c r="M239" t="s">
        <v>688</v>
      </c>
      <c r="N239" t="s">
        <v>704</v>
      </c>
      <c r="O239" t="s">
        <v>708</v>
      </c>
      <c r="P239" t="s">
        <v>722</v>
      </c>
      <c r="Q239" t="s">
        <v>727</v>
      </c>
      <c r="R239" t="s">
        <v>971</v>
      </c>
      <c r="S239" s="5">
        <v>1364.89</v>
      </c>
      <c r="T239" s="5">
        <v>2757.54</v>
      </c>
      <c r="U239" s="5" t="str">
        <f t="shared" si="66"/>
        <v>Valid</v>
      </c>
      <c r="V239" s="5">
        <f t="shared" si="57"/>
        <v>2757.54</v>
      </c>
      <c r="W239" s="5" t="str">
        <f t="shared" si="67"/>
        <v>High</v>
      </c>
      <c r="X239" s="5">
        <v>0.17199999999999999</v>
      </c>
      <c r="Y239" s="5" t="str">
        <f t="shared" si="68"/>
        <v>Valid</v>
      </c>
      <c r="Z239" s="5">
        <f t="shared" si="69"/>
        <v>0.17199999999999999</v>
      </c>
      <c r="AA239" s="5">
        <v>61</v>
      </c>
      <c r="AB239">
        <f t="shared" si="70"/>
        <v>139277.83032000001</v>
      </c>
      <c r="AC239">
        <f t="shared" si="58"/>
        <v>83258.290000000008</v>
      </c>
      <c r="AD239">
        <f t="shared" si="71"/>
        <v>56019.54032</v>
      </c>
      <c r="AE239">
        <f t="shared" si="72"/>
        <v>0.4022143379983118</v>
      </c>
      <c r="AF239">
        <f t="shared" si="73"/>
        <v>1</v>
      </c>
      <c r="AG239">
        <f t="shared" si="74"/>
        <v>0</v>
      </c>
      <c r="AK239">
        <f>AA239*(1+What_if_Analysis!$B$4)</f>
        <v>73.2</v>
      </c>
      <c r="AL239" s="5">
        <f>MIN(Z239,What_if_Analysis!$B$2)</f>
        <v>0.05</v>
      </c>
      <c r="AM239">
        <f t="shared" si="75"/>
        <v>191759.3316</v>
      </c>
      <c r="AN239">
        <f>AM239-(AK239*(T239*(1+What_if_Analysis!$B$3)))</f>
        <v>-30277.789200000028</v>
      </c>
    </row>
    <row r="240" spans="1:40" x14ac:dyDescent="0.3">
      <c r="A240" t="s">
        <v>252</v>
      </c>
      <c r="B240" s="3">
        <v>45258</v>
      </c>
      <c r="C240" s="3" t="str">
        <f t="shared" si="59"/>
        <v>Nov-2023</v>
      </c>
      <c r="D240" s="3" t="str">
        <f t="shared" si="60"/>
        <v>Q4-2023</v>
      </c>
      <c r="E240" s="3">
        <v>45267</v>
      </c>
      <c r="F240" s="3" t="str">
        <f t="shared" si="61"/>
        <v>Valid</v>
      </c>
      <c r="G240" s="12">
        <f t="shared" si="62"/>
        <v>9</v>
      </c>
      <c r="H240" s="3">
        <f t="shared" si="63"/>
        <v>45267</v>
      </c>
      <c r="I240" t="s">
        <v>647</v>
      </c>
      <c r="J240" t="str">
        <f t="shared" si="64"/>
        <v>Asia → India → Delhi</v>
      </c>
      <c r="K240" s="3" t="str">
        <f t="shared" si="65"/>
        <v>India-2023-11</v>
      </c>
      <c r="L240" t="s">
        <v>654</v>
      </c>
      <c r="M240" t="s">
        <v>680</v>
      </c>
      <c r="N240" t="s">
        <v>706</v>
      </c>
      <c r="O240" t="s">
        <v>709</v>
      </c>
      <c r="P240" t="s">
        <v>716</v>
      </c>
      <c r="Q240" t="s">
        <v>730</v>
      </c>
      <c r="R240" t="s">
        <v>972</v>
      </c>
      <c r="S240" s="5">
        <v>699.33</v>
      </c>
      <c r="T240" s="5">
        <v>873.75</v>
      </c>
      <c r="U240" s="5" t="str">
        <f t="shared" si="66"/>
        <v>Valid</v>
      </c>
      <c r="V240" s="5">
        <f t="shared" si="57"/>
        <v>873.75</v>
      </c>
      <c r="W240" s="5" t="str">
        <f t="shared" si="67"/>
        <v>Medium</v>
      </c>
      <c r="X240" s="5">
        <v>0.23499999999999999</v>
      </c>
      <c r="Y240" s="5" t="str">
        <f t="shared" si="68"/>
        <v>Valid</v>
      </c>
      <c r="Z240" s="5">
        <f t="shared" si="69"/>
        <v>0.23499999999999999</v>
      </c>
      <c r="AA240" s="5">
        <v>10</v>
      </c>
      <c r="AB240">
        <f t="shared" si="70"/>
        <v>6684.1875</v>
      </c>
      <c r="AC240">
        <f t="shared" si="58"/>
        <v>6993.3</v>
      </c>
      <c r="AD240">
        <f t="shared" si="71"/>
        <v>-309.11250000000018</v>
      </c>
      <c r="AE240">
        <f t="shared" si="72"/>
        <v>-4.6245336475076469E-2</v>
      </c>
      <c r="AF240">
        <f t="shared" si="73"/>
        <v>0</v>
      </c>
      <c r="AG240">
        <f t="shared" si="74"/>
        <v>1</v>
      </c>
      <c r="AK240">
        <f>AA240*(1+What_if_Analysis!$B$4)</f>
        <v>12</v>
      </c>
      <c r="AL240" s="5">
        <f>MIN(Z240,What_if_Analysis!$B$2)</f>
        <v>0.05</v>
      </c>
      <c r="AM240">
        <f t="shared" si="75"/>
        <v>9960.75</v>
      </c>
      <c r="AN240">
        <f>AM240-(AK240*(T240*(1+What_if_Analysis!$B$3)))</f>
        <v>-1572.7500000000018</v>
      </c>
    </row>
    <row r="241" spans="1:40" x14ac:dyDescent="0.3">
      <c r="A241" t="s">
        <v>253</v>
      </c>
      <c r="B241" s="3">
        <v>45381</v>
      </c>
      <c r="C241" s="3" t="str">
        <f t="shared" si="59"/>
        <v>Mar-2024</v>
      </c>
      <c r="D241" s="3" t="str">
        <f t="shared" si="60"/>
        <v>Q1-2024</v>
      </c>
      <c r="E241" s="3">
        <v>45406</v>
      </c>
      <c r="F241" s="3" t="str">
        <f t="shared" si="61"/>
        <v>Valid</v>
      </c>
      <c r="G241" s="12">
        <f t="shared" si="62"/>
        <v>25</v>
      </c>
      <c r="H241" s="3">
        <f t="shared" si="63"/>
        <v>45406</v>
      </c>
      <c r="I241" t="s">
        <v>648</v>
      </c>
      <c r="J241" t="str">
        <f t="shared" si="64"/>
        <v>Americas → USA → Austin</v>
      </c>
      <c r="K241" s="3" t="str">
        <f t="shared" si="65"/>
        <v>USA-2024-03</v>
      </c>
      <c r="L241" t="s">
        <v>660</v>
      </c>
      <c r="M241" t="s">
        <v>697</v>
      </c>
      <c r="N241" t="s">
        <v>703</v>
      </c>
      <c r="O241" t="s">
        <v>708</v>
      </c>
      <c r="P241" t="s">
        <v>715</v>
      </c>
      <c r="Q241" t="s">
        <v>731</v>
      </c>
      <c r="R241" t="s">
        <v>973</v>
      </c>
      <c r="S241" s="5">
        <v>160.82</v>
      </c>
      <c r="T241" s="5">
        <v>258.52</v>
      </c>
      <c r="U241" s="5" t="str">
        <f t="shared" si="66"/>
        <v>Valid</v>
      </c>
      <c r="V241" s="5">
        <f t="shared" si="57"/>
        <v>258.52</v>
      </c>
      <c r="W241" s="5" t="str">
        <f t="shared" si="67"/>
        <v>Low</v>
      </c>
      <c r="X241" s="5">
        <v>0.13</v>
      </c>
      <c r="Y241" s="5" t="str">
        <f t="shared" si="68"/>
        <v>Valid</v>
      </c>
      <c r="Z241" s="5">
        <f t="shared" si="69"/>
        <v>0.13</v>
      </c>
      <c r="AA241" s="5">
        <v>17</v>
      </c>
      <c r="AB241">
        <f t="shared" si="70"/>
        <v>3823.5108</v>
      </c>
      <c r="AC241">
        <f t="shared" si="58"/>
        <v>2733.94</v>
      </c>
      <c r="AD241">
        <f t="shared" si="71"/>
        <v>1089.5708</v>
      </c>
      <c r="AE241">
        <f t="shared" si="72"/>
        <v>0.28496605789631874</v>
      </c>
      <c r="AF241">
        <f t="shared" si="73"/>
        <v>0</v>
      </c>
      <c r="AG241">
        <f t="shared" si="74"/>
        <v>0</v>
      </c>
      <c r="AK241">
        <f>AA241*(1+What_if_Analysis!$B$4)</f>
        <v>20.399999999999999</v>
      </c>
      <c r="AL241" s="5">
        <f>MIN(Z241,What_if_Analysis!$B$2)</f>
        <v>0.05</v>
      </c>
      <c r="AM241">
        <f t="shared" si="75"/>
        <v>5010.1175999999987</v>
      </c>
      <c r="AN241">
        <f>AM241-(AK241*(T241*(1+What_if_Analysis!$B$3)))</f>
        <v>-791.07120000000123</v>
      </c>
    </row>
    <row r="242" spans="1:40" x14ac:dyDescent="0.3">
      <c r="A242" t="s">
        <v>254</v>
      </c>
      <c r="B242" s="3">
        <v>45188</v>
      </c>
      <c r="C242" s="3" t="str">
        <f t="shared" si="59"/>
        <v>Sept-2023</v>
      </c>
      <c r="D242" s="3" t="str">
        <f t="shared" si="60"/>
        <v>Q3-2023</v>
      </c>
      <c r="E242" s="3">
        <v>45207</v>
      </c>
      <c r="F242" s="3" t="str">
        <f t="shared" si="61"/>
        <v>Valid</v>
      </c>
      <c r="G242" s="12">
        <f t="shared" si="62"/>
        <v>19</v>
      </c>
      <c r="H242" s="3">
        <f t="shared" si="63"/>
        <v>45207</v>
      </c>
      <c r="I242" t="s">
        <v>647</v>
      </c>
      <c r="J242" t="str">
        <f t="shared" si="64"/>
        <v>Asia → India → Bengaluru</v>
      </c>
      <c r="K242" s="3" t="str">
        <f t="shared" si="65"/>
        <v>India-2023-09</v>
      </c>
      <c r="L242" t="s">
        <v>654</v>
      </c>
      <c r="M242" t="s">
        <v>668</v>
      </c>
      <c r="N242" t="s">
        <v>702</v>
      </c>
      <c r="O242" t="s">
        <v>711</v>
      </c>
      <c r="P242" t="s">
        <v>713</v>
      </c>
      <c r="Q242" t="s">
        <v>728</v>
      </c>
      <c r="R242" t="s">
        <v>974</v>
      </c>
      <c r="S242" s="5">
        <v>385.32</v>
      </c>
      <c r="T242" s="5">
        <v>606.76</v>
      </c>
      <c r="U242" s="5" t="str">
        <f t="shared" si="66"/>
        <v>Valid</v>
      </c>
      <c r="V242" s="5">
        <f t="shared" si="57"/>
        <v>606.76</v>
      </c>
      <c r="W242" s="5" t="str">
        <f t="shared" si="67"/>
        <v>Low</v>
      </c>
      <c r="X242" s="5">
        <v>8.5999999999999993E-2</v>
      </c>
      <c r="Y242" s="5" t="str">
        <f t="shared" si="68"/>
        <v>Valid</v>
      </c>
      <c r="Z242" s="5">
        <f t="shared" si="69"/>
        <v>8.5999999999999993E-2</v>
      </c>
      <c r="AA242" s="5">
        <v>8</v>
      </c>
      <c r="AB242">
        <f t="shared" si="70"/>
        <v>4436.6291200000005</v>
      </c>
      <c r="AC242">
        <f t="shared" si="58"/>
        <v>3082.56</v>
      </c>
      <c r="AD242">
        <f t="shared" si="71"/>
        <v>1354.0691200000006</v>
      </c>
      <c r="AE242">
        <f t="shared" si="72"/>
        <v>0.30520223425842735</v>
      </c>
      <c r="AF242">
        <f t="shared" si="73"/>
        <v>0</v>
      </c>
      <c r="AG242">
        <f t="shared" si="74"/>
        <v>0</v>
      </c>
      <c r="AK242">
        <f>AA242*(1+What_if_Analysis!$B$4)</f>
        <v>9.6</v>
      </c>
      <c r="AL242" s="5">
        <f>MIN(Z242,What_if_Analysis!$B$2)</f>
        <v>0.05</v>
      </c>
      <c r="AM242">
        <f t="shared" si="75"/>
        <v>5533.6511999999993</v>
      </c>
      <c r="AN242">
        <f>AM242-(AK242*(T242*(1+What_if_Analysis!$B$3)))</f>
        <v>-873.73440000000119</v>
      </c>
    </row>
    <row r="243" spans="1:40" x14ac:dyDescent="0.3">
      <c r="A243" t="s">
        <v>255</v>
      </c>
      <c r="B243" s="3">
        <v>45793</v>
      </c>
      <c r="C243" s="3" t="str">
        <f t="shared" si="59"/>
        <v>May-2025</v>
      </c>
      <c r="D243" s="3" t="str">
        <f t="shared" si="60"/>
        <v>Q2-2025</v>
      </c>
      <c r="E243" s="3">
        <v>45804</v>
      </c>
      <c r="F243" s="3" t="str">
        <f t="shared" si="61"/>
        <v>Valid</v>
      </c>
      <c r="G243" s="12">
        <f t="shared" si="62"/>
        <v>11</v>
      </c>
      <c r="H243" s="3">
        <f t="shared" si="63"/>
        <v>45804</v>
      </c>
      <c r="I243" t="s">
        <v>647</v>
      </c>
      <c r="J243" t="str">
        <f t="shared" si="64"/>
        <v>Asia → China → Beijing</v>
      </c>
      <c r="K243" s="3" t="str">
        <f t="shared" si="65"/>
        <v>China-2025-05</v>
      </c>
      <c r="L243" t="s">
        <v>659</v>
      </c>
      <c r="M243" t="s">
        <v>699</v>
      </c>
      <c r="N243" t="s">
        <v>706</v>
      </c>
      <c r="O243" t="s">
        <v>708</v>
      </c>
      <c r="P243" t="s">
        <v>721</v>
      </c>
      <c r="Q243" t="s">
        <v>730</v>
      </c>
      <c r="R243" t="s">
        <v>975</v>
      </c>
      <c r="S243" s="5">
        <v>918.12</v>
      </c>
      <c r="T243" s="5">
        <v>1337.69</v>
      </c>
      <c r="U243" s="5" t="str">
        <f t="shared" si="66"/>
        <v>Valid</v>
      </c>
      <c r="V243" s="5">
        <f t="shared" si="57"/>
        <v>1337.69</v>
      </c>
      <c r="W243" s="5" t="str">
        <f t="shared" si="67"/>
        <v>Medium</v>
      </c>
      <c r="X243" s="5">
        <v>9.5000000000000001E-2</v>
      </c>
      <c r="Y243" s="5" t="str">
        <f t="shared" si="68"/>
        <v>Valid</v>
      </c>
      <c r="Z243" s="5">
        <f t="shared" si="69"/>
        <v>9.5000000000000001E-2</v>
      </c>
      <c r="AA243" s="5">
        <v>8</v>
      </c>
      <c r="AB243">
        <f t="shared" si="70"/>
        <v>9684.8756000000012</v>
      </c>
      <c r="AC243">
        <f t="shared" si="58"/>
        <v>7344.96</v>
      </c>
      <c r="AD243">
        <f t="shared" si="71"/>
        <v>2339.9156000000012</v>
      </c>
      <c r="AE243">
        <f t="shared" si="72"/>
        <v>0.24160512707050164</v>
      </c>
      <c r="AF243">
        <f t="shared" si="73"/>
        <v>0</v>
      </c>
      <c r="AG243">
        <f t="shared" si="74"/>
        <v>0</v>
      </c>
      <c r="AK243">
        <f>AA243*(1+What_if_Analysis!$B$4)</f>
        <v>9.6</v>
      </c>
      <c r="AL243" s="5">
        <f>MIN(Z243,What_if_Analysis!$B$2)</f>
        <v>0.05</v>
      </c>
      <c r="AM243">
        <f t="shared" si="75"/>
        <v>12199.7328</v>
      </c>
      <c r="AN243">
        <f>AM243-(AK243*(T243*(1+What_if_Analysis!$B$3)))</f>
        <v>-1926.2736000000023</v>
      </c>
    </row>
    <row r="244" spans="1:40" x14ac:dyDescent="0.3">
      <c r="A244" t="s">
        <v>256</v>
      </c>
      <c r="B244" s="3">
        <v>45871</v>
      </c>
      <c r="C244" s="3" t="str">
        <f t="shared" si="59"/>
        <v>Aug-2025</v>
      </c>
      <c r="D244" s="3" t="str">
        <f t="shared" si="60"/>
        <v>Q3-2025</v>
      </c>
      <c r="E244" s="3">
        <v>45877</v>
      </c>
      <c r="F244" s="3" t="str">
        <f t="shared" si="61"/>
        <v>Valid</v>
      </c>
      <c r="G244" s="12">
        <f t="shared" si="62"/>
        <v>6</v>
      </c>
      <c r="H244" s="3">
        <f t="shared" si="63"/>
        <v>45877</v>
      </c>
      <c r="I244" t="s">
        <v>647</v>
      </c>
      <c r="J244" t="str">
        <f t="shared" si="64"/>
        <v>Asia → Japan → Osaka</v>
      </c>
      <c r="K244" s="3" t="str">
        <f t="shared" si="65"/>
        <v>Japan-2025-08</v>
      </c>
      <c r="L244" t="s">
        <v>652</v>
      </c>
      <c r="M244" t="s">
        <v>666</v>
      </c>
      <c r="N244" t="s">
        <v>704</v>
      </c>
      <c r="O244" t="s">
        <v>711</v>
      </c>
      <c r="P244" t="s">
        <v>725</v>
      </c>
      <c r="Q244" t="s">
        <v>731</v>
      </c>
      <c r="R244" t="s">
        <v>976</v>
      </c>
      <c r="S244" s="5">
        <v>1225.94</v>
      </c>
      <c r="T244" s="5">
        <v>1793.08</v>
      </c>
      <c r="U244" s="5" t="str">
        <f t="shared" si="66"/>
        <v>Valid</v>
      </c>
      <c r="V244" s="5">
        <f t="shared" si="57"/>
        <v>1793.08</v>
      </c>
      <c r="W244" s="5" t="str">
        <f t="shared" si="67"/>
        <v>Medium</v>
      </c>
      <c r="X244" s="5">
        <v>0.13600000000000001</v>
      </c>
      <c r="Y244" s="5" t="str">
        <f t="shared" si="68"/>
        <v>Valid</v>
      </c>
      <c r="Z244" s="5">
        <f t="shared" si="69"/>
        <v>0.13600000000000001</v>
      </c>
      <c r="AA244" s="5">
        <v>22</v>
      </c>
      <c r="AB244">
        <f t="shared" si="70"/>
        <v>34082.864639999993</v>
      </c>
      <c r="AC244">
        <f t="shared" si="58"/>
        <v>26970.68</v>
      </c>
      <c r="AD244">
        <f t="shared" si="71"/>
        <v>7112.1846399999922</v>
      </c>
      <c r="AE244">
        <f t="shared" si="72"/>
        <v>0.20867332353434462</v>
      </c>
      <c r="AF244">
        <f t="shared" si="73"/>
        <v>1</v>
      </c>
      <c r="AG244">
        <f t="shared" si="74"/>
        <v>0</v>
      </c>
      <c r="AK244">
        <f>AA244*(1+What_if_Analysis!$B$4)</f>
        <v>26.4</v>
      </c>
      <c r="AL244" s="5">
        <f>MIN(Z244,What_if_Analysis!$B$2)</f>
        <v>0.05</v>
      </c>
      <c r="AM244">
        <f t="shared" si="75"/>
        <v>44970.446399999993</v>
      </c>
      <c r="AN244">
        <f>AM244-(AK244*(T244*(1+What_if_Analysis!$B$3)))</f>
        <v>-7100.5968000000066</v>
      </c>
    </row>
    <row r="245" spans="1:40" x14ac:dyDescent="0.3">
      <c r="A245" t="s">
        <v>257</v>
      </c>
      <c r="B245" s="3">
        <v>45630</v>
      </c>
      <c r="C245" s="3" t="str">
        <f t="shared" si="59"/>
        <v>Dec-2024</v>
      </c>
      <c r="D245" s="3" t="str">
        <f t="shared" si="60"/>
        <v>Q4-2024</v>
      </c>
      <c r="E245" s="3">
        <v>45638</v>
      </c>
      <c r="F245" s="3" t="str">
        <f t="shared" si="61"/>
        <v>Valid</v>
      </c>
      <c r="G245" s="12">
        <f t="shared" si="62"/>
        <v>8</v>
      </c>
      <c r="H245" s="3">
        <f t="shared" si="63"/>
        <v>45638</v>
      </c>
      <c r="I245" t="s">
        <v>649</v>
      </c>
      <c r="J245" t="str">
        <f t="shared" si="64"/>
        <v>Europe → Germany → Frankfurt</v>
      </c>
      <c r="K245" s="3" t="str">
        <f t="shared" si="65"/>
        <v>Germany-2024-12</v>
      </c>
      <c r="L245" t="s">
        <v>656</v>
      </c>
      <c r="M245" t="s">
        <v>698</v>
      </c>
      <c r="N245" t="s">
        <v>706</v>
      </c>
      <c r="O245" t="s">
        <v>709</v>
      </c>
      <c r="P245" t="s">
        <v>717</v>
      </c>
      <c r="Q245" t="s">
        <v>728</v>
      </c>
      <c r="R245" t="s">
        <v>977</v>
      </c>
      <c r="S245" s="5">
        <v>72.06</v>
      </c>
      <c r="T245" s="5">
        <v>122.74</v>
      </c>
      <c r="U245" s="5" t="str">
        <f t="shared" si="66"/>
        <v>Valid</v>
      </c>
      <c r="V245" s="5">
        <f t="shared" si="57"/>
        <v>122.74</v>
      </c>
      <c r="W245" s="5" t="str">
        <f t="shared" si="67"/>
        <v>Low</v>
      </c>
      <c r="X245" s="5">
        <v>0.23799999999999999</v>
      </c>
      <c r="Y245" s="5" t="str">
        <f t="shared" si="68"/>
        <v>Valid</v>
      </c>
      <c r="Z245" s="5">
        <f t="shared" si="69"/>
        <v>0.23799999999999999</v>
      </c>
      <c r="AA245" s="5">
        <v>8</v>
      </c>
      <c r="AB245">
        <f t="shared" si="70"/>
        <v>748.22303999999997</v>
      </c>
      <c r="AC245">
        <f t="shared" si="58"/>
        <v>576.48</v>
      </c>
      <c r="AD245">
        <f t="shared" si="71"/>
        <v>171.74303999999995</v>
      </c>
      <c r="AE245">
        <f t="shared" si="72"/>
        <v>0.22953455162246802</v>
      </c>
      <c r="AF245">
        <f t="shared" si="73"/>
        <v>0</v>
      </c>
      <c r="AG245">
        <f t="shared" si="74"/>
        <v>1</v>
      </c>
      <c r="AK245">
        <f>AA245*(1+What_if_Analysis!$B$4)</f>
        <v>9.6</v>
      </c>
      <c r="AL245" s="5">
        <f>MIN(Z245,What_if_Analysis!$B$2)</f>
        <v>0.05</v>
      </c>
      <c r="AM245">
        <f t="shared" si="75"/>
        <v>1119.3887999999997</v>
      </c>
      <c r="AN245">
        <f>AM245-(AK245*(T245*(1+What_if_Analysis!$B$3)))</f>
        <v>-176.74560000000042</v>
      </c>
    </row>
    <row r="246" spans="1:40" x14ac:dyDescent="0.3">
      <c r="A246" t="s">
        <v>258</v>
      </c>
      <c r="B246" s="3">
        <v>45035</v>
      </c>
      <c r="C246" s="3" t="str">
        <f t="shared" si="59"/>
        <v>Apr-2023</v>
      </c>
      <c r="D246" s="3" t="str">
        <f t="shared" si="60"/>
        <v>Q2-2023</v>
      </c>
      <c r="E246" s="3">
        <v>45044</v>
      </c>
      <c r="F246" s="3" t="str">
        <f t="shared" si="61"/>
        <v>Valid</v>
      </c>
      <c r="G246" s="12">
        <f t="shared" si="62"/>
        <v>9</v>
      </c>
      <c r="H246" s="3">
        <f t="shared" si="63"/>
        <v>45044</v>
      </c>
      <c r="I246" t="s">
        <v>648</v>
      </c>
      <c r="J246" t="str">
        <f t="shared" si="64"/>
        <v>Americas → Brazil → Rio de Janeiro</v>
      </c>
      <c r="K246" s="3" t="str">
        <f t="shared" si="65"/>
        <v>Brazil-2023-04</v>
      </c>
      <c r="L246" t="s">
        <v>655</v>
      </c>
      <c r="M246" t="s">
        <v>692</v>
      </c>
      <c r="N246" t="s">
        <v>701</v>
      </c>
      <c r="O246" t="s">
        <v>710</v>
      </c>
      <c r="P246" t="s">
        <v>724</v>
      </c>
      <c r="Q246" t="s">
        <v>730</v>
      </c>
      <c r="R246" t="s">
        <v>978</v>
      </c>
      <c r="S246" s="5">
        <v>1013.54</v>
      </c>
      <c r="T246" s="5">
        <v>927.93</v>
      </c>
      <c r="U246" s="5" t="str">
        <f t="shared" si="66"/>
        <v>Valid</v>
      </c>
      <c r="V246" s="5">
        <f t="shared" si="57"/>
        <v>927.93</v>
      </c>
      <c r="W246" s="5" t="str">
        <f t="shared" si="67"/>
        <v>Medium</v>
      </c>
      <c r="X246" s="5">
        <v>0.17499999999999999</v>
      </c>
      <c r="Y246" s="5" t="str">
        <f t="shared" si="68"/>
        <v>Valid</v>
      </c>
      <c r="Z246" s="5">
        <f t="shared" si="69"/>
        <v>0.17499999999999999</v>
      </c>
      <c r="AA246" s="5">
        <v>16</v>
      </c>
      <c r="AB246">
        <f t="shared" si="70"/>
        <v>12248.675999999999</v>
      </c>
      <c r="AC246">
        <f t="shared" si="58"/>
        <v>16216.64</v>
      </c>
      <c r="AD246">
        <f t="shared" si="71"/>
        <v>-3967.9639999999999</v>
      </c>
      <c r="AE246">
        <f t="shared" si="72"/>
        <v>-0.32395044166406234</v>
      </c>
      <c r="AF246">
        <f t="shared" si="73"/>
        <v>0</v>
      </c>
      <c r="AG246">
        <f t="shared" si="74"/>
        <v>0</v>
      </c>
      <c r="AK246">
        <f>AA246*(1+What_if_Analysis!$B$4)</f>
        <v>19.2</v>
      </c>
      <c r="AL246" s="5">
        <f>MIN(Z246,What_if_Analysis!$B$2)</f>
        <v>0.05</v>
      </c>
      <c r="AM246">
        <f t="shared" si="75"/>
        <v>16925.443199999998</v>
      </c>
      <c r="AN246">
        <f>AM246-(AK246*(T246*(1+What_if_Analysis!$B$3)))</f>
        <v>-2672.4384000000027</v>
      </c>
    </row>
    <row r="247" spans="1:40" x14ac:dyDescent="0.3">
      <c r="A247" t="s">
        <v>259</v>
      </c>
      <c r="B247" s="3">
        <v>45357</v>
      </c>
      <c r="C247" s="3" t="str">
        <f t="shared" si="59"/>
        <v>Mar-2024</v>
      </c>
      <c r="D247" s="3" t="str">
        <f t="shared" si="60"/>
        <v>Q1-2024</v>
      </c>
      <c r="E247" s="3">
        <v>45377</v>
      </c>
      <c r="F247" s="3" t="str">
        <f t="shared" si="61"/>
        <v>Valid</v>
      </c>
      <c r="G247" s="12">
        <f t="shared" si="62"/>
        <v>20</v>
      </c>
      <c r="H247" s="3">
        <f t="shared" si="63"/>
        <v>45377</v>
      </c>
      <c r="I247" t="s">
        <v>646</v>
      </c>
      <c r="J247" t="str">
        <f t="shared" si="64"/>
        <v>Africa → Nigeria → Port Harcourt</v>
      </c>
      <c r="K247" s="3" t="str">
        <f t="shared" si="65"/>
        <v>Nigeria-2024-03</v>
      </c>
      <c r="L247" t="s">
        <v>651</v>
      </c>
      <c r="M247" t="s">
        <v>663</v>
      </c>
      <c r="N247" t="s">
        <v>704</v>
      </c>
      <c r="O247" t="s">
        <v>709</v>
      </c>
      <c r="P247" t="s">
        <v>714</v>
      </c>
      <c r="Q247" t="s">
        <v>730</v>
      </c>
      <c r="R247" t="s">
        <v>979</v>
      </c>
      <c r="S247" s="5">
        <v>65.64</v>
      </c>
      <c r="T247" s="5">
        <v>151.88</v>
      </c>
      <c r="U247" s="5" t="str">
        <f t="shared" si="66"/>
        <v>Valid</v>
      </c>
      <c r="V247" s="5">
        <f t="shared" si="57"/>
        <v>151.88</v>
      </c>
      <c r="W247" s="5" t="str">
        <f t="shared" si="67"/>
        <v>Low</v>
      </c>
      <c r="X247" s="5">
        <v>0.16700000000000001</v>
      </c>
      <c r="Y247" s="5" t="str">
        <f t="shared" si="68"/>
        <v>Valid</v>
      </c>
      <c r="Z247" s="5">
        <f t="shared" si="69"/>
        <v>0.16700000000000001</v>
      </c>
      <c r="AA247" s="5">
        <v>23</v>
      </c>
      <c r="AB247">
        <f t="shared" si="70"/>
        <v>2909.8689199999999</v>
      </c>
      <c r="AC247">
        <f t="shared" si="58"/>
        <v>1509.72</v>
      </c>
      <c r="AD247">
        <f t="shared" si="71"/>
        <v>1400.1489199999999</v>
      </c>
      <c r="AE247">
        <f t="shared" si="72"/>
        <v>0.48117250587356353</v>
      </c>
      <c r="AF247">
        <f t="shared" si="73"/>
        <v>0</v>
      </c>
      <c r="AG247">
        <f t="shared" si="74"/>
        <v>0</v>
      </c>
      <c r="AK247">
        <f>AA247*(1+What_if_Analysis!$B$4)</f>
        <v>27.599999999999998</v>
      </c>
      <c r="AL247" s="5">
        <f>MIN(Z247,What_if_Analysis!$B$2)</f>
        <v>0.05</v>
      </c>
      <c r="AM247">
        <f t="shared" si="75"/>
        <v>3982.2935999999995</v>
      </c>
      <c r="AN247">
        <f>AM247-(AK247*(T247*(1+What_if_Analysis!$B$3)))</f>
        <v>-628.78320000000031</v>
      </c>
    </row>
    <row r="248" spans="1:40" x14ac:dyDescent="0.3">
      <c r="A248" t="s">
        <v>260</v>
      </c>
      <c r="B248" s="3">
        <v>45338</v>
      </c>
      <c r="C248" s="3" t="str">
        <f t="shared" si="59"/>
        <v>Feb-2024</v>
      </c>
      <c r="D248" s="3" t="str">
        <f t="shared" si="60"/>
        <v>Q1-2024</v>
      </c>
      <c r="E248" s="3">
        <v>45355</v>
      </c>
      <c r="F248" s="3" t="str">
        <f t="shared" si="61"/>
        <v>Valid</v>
      </c>
      <c r="G248" s="12">
        <f t="shared" si="62"/>
        <v>17</v>
      </c>
      <c r="H248" s="3">
        <f t="shared" si="63"/>
        <v>45355</v>
      </c>
      <c r="I248" t="s">
        <v>648</v>
      </c>
      <c r="J248" t="str">
        <f t="shared" si="64"/>
        <v>Americas → Canada → Montreal</v>
      </c>
      <c r="K248" s="3" t="str">
        <f t="shared" si="65"/>
        <v>Canada-2024-02</v>
      </c>
      <c r="L248" t="s">
        <v>653</v>
      </c>
      <c r="M248" t="s">
        <v>681</v>
      </c>
      <c r="N248" t="s">
        <v>703</v>
      </c>
      <c r="O248" t="s">
        <v>707</v>
      </c>
      <c r="P248" t="s">
        <v>726</v>
      </c>
      <c r="Q248" t="s">
        <v>731</v>
      </c>
      <c r="R248" t="s">
        <v>980</v>
      </c>
      <c r="S248" s="5">
        <v>1350.98</v>
      </c>
      <c r="T248" s="5">
        <v>2210.4</v>
      </c>
      <c r="U248" s="5" t="str">
        <f t="shared" si="66"/>
        <v>Valid</v>
      </c>
      <c r="V248" s="5">
        <f t="shared" si="57"/>
        <v>2210.4</v>
      </c>
      <c r="W248" s="5" t="str">
        <f t="shared" si="67"/>
        <v>High</v>
      </c>
      <c r="X248" s="5">
        <v>0.26300000000000001</v>
      </c>
      <c r="Y248" s="5" t="str">
        <f t="shared" si="68"/>
        <v>Valid</v>
      </c>
      <c r="Z248" s="5">
        <f t="shared" si="69"/>
        <v>0.26300000000000001</v>
      </c>
      <c r="AA248" s="5">
        <v>6</v>
      </c>
      <c r="AB248">
        <f t="shared" si="70"/>
        <v>9774.3888000000006</v>
      </c>
      <c r="AC248">
        <f t="shared" si="58"/>
        <v>8105.88</v>
      </c>
      <c r="AD248">
        <f t="shared" si="71"/>
        <v>1668.5088000000005</v>
      </c>
      <c r="AE248">
        <f t="shared" si="72"/>
        <v>0.17070211080615091</v>
      </c>
      <c r="AF248">
        <f t="shared" si="73"/>
        <v>0</v>
      </c>
      <c r="AG248">
        <f t="shared" si="74"/>
        <v>1</v>
      </c>
      <c r="AK248">
        <f>AA248*(1+What_if_Analysis!$B$4)</f>
        <v>7.1999999999999993</v>
      </c>
      <c r="AL248" s="5">
        <f>MIN(Z248,What_if_Analysis!$B$2)</f>
        <v>0.05</v>
      </c>
      <c r="AM248">
        <f t="shared" si="75"/>
        <v>15119.135999999999</v>
      </c>
      <c r="AN248">
        <f>AM248-(AK248*(T248*(1+What_if_Analysis!$B$3)))</f>
        <v>-2387.2320000000036</v>
      </c>
    </row>
    <row r="249" spans="1:40" x14ac:dyDescent="0.3">
      <c r="A249" t="s">
        <v>261</v>
      </c>
      <c r="B249" s="3">
        <v>45769</v>
      </c>
      <c r="C249" s="3" t="str">
        <f t="shared" si="59"/>
        <v>Apr-2025</v>
      </c>
      <c r="D249" s="3" t="str">
        <f t="shared" si="60"/>
        <v>Q2-2025</v>
      </c>
      <c r="E249" s="3">
        <v>45779</v>
      </c>
      <c r="F249" s="3" t="str">
        <f t="shared" si="61"/>
        <v>Valid</v>
      </c>
      <c r="G249" s="12">
        <f t="shared" si="62"/>
        <v>10</v>
      </c>
      <c r="H249" s="3">
        <f t="shared" si="63"/>
        <v>45779</v>
      </c>
      <c r="I249" t="s">
        <v>649</v>
      </c>
      <c r="J249" t="str">
        <f t="shared" si="64"/>
        <v>Europe → Germany → Berlin</v>
      </c>
      <c r="K249" s="3" t="str">
        <f t="shared" si="65"/>
        <v>Germany-2025-04</v>
      </c>
      <c r="L249" t="s">
        <v>656</v>
      </c>
      <c r="M249" t="s">
        <v>671</v>
      </c>
      <c r="N249" t="s">
        <v>701</v>
      </c>
      <c r="O249" t="s">
        <v>709</v>
      </c>
      <c r="P249" t="s">
        <v>712</v>
      </c>
      <c r="Q249" t="s">
        <v>732</v>
      </c>
      <c r="R249" t="s">
        <v>981</v>
      </c>
      <c r="S249" s="5">
        <v>20.149999999999999</v>
      </c>
      <c r="T249" s="5">
        <v>39.74</v>
      </c>
      <c r="U249" s="5" t="str">
        <f t="shared" si="66"/>
        <v>Valid</v>
      </c>
      <c r="V249" s="5">
        <f t="shared" si="57"/>
        <v>39.74</v>
      </c>
      <c r="W249" s="5" t="str">
        <f t="shared" si="67"/>
        <v>Low</v>
      </c>
      <c r="X249" s="5">
        <v>0.151</v>
      </c>
      <c r="Y249" s="5" t="str">
        <f t="shared" si="68"/>
        <v>Valid</v>
      </c>
      <c r="Z249" s="5">
        <f t="shared" si="69"/>
        <v>0.151</v>
      </c>
      <c r="AA249" s="5">
        <v>18</v>
      </c>
      <c r="AB249">
        <f t="shared" si="70"/>
        <v>607.30668000000003</v>
      </c>
      <c r="AC249">
        <f t="shared" si="58"/>
        <v>362.7</v>
      </c>
      <c r="AD249">
        <f t="shared" si="71"/>
        <v>244.60668000000004</v>
      </c>
      <c r="AE249">
        <f t="shared" si="72"/>
        <v>0.4027729120318585</v>
      </c>
      <c r="AF249">
        <f t="shared" si="73"/>
        <v>0</v>
      </c>
      <c r="AG249">
        <f t="shared" si="74"/>
        <v>0</v>
      </c>
      <c r="AK249">
        <f>AA249*(1+What_if_Analysis!$B$4)</f>
        <v>21.599999999999998</v>
      </c>
      <c r="AL249" s="5">
        <f>MIN(Z249,What_if_Analysis!$B$2)</f>
        <v>0.05</v>
      </c>
      <c r="AM249">
        <f t="shared" si="75"/>
        <v>815.46479999999997</v>
      </c>
      <c r="AN249">
        <f>AM249-(AK249*(T249*(1+What_if_Analysis!$B$3)))</f>
        <v>-128.75760000000002</v>
      </c>
    </row>
    <row r="250" spans="1:40" x14ac:dyDescent="0.3">
      <c r="A250" t="s">
        <v>262</v>
      </c>
      <c r="B250" s="3">
        <v>45604</v>
      </c>
      <c r="C250" s="3" t="str">
        <f t="shared" si="59"/>
        <v>Nov-2024</v>
      </c>
      <c r="D250" s="3" t="str">
        <f t="shared" si="60"/>
        <v>Q4-2024</v>
      </c>
      <c r="E250" s="3">
        <v>45604</v>
      </c>
      <c r="F250" s="3" t="str">
        <f t="shared" si="61"/>
        <v>Valid</v>
      </c>
      <c r="G250" s="12">
        <f t="shared" si="62"/>
        <v>0</v>
      </c>
      <c r="H250" s="3">
        <f t="shared" si="63"/>
        <v>45604</v>
      </c>
      <c r="I250" t="s">
        <v>646</v>
      </c>
      <c r="J250" t="str">
        <f t="shared" si="64"/>
        <v>Africa → Kenya → Nakuru</v>
      </c>
      <c r="K250" s="3" t="str">
        <f t="shared" si="65"/>
        <v>Kenya-2024-11</v>
      </c>
      <c r="L250" t="s">
        <v>650</v>
      </c>
      <c r="M250" t="s">
        <v>678</v>
      </c>
      <c r="N250" t="s">
        <v>706</v>
      </c>
      <c r="O250" t="s">
        <v>709</v>
      </c>
      <c r="P250" t="s">
        <v>724</v>
      </c>
      <c r="Q250" t="s">
        <v>729</v>
      </c>
      <c r="R250" t="s">
        <v>982</v>
      </c>
      <c r="S250" s="5">
        <v>803.28</v>
      </c>
      <c r="T250" s="5">
        <v>1009</v>
      </c>
      <c r="U250" s="5" t="str">
        <f t="shared" si="66"/>
        <v>Valid</v>
      </c>
      <c r="V250" s="5">
        <f t="shared" si="57"/>
        <v>1009</v>
      </c>
      <c r="W250" s="5" t="str">
        <f t="shared" si="67"/>
        <v>Medium</v>
      </c>
      <c r="X250" s="5">
        <v>0.11</v>
      </c>
      <c r="Y250" s="5" t="str">
        <f t="shared" si="68"/>
        <v>Valid</v>
      </c>
      <c r="Z250" s="5">
        <f t="shared" si="69"/>
        <v>0.11</v>
      </c>
      <c r="AA250" s="5">
        <v>4</v>
      </c>
      <c r="AB250">
        <f t="shared" si="70"/>
        <v>3592.04</v>
      </c>
      <c r="AC250">
        <f t="shared" si="58"/>
        <v>3213.12</v>
      </c>
      <c r="AD250">
        <f t="shared" si="71"/>
        <v>378.92000000000007</v>
      </c>
      <c r="AE250">
        <f t="shared" si="72"/>
        <v>0.10548880302001093</v>
      </c>
      <c r="AF250">
        <f t="shared" si="73"/>
        <v>1</v>
      </c>
      <c r="AG250">
        <f t="shared" si="74"/>
        <v>0</v>
      </c>
      <c r="AK250">
        <f>AA250*(1+What_if_Analysis!$B$4)</f>
        <v>4.8</v>
      </c>
      <c r="AL250" s="5">
        <f>MIN(Z250,What_if_Analysis!$B$2)</f>
        <v>0.05</v>
      </c>
      <c r="AM250">
        <f t="shared" si="75"/>
        <v>4601.04</v>
      </c>
      <c r="AN250">
        <f>AM250-(AK250*(T250*(1+What_if_Analysis!$B$3)))</f>
        <v>-726.48000000000047</v>
      </c>
    </row>
    <row r="251" spans="1:40" x14ac:dyDescent="0.3">
      <c r="A251" t="s">
        <v>263</v>
      </c>
      <c r="B251" s="3">
        <v>45912</v>
      </c>
      <c r="C251" s="3" t="str">
        <f t="shared" si="59"/>
        <v>Sept-2025</v>
      </c>
      <c r="D251" s="3" t="str">
        <f t="shared" si="60"/>
        <v>Q3-2025</v>
      </c>
      <c r="E251" s="3">
        <v>45930</v>
      </c>
      <c r="F251" s="3" t="str">
        <f t="shared" si="61"/>
        <v>Valid</v>
      </c>
      <c r="G251" s="12">
        <f t="shared" si="62"/>
        <v>18</v>
      </c>
      <c r="H251" s="3">
        <f t="shared" si="63"/>
        <v>45930</v>
      </c>
      <c r="I251" t="s">
        <v>647</v>
      </c>
      <c r="J251" t="str">
        <f t="shared" si="64"/>
        <v>Asia → Japan → Nagoya</v>
      </c>
      <c r="K251" s="3" t="str">
        <f t="shared" si="65"/>
        <v>Japan-2025-09</v>
      </c>
      <c r="L251" t="s">
        <v>652</v>
      </c>
      <c r="M251" t="s">
        <v>694</v>
      </c>
      <c r="N251" t="s">
        <v>703</v>
      </c>
      <c r="O251" t="s">
        <v>709</v>
      </c>
      <c r="P251" t="s">
        <v>721</v>
      </c>
      <c r="Q251" t="s">
        <v>732</v>
      </c>
      <c r="R251" t="s">
        <v>983</v>
      </c>
      <c r="S251" s="5">
        <v>1212.99</v>
      </c>
      <c r="T251" s="5">
        <v>1653.64</v>
      </c>
      <c r="U251" s="5" t="str">
        <f t="shared" si="66"/>
        <v>Valid</v>
      </c>
      <c r="V251" s="5">
        <f t="shared" si="57"/>
        <v>1653.64</v>
      </c>
      <c r="W251" s="5" t="str">
        <f t="shared" si="67"/>
        <v>Medium</v>
      </c>
      <c r="X251" s="5">
        <v>0.107</v>
      </c>
      <c r="Y251" s="5" t="str">
        <f t="shared" si="68"/>
        <v>Valid</v>
      </c>
      <c r="Z251" s="5">
        <f t="shared" si="69"/>
        <v>0.107</v>
      </c>
      <c r="AA251" s="5">
        <v>8</v>
      </c>
      <c r="AB251">
        <f t="shared" si="70"/>
        <v>11813.604160000001</v>
      </c>
      <c r="AC251">
        <f t="shared" si="58"/>
        <v>9703.92</v>
      </c>
      <c r="AD251">
        <f t="shared" si="71"/>
        <v>2109.6841600000007</v>
      </c>
      <c r="AE251">
        <f t="shared" si="72"/>
        <v>0.17858090819931455</v>
      </c>
      <c r="AF251">
        <f t="shared" si="73"/>
        <v>0</v>
      </c>
      <c r="AG251">
        <f t="shared" si="74"/>
        <v>0</v>
      </c>
      <c r="AK251">
        <f>AA251*(1+What_if_Analysis!$B$4)</f>
        <v>9.6</v>
      </c>
      <c r="AL251" s="5">
        <f>MIN(Z251,What_if_Analysis!$B$2)</f>
        <v>0.05</v>
      </c>
      <c r="AM251">
        <f t="shared" si="75"/>
        <v>15081.1968</v>
      </c>
      <c r="AN251">
        <f>AM251-(AK251*(T251*(1+What_if_Analysis!$B$3)))</f>
        <v>-2381.241600000003</v>
      </c>
    </row>
    <row r="252" spans="1:40" x14ac:dyDescent="0.3">
      <c r="A252" t="s">
        <v>264</v>
      </c>
      <c r="B252" s="3">
        <v>45537</v>
      </c>
      <c r="C252" s="3" t="str">
        <f t="shared" si="59"/>
        <v>Sept-2024</v>
      </c>
      <c r="D252" s="3" t="str">
        <f t="shared" si="60"/>
        <v>Q3-2024</v>
      </c>
      <c r="E252" s="3">
        <v>45543</v>
      </c>
      <c r="F252" s="3" t="str">
        <f t="shared" si="61"/>
        <v>Valid</v>
      </c>
      <c r="G252" s="12">
        <f t="shared" si="62"/>
        <v>6</v>
      </c>
      <c r="H252" s="3">
        <f t="shared" si="63"/>
        <v>45543</v>
      </c>
      <c r="I252" t="s">
        <v>648</v>
      </c>
      <c r="J252" t="str">
        <f t="shared" si="64"/>
        <v>Americas → USA → Austin</v>
      </c>
      <c r="K252" s="3" t="str">
        <f t="shared" si="65"/>
        <v>USA-2024-09</v>
      </c>
      <c r="L252" t="s">
        <v>660</v>
      </c>
      <c r="M252" t="s">
        <v>697</v>
      </c>
      <c r="N252" t="s">
        <v>704</v>
      </c>
      <c r="O252" t="s">
        <v>711</v>
      </c>
      <c r="P252" t="s">
        <v>722</v>
      </c>
      <c r="Q252" t="s">
        <v>727</v>
      </c>
      <c r="R252" t="s">
        <v>984</v>
      </c>
      <c r="S252" s="5">
        <v>462.94</v>
      </c>
      <c r="T252" s="5">
        <v>1015.7</v>
      </c>
      <c r="U252" s="5" t="str">
        <f t="shared" si="66"/>
        <v>Valid</v>
      </c>
      <c r="V252" s="5">
        <f t="shared" si="57"/>
        <v>1015.7</v>
      </c>
      <c r="W252" s="5" t="str">
        <f t="shared" si="67"/>
        <v>Medium</v>
      </c>
      <c r="X252" s="5">
        <v>0.14299999999999999</v>
      </c>
      <c r="Y252" s="5" t="str">
        <f t="shared" si="68"/>
        <v>Valid</v>
      </c>
      <c r="Z252" s="5">
        <f t="shared" si="69"/>
        <v>0.14299999999999999</v>
      </c>
      <c r="AA252" s="5">
        <v>14</v>
      </c>
      <c r="AB252">
        <f t="shared" si="70"/>
        <v>12186.368600000002</v>
      </c>
      <c r="AC252">
        <f t="shared" si="58"/>
        <v>6481.16</v>
      </c>
      <c r="AD252">
        <f t="shared" si="71"/>
        <v>5705.2086000000018</v>
      </c>
      <c r="AE252">
        <f t="shared" si="72"/>
        <v>0.46816314090483041</v>
      </c>
      <c r="AF252">
        <f t="shared" si="73"/>
        <v>1</v>
      </c>
      <c r="AG252">
        <f t="shared" si="74"/>
        <v>0</v>
      </c>
      <c r="AK252">
        <f>AA252*(1+What_if_Analysis!$B$4)</f>
        <v>16.8</v>
      </c>
      <c r="AL252" s="5">
        <f>MIN(Z252,What_if_Analysis!$B$2)</f>
        <v>0.05</v>
      </c>
      <c r="AM252">
        <f t="shared" si="75"/>
        <v>16210.572000000002</v>
      </c>
      <c r="AN252">
        <f>AM252-(AK252*(T252*(1+What_if_Analysis!$B$3)))</f>
        <v>-2559.5640000000039</v>
      </c>
    </row>
    <row r="253" spans="1:40" x14ac:dyDescent="0.3">
      <c r="A253" t="s">
        <v>265</v>
      </c>
      <c r="B253" s="3">
        <v>44989</v>
      </c>
      <c r="C253" s="3" t="str">
        <f t="shared" si="59"/>
        <v>Mar-2023</v>
      </c>
      <c r="D253" s="3" t="str">
        <f t="shared" si="60"/>
        <v>Q1-2023</v>
      </c>
      <c r="E253" s="3">
        <v>45009</v>
      </c>
      <c r="F253" s="3" t="str">
        <f t="shared" si="61"/>
        <v>Valid</v>
      </c>
      <c r="G253" s="12">
        <f t="shared" si="62"/>
        <v>20</v>
      </c>
      <c r="H253" s="3">
        <f t="shared" si="63"/>
        <v>45009</v>
      </c>
      <c r="I253" t="s">
        <v>648</v>
      </c>
      <c r="J253" t="str">
        <f t="shared" si="64"/>
        <v>Americas → Canada → Montreal</v>
      </c>
      <c r="K253" s="3" t="str">
        <f t="shared" si="65"/>
        <v>Canada-2023-03</v>
      </c>
      <c r="L253" t="s">
        <v>653</v>
      </c>
      <c r="M253" t="s">
        <v>681</v>
      </c>
      <c r="N253" t="s">
        <v>704</v>
      </c>
      <c r="O253" t="s">
        <v>710</v>
      </c>
      <c r="P253" t="s">
        <v>714</v>
      </c>
      <c r="Q253" t="s">
        <v>731</v>
      </c>
      <c r="R253" t="s">
        <v>985</v>
      </c>
      <c r="S253" s="5">
        <v>481.71</v>
      </c>
      <c r="T253" s="5">
        <v>912.45</v>
      </c>
      <c r="U253" s="5" t="str">
        <f t="shared" si="66"/>
        <v>Valid</v>
      </c>
      <c r="V253" s="5">
        <f t="shared" si="57"/>
        <v>912.45</v>
      </c>
      <c r="W253" s="5" t="str">
        <f t="shared" si="67"/>
        <v>Medium</v>
      </c>
      <c r="X253" s="5">
        <v>0.20300000000000001</v>
      </c>
      <c r="Y253" s="5" t="str">
        <f t="shared" si="68"/>
        <v>Valid</v>
      </c>
      <c r="Z253" s="5">
        <f t="shared" si="69"/>
        <v>0.20300000000000001</v>
      </c>
      <c r="AA253" s="5">
        <v>24</v>
      </c>
      <c r="AB253">
        <f t="shared" si="70"/>
        <v>17453.3436</v>
      </c>
      <c r="AC253">
        <f t="shared" si="58"/>
        <v>11561.039999999999</v>
      </c>
      <c r="AD253">
        <f t="shared" si="71"/>
        <v>5892.3036000000011</v>
      </c>
      <c r="AE253">
        <f t="shared" si="72"/>
        <v>0.33760313983619739</v>
      </c>
      <c r="AF253">
        <f t="shared" si="73"/>
        <v>0</v>
      </c>
      <c r="AG253">
        <f t="shared" si="74"/>
        <v>1</v>
      </c>
      <c r="AK253">
        <f>AA253*(1+What_if_Analysis!$B$4)</f>
        <v>28.799999999999997</v>
      </c>
      <c r="AL253" s="5">
        <f>MIN(Z253,What_if_Analysis!$B$2)</f>
        <v>0.05</v>
      </c>
      <c r="AM253">
        <f t="shared" si="75"/>
        <v>24964.631999999998</v>
      </c>
      <c r="AN253">
        <f>AM253-(AK253*(T253*(1+What_if_Analysis!$B$3)))</f>
        <v>-3941.7840000000033</v>
      </c>
    </row>
    <row r="254" spans="1:40" x14ac:dyDescent="0.3">
      <c r="A254" t="s">
        <v>266</v>
      </c>
      <c r="B254" s="3">
        <v>45366</v>
      </c>
      <c r="C254" s="3" t="str">
        <f t="shared" si="59"/>
        <v>Mar-2024</v>
      </c>
      <c r="D254" s="3" t="str">
        <f t="shared" si="60"/>
        <v>Q1-2024</v>
      </c>
      <c r="E254" s="3">
        <v>45391</v>
      </c>
      <c r="F254" s="3" t="str">
        <f t="shared" si="61"/>
        <v>Valid</v>
      </c>
      <c r="G254" s="12">
        <f t="shared" si="62"/>
        <v>25</v>
      </c>
      <c r="H254" s="3">
        <f t="shared" si="63"/>
        <v>45391</v>
      </c>
      <c r="I254" t="s">
        <v>648</v>
      </c>
      <c r="J254" t="str">
        <f t="shared" si="64"/>
        <v>Americas → Canada → Vancouver</v>
      </c>
      <c r="K254" s="3" t="str">
        <f t="shared" si="65"/>
        <v>Canada-2024-03</v>
      </c>
      <c r="L254" t="s">
        <v>653</v>
      </c>
      <c r="M254" t="s">
        <v>688</v>
      </c>
      <c r="N254" t="s">
        <v>704</v>
      </c>
      <c r="O254" t="s">
        <v>708</v>
      </c>
      <c r="P254" t="s">
        <v>721</v>
      </c>
      <c r="Q254" t="s">
        <v>732</v>
      </c>
      <c r="R254" t="s">
        <v>986</v>
      </c>
      <c r="S254" s="5">
        <v>648.64</v>
      </c>
      <c r="T254" s="5">
        <v>815.19</v>
      </c>
      <c r="U254" s="5" t="str">
        <f t="shared" si="66"/>
        <v>Valid</v>
      </c>
      <c r="V254" s="5">
        <f t="shared" si="57"/>
        <v>815.19</v>
      </c>
      <c r="W254" s="5" t="str">
        <f t="shared" si="67"/>
        <v>Medium</v>
      </c>
      <c r="X254" s="5">
        <v>0.22500000000000001</v>
      </c>
      <c r="Y254" s="5" t="str">
        <f t="shared" si="68"/>
        <v>Valid</v>
      </c>
      <c r="Z254" s="5">
        <f t="shared" si="69"/>
        <v>0.22500000000000001</v>
      </c>
      <c r="AA254" s="5">
        <v>28</v>
      </c>
      <c r="AB254">
        <f t="shared" si="70"/>
        <v>17689.623</v>
      </c>
      <c r="AC254">
        <f t="shared" si="58"/>
        <v>18161.919999999998</v>
      </c>
      <c r="AD254">
        <f t="shared" si="71"/>
        <v>-472.29699999999866</v>
      </c>
      <c r="AE254">
        <f t="shared" si="72"/>
        <v>-2.6699099240272032E-2</v>
      </c>
      <c r="AF254">
        <f t="shared" si="73"/>
        <v>0</v>
      </c>
      <c r="AG254">
        <f t="shared" si="74"/>
        <v>1</v>
      </c>
      <c r="AK254">
        <f>AA254*(1+What_if_Analysis!$B$4)</f>
        <v>33.6</v>
      </c>
      <c r="AL254" s="5">
        <f>MIN(Z254,What_if_Analysis!$B$2)</f>
        <v>0.05</v>
      </c>
      <c r="AM254">
        <f t="shared" si="75"/>
        <v>26020.864799999999</v>
      </c>
      <c r="AN254">
        <f>AM254-(AK254*(T254*(1+What_if_Analysis!$B$3)))</f>
        <v>-4108.5576000000074</v>
      </c>
    </row>
    <row r="255" spans="1:40" x14ac:dyDescent="0.3">
      <c r="A255" t="s">
        <v>267</v>
      </c>
      <c r="B255" s="3">
        <v>45502</v>
      </c>
      <c r="C255" s="3" t="str">
        <f t="shared" si="59"/>
        <v>Jul-2024</v>
      </c>
      <c r="D255" s="3" t="str">
        <f t="shared" si="60"/>
        <v>Q3-2024</v>
      </c>
      <c r="E255" s="3">
        <v>45504</v>
      </c>
      <c r="F255" s="3" t="str">
        <f t="shared" si="61"/>
        <v>Valid</v>
      </c>
      <c r="G255" s="12">
        <f t="shared" si="62"/>
        <v>2</v>
      </c>
      <c r="H255" s="3">
        <f t="shared" si="63"/>
        <v>45504</v>
      </c>
      <c r="I255" t="s">
        <v>648</v>
      </c>
      <c r="J255" t="str">
        <f t="shared" si="64"/>
        <v>Americas → USA → New York</v>
      </c>
      <c r="K255" s="3" t="str">
        <f t="shared" si="65"/>
        <v>USA-2024-07</v>
      </c>
      <c r="L255" t="s">
        <v>660</v>
      </c>
      <c r="M255" t="s">
        <v>700</v>
      </c>
      <c r="N255" t="s">
        <v>702</v>
      </c>
      <c r="O255" t="s">
        <v>709</v>
      </c>
      <c r="P255" t="s">
        <v>714</v>
      </c>
      <c r="Q255" t="s">
        <v>728</v>
      </c>
      <c r="R255" t="s">
        <v>987</v>
      </c>
      <c r="S255" s="5">
        <v>798.97</v>
      </c>
      <c r="T255" s="5">
        <v>1814.06</v>
      </c>
      <c r="U255" s="5" t="str">
        <f t="shared" si="66"/>
        <v>Valid</v>
      </c>
      <c r="V255" s="5">
        <f t="shared" si="57"/>
        <v>1814.06</v>
      </c>
      <c r="W255" s="5" t="str">
        <f t="shared" si="67"/>
        <v>Medium</v>
      </c>
      <c r="X255" s="5">
        <v>0.122</v>
      </c>
      <c r="Y255" s="5" t="str">
        <f t="shared" si="68"/>
        <v>Valid</v>
      </c>
      <c r="Z255" s="5">
        <f t="shared" si="69"/>
        <v>0.122</v>
      </c>
      <c r="AA255" s="5">
        <v>16</v>
      </c>
      <c r="AB255">
        <f t="shared" si="70"/>
        <v>25483.91488</v>
      </c>
      <c r="AC255">
        <f t="shared" si="58"/>
        <v>12783.52</v>
      </c>
      <c r="AD255">
        <f t="shared" si="71"/>
        <v>12700.39488</v>
      </c>
      <c r="AE255">
        <f t="shared" si="72"/>
        <v>0.49836906691159061</v>
      </c>
      <c r="AF255">
        <f t="shared" si="73"/>
        <v>1</v>
      </c>
      <c r="AG255">
        <f t="shared" si="74"/>
        <v>0</v>
      </c>
      <c r="AK255">
        <f>AA255*(1+What_if_Analysis!$B$4)</f>
        <v>19.2</v>
      </c>
      <c r="AL255" s="5">
        <f>MIN(Z255,What_if_Analysis!$B$2)</f>
        <v>0.05</v>
      </c>
      <c r="AM255">
        <f t="shared" si="75"/>
        <v>33088.454399999995</v>
      </c>
      <c r="AN255">
        <f>AM255-(AK255*(T255*(1+What_if_Analysis!$B$3)))</f>
        <v>-5224.4928000000073</v>
      </c>
    </row>
    <row r="256" spans="1:40" x14ac:dyDescent="0.3">
      <c r="A256" t="s">
        <v>268</v>
      </c>
      <c r="B256" s="3">
        <v>45592</v>
      </c>
      <c r="C256" s="3" t="str">
        <f t="shared" si="59"/>
        <v>Oct-2024</v>
      </c>
      <c r="D256" s="3" t="str">
        <f t="shared" si="60"/>
        <v>Q4-2024</v>
      </c>
      <c r="E256" s="3">
        <v>45616</v>
      </c>
      <c r="F256" s="3" t="str">
        <f t="shared" si="61"/>
        <v>Valid</v>
      </c>
      <c r="G256" s="12">
        <f t="shared" si="62"/>
        <v>24</v>
      </c>
      <c r="H256" s="3">
        <f t="shared" si="63"/>
        <v>45616</v>
      </c>
      <c r="I256" t="s">
        <v>647</v>
      </c>
      <c r="J256" t="str">
        <f t="shared" si="64"/>
        <v>Asia → Japan → Nagoya</v>
      </c>
      <c r="K256" s="3" t="str">
        <f t="shared" si="65"/>
        <v>Japan-2024-10</v>
      </c>
      <c r="L256" t="s">
        <v>652</v>
      </c>
      <c r="M256" t="s">
        <v>694</v>
      </c>
      <c r="N256" t="s">
        <v>703</v>
      </c>
      <c r="O256" t="s">
        <v>708</v>
      </c>
      <c r="P256" t="s">
        <v>722</v>
      </c>
      <c r="Q256" t="s">
        <v>732</v>
      </c>
      <c r="R256" t="s">
        <v>988</v>
      </c>
      <c r="S256" s="5">
        <v>317.25</v>
      </c>
      <c r="T256" s="5">
        <v>758.92</v>
      </c>
      <c r="U256" s="5" t="str">
        <f t="shared" si="66"/>
        <v>Valid</v>
      </c>
      <c r="V256" s="5">
        <f t="shared" si="57"/>
        <v>758.92</v>
      </c>
      <c r="W256" s="5" t="str">
        <f t="shared" si="67"/>
        <v>Medium</v>
      </c>
      <c r="X256" s="5">
        <v>5.2999999999999999E-2</v>
      </c>
      <c r="Y256" s="5" t="str">
        <f t="shared" si="68"/>
        <v>Valid</v>
      </c>
      <c r="Z256" s="5">
        <f t="shared" si="69"/>
        <v>5.2999999999999999E-2</v>
      </c>
      <c r="AA256" s="5">
        <v>9</v>
      </c>
      <c r="AB256">
        <f t="shared" si="70"/>
        <v>6468.2751599999992</v>
      </c>
      <c r="AC256">
        <f t="shared" si="58"/>
        <v>2855.25</v>
      </c>
      <c r="AD256">
        <f t="shared" si="71"/>
        <v>3613.0251599999992</v>
      </c>
      <c r="AE256">
        <f t="shared" si="72"/>
        <v>0.5585762928489888</v>
      </c>
      <c r="AF256">
        <f t="shared" si="73"/>
        <v>0</v>
      </c>
      <c r="AG256">
        <f t="shared" si="74"/>
        <v>0</v>
      </c>
      <c r="AK256">
        <f>AA256*(1+What_if_Analysis!$B$4)</f>
        <v>10.799999999999999</v>
      </c>
      <c r="AL256" s="5">
        <f>MIN(Z256,What_if_Analysis!$B$2)</f>
        <v>0.05</v>
      </c>
      <c r="AM256">
        <f t="shared" si="75"/>
        <v>7786.5191999999988</v>
      </c>
      <c r="AN256">
        <f>AM256-(AK256*(T256*(1+What_if_Analysis!$B$3)))</f>
        <v>-1229.4503999999997</v>
      </c>
    </row>
    <row r="257" spans="1:40" x14ac:dyDescent="0.3">
      <c r="A257" t="s">
        <v>269</v>
      </c>
      <c r="B257" s="3">
        <v>45411</v>
      </c>
      <c r="C257" s="3" t="str">
        <f t="shared" si="59"/>
        <v>Apr-2024</v>
      </c>
      <c r="D257" s="3" t="str">
        <f t="shared" si="60"/>
        <v>Q2-2024</v>
      </c>
      <c r="E257" s="3">
        <v>45431</v>
      </c>
      <c r="F257" s="3" t="str">
        <f t="shared" si="61"/>
        <v>Valid</v>
      </c>
      <c r="G257" s="12">
        <f t="shared" si="62"/>
        <v>20</v>
      </c>
      <c r="H257" s="3">
        <f t="shared" si="63"/>
        <v>45431</v>
      </c>
      <c r="I257" t="s">
        <v>649</v>
      </c>
      <c r="J257" t="str">
        <f t="shared" si="64"/>
        <v>Europe → Germany → Frankfurt</v>
      </c>
      <c r="K257" s="3" t="str">
        <f t="shared" si="65"/>
        <v>Germany-2024-04</v>
      </c>
      <c r="L257" t="s">
        <v>656</v>
      </c>
      <c r="M257" t="s">
        <v>698</v>
      </c>
      <c r="N257" t="s">
        <v>706</v>
      </c>
      <c r="O257" t="s">
        <v>709</v>
      </c>
      <c r="P257" t="s">
        <v>712</v>
      </c>
      <c r="Q257" t="s">
        <v>731</v>
      </c>
      <c r="R257" t="s">
        <v>989</v>
      </c>
      <c r="S257" s="5">
        <v>668.97</v>
      </c>
      <c r="T257" s="5">
        <v>1667.44</v>
      </c>
      <c r="U257" s="5" t="str">
        <f t="shared" si="66"/>
        <v>Valid</v>
      </c>
      <c r="V257" s="5">
        <f t="shared" si="57"/>
        <v>1667.44</v>
      </c>
      <c r="W257" s="5" t="str">
        <f t="shared" si="67"/>
        <v>Medium</v>
      </c>
      <c r="X257" s="5">
        <v>3.4000000000000002E-2</v>
      </c>
      <c r="Y257" s="5" t="str">
        <f t="shared" si="68"/>
        <v>Valid</v>
      </c>
      <c r="Z257" s="5">
        <f t="shared" si="69"/>
        <v>3.4000000000000002E-2</v>
      </c>
      <c r="AA257" s="5">
        <v>15</v>
      </c>
      <c r="AB257">
        <f t="shared" si="70"/>
        <v>24161.205600000001</v>
      </c>
      <c r="AC257">
        <f t="shared" si="58"/>
        <v>10034.550000000001</v>
      </c>
      <c r="AD257">
        <f t="shared" si="71"/>
        <v>14126.6556</v>
      </c>
      <c r="AE257">
        <f t="shared" si="72"/>
        <v>0.58468339013679016</v>
      </c>
      <c r="AF257">
        <f t="shared" si="73"/>
        <v>0</v>
      </c>
      <c r="AG257">
        <f t="shared" si="74"/>
        <v>0</v>
      </c>
      <c r="AK257">
        <f>AA257*(1+What_if_Analysis!$B$4)</f>
        <v>18</v>
      </c>
      <c r="AL257" s="5">
        <f>MIN(Z257,What_if_Analysis!$B$2)</f>
        <v>3.4000000000000002E-2</v>
      </c>
      <c r="AM257">
        <f t="shared" si="75"/>
        <v>28993.44672</v>
      </c>
      <c r="AN257">
        <f>AM257-(AK257*(T257*(1+What_if_Analysis!$B$3)))</f>
        <v>-4021.8652800000054</v>
      </c>
    </row>
    <row r="258" spans="1:40" x14ac:dyDescent="0.3">
      <c r="A258" t="s">
        <v>270</v>
      </c>
      <c r="B258" s="3">
        <v>45204</v>
      </c>
      <c r="C258" s="3" t="str">
        <f t="shared" si="59"/>
        <v>Oct-2023</v>
      </c>
      <c r="D258" s="3" t="str">
        <f t="shared" si="60"/>
        <v>Q4-2023</v>
      </c>
      <c r="E258" s="3">
        <v>45205</v>
      </c>
      <c r="F258" s="3" t="str">
        <f t="shared" si="61"/>
        <v>Valid</v>
      </c>
      <c r="G258" s="12">
        <f t="shared" si="62"/>
        <v>1</v>
      </c>
      <c r="H258" s="3">
        <f t="shared" si="63"/>
        <v>45205</v>
      </c>
      <c r="I258" t="s">
        <v>647</v>
      </c>
      <c r="J258" t="str">
        <f t="shared" si="64"/>
        <v>Asia → India → Bengaluru</v>
      </c>
      <c r="K258" s="3" t="str">
        <f t="shared" si="65"/>
        <v>India-2023-10</v>
      </c>
      <c r="L258" t="s">
        <v>654</v>
      </c>
      <c r="M258" t="s">
        <v>668</v>
      </c>
      <c r="N258" t="s">
        <v>703</v>
      </c>
      <c r="O258" t="s">
        <v>708</v>
      </c>
      <c r="P258" t="s">
        <v>714</v>
      </c>
      <c r="Q258" t="s">
        <v>727</v>
      </c>
      <c r="R258" t="s">
        <v>990</v>
      </c>
      <c r="S258" s="5">
        <v>1470.26</v>
      </c>
      <c r="T258" s="5">
        <v>2562.5500000000002</v>
      </c>
      <c r="U258" s="5" t="str">
        <f t="shared" si="66"/>
        <v>Valid</v>
      </c>
      <c r="V258" s="5">
        <f t="shared" ref="V258:V321" si="76">IF(T258&lt;0,AVERAGEIF($Q$2:$Q$633,Q258,$T$2:$T$633),T258)</f>
        <v>2562.5500000000002</v>
      </c>
      <c r="W258" s="5" t="str">
        <f t="shared" si="67"/>
        <v>High</v>
      </c>
      <c r="X258" s="5">
        <v>0.17299999999999999</v>
      </c>
      <c r="Y258" s="5" t="str">
        <f t="shared" si="68"/>
        <v>Valid</v>
      </c>
      <c r="Z258" s="5">
        <f t="shared" si="69"/>
        <v>0.17299999999999999</v>
      </c>
      <c r="AA258" s="5">
        <v>9</v>
      </c>
      <c r="AB258">
        <f t="shared" si="70"/>
        <v>19073.059649999999</v>
      </c>
      <c r="AC258">
        <f t="shared" ref="AC258:AC321" si="77">S258*AA258</f>
        <v>13232.34</v>
      </c>
      <c r="AD258">
        <f t="shared" si="71"/>
        <v>5840.7196499999991</v>
      </c>
      <c r="AE258">
        <f t="shared" si="72"/>
        <v>0.30622877279157462</v>
      </c>
      <c r="AF258">
        <f t="shared" si="73"/>
        <v>1</v>
      </c>
      <c r="AG258">
        <f t="shared" si="74"/>
        <v>0</v>
      </c>
      <c r="AK258">
        <f>AA258*(1+What_if_Analysis!$B$4)</f>
        <v>10.799999999999999</v>
      </c>
      <c r="AL258" s="5">
        <f>MIN(Z258,What_if_Analysis!$B$2)</f>
        <v>0.05</v>
      </c>
      <c r="AM258">
        <f t="shared" si="75"/>
        <v>26291.762999999999</v>
      </c>
      <c r="AN258">
        <f>AM258-(AK258*(T258*(1+What_if_Analysis!$B$3)))</f>
        <v>-4151.3310000000019</v>
      </c>
    </row>
    <row r="259" spans="1:40" x14ac:dyDescent="0.3">
      <c r="A259" t="s">
        <v>271</v>
      </c>
      <c r="B259" s="3">
        <v>45035</v>
      </c>
      <c r="C259" s="3" t="str">
        <f t="shared" ref="C259:C322" si="78">TEXT(B259,"mmm-yyyy")</f>
        <v>Apr-2023</v>
      </c>
      <c r="D259" s="3" t="str">
        <f t="shared" ref="D259:D322" si="79">"Q" &amp; ROUNDUP(MONTH(B259)/3,0) &amp; "-" &amp; YEAR(B259)</f>
        <v>Q2-2023</v>
      </c>
      <c r="E259" s="3">
        <v>45053</v>
      </c>
      <c r="F259" s="3" t="str">
        <f t="shared" ref="F259:F322" si="80">IF(E259&lt;B259,"Invalid RequiredDate","Valid")</f>
        <v>Valid</v>
      </c>
      <c r="G259" s="12">
        <f t="shared" ref="G259:G322" si="81">MEDIAN($E$2:$E$633-$B$2:$B$633)</f>
        <v>18</v>
      </c>
      <c r="H259" s="3">
        <f t="shared" ref="H259:H322" si="82">IF(E259&lt;B259,B259+$G$2,E259)</f>
        <v>45053</v>
      </c>
      <c r="I259" t="s">
        <v>649</v>
      </c>
      <c r="J259" t="str">
        <f t="shared" ref="J259:J322" si="83">I259 &amp; " → " &amp; L259 &amp; " → " &amp; M259</f>
        <v>Europe → United Kingdom → London</v>
      </c>
      <c r="K259" s="3" t="str">
        <f t="shared" ref="K259:K322" si="84">L259 &amp; "-" &amp; TEXT(C259,"YYYY-MM")</f>
        <v>United Kingdom-2023-04</v>
      </c>
      <c r="L259" t="s">
        <v>658</v>
      </c>
      <c r="M259" t="s">
        <v>683</v>
      </c>
      <c r="N259" t="s">
        <v>703</v>
      </c>
      <c r="O259" t="s">
        <v>711</v>
      </c>
      <c r="P259" t="s">
        <v>722</v>
      </c>
      <c r="Q259" t="s">
        <v>729</v>
      </c>
      <c r="R259" t="s">
        <v>991</v>
      </c>
      <c r="S259" s="5">
        <v>516.96</v>
      </c>
      <c r="T259" s="5">
        <v>745.38</v>
      </c>
      <c r="U259" s="5" t="str">
        <f t="shared" ref="U259:U322" si="85">IF(T259&lt;0,"Invalid Price","Valid")</f>
        <v>Valid</v>
      </c>
      <c r="V259" s="5">
        <f t="shared" si="76"/>
        <v>745.38</v>
      </c>
      <c r="W259" s="5" t="str">
        <f t="shared" ref="W259:W322" si="86">IF(V259&lt;=616.86,"Low",IF(V259&lt;1912.05,"Medium","High"))</f>
        <v>Medium</v>
      </c>
      <c r="X259" s="5">
        <v>0.19700000000000001</v>
      </c>
      <c r="Y259" s="5" t="str">
        <f t="shared" ref="Y259:Y322" si="87">IF(X259&gt;30%,"High Discount","Valid")</f>
        <v>Valid</v>
      </c>
      <c r="Z259" s="5">
        <f t="shared" ref="Z259:Z322" si="88">IF(X259&gt;30%,30%,X259)</f>
        <v>0.19700000000000001</v>
      </c>
      <c r="AA259" s="5">
        <v>4</v>
      </c>
      <c r="AB259">
        <f t="shared" ref="AB259:AB322" si="89">V259 * AA259 * (1 - Z259)</f>
        <v>2394.1605599999998</v>
      </c>
      <c r="AC259">
        <f t="shared" si="77"/>
        <v>2067.84</v>
      </c>
      <c r="AD259">
        <f t="shared" ref="AD259:AD322" si="90">AB259-AC259</f>
        <v>326.32055999999966</v>
      </c>
      <c r="AE259">
        <f t="shared" ref="AE259:AE322" si="91">IF(AB259=0, 0, AD259 / AB259)</f>
        <v>0.13629852794835101</v>
      </c>
      <c r="AF259">
        <f t="shared" ref="AF259:AF322" si="92">IF(G259&lt;=7,1,0)</f>
        <v>0</v>
      </c>
      <c r="AG259">
        <f t="shared" ref="AG259:AG322" si="93">IF(Z259&gt;20%,1,0)</f>
        <v>0</v>
      </c>
      <c r="AK259">
        <f>AA259*(1+What_if_Analysis!$B$4)</f>
        <v>4.8</v>
      </c>
      <c r="AL259" s="5">
        <f>MIN(Z259,What_if_Analysis!$B$2)</f>
        <v>0.05</v>
      </c>
      <c r="AM259">
        <f t="shared" ref="AM259:AM322" si="94">AK259*V259*(1-AL259)</f>
        <v>3398.9328</v>
      </c>
      <c r="AN259">
        <f>AM259-(AK259*(T259*(1+What_if_Analysis!$B$3)))</f>
        <v>-536.67359999999962</v>
      </c>
    </row>
    <row r="260" spans="1:40" x14ac:dyDescent="0.3">
      <c r="A260" t="s">
        <v>272</v>
      </c>
      <c r="B260" s="3">
        <v>45835</v>
      </c>
      <c r="C260" s="3" t="str">
        <f t="shared" si="78"/>
        <v>Jun-2025</v>
      </c>
      <c r="D260" s="3" t="str">
        <f t="shared" si="79"/>
        <v>Q2-2025</v>
      </c>
      <c r="E260" s="3">
        <v>45843</v>
      </c>
      <c r="F260" s="3" t="str">
        <f t="shared" si="80"/>
        <v>Valid</v>
      </c>
      <c r="G260" s="12">
        <f t="shared" si="81"/>
        <v>8</v>
      </c>
      <c r="H260" s="3">
        <f t="shared" si="82"/>
        <v>45843</v>
      </c>
      <c r="I260" t="s">
        <v>649</v>
      </c>
      <c r="J260" t="str">
        <f t="shared" si="83"/>
        <v>Europe → Germany → Munich</v>
      </c>
      <c r="K260" s="3" t="str">
        <f t="shared" si="84"/>
        <v>Germany-2025-06</v>
      </c>
      <c r="L260" t="s">
        <v>656</v>
      </c>
      <c r="M260" t="s">
        <v>684</v>
      </c>
      <c r="N260" t="s">
        <v>705</v>
      </c>
      <c r="O260" t="s">
        <v>711</v>
      </c>
      <c r="P260" t="s">
        <v>715</v>
      </c>
      <c r="Q260" t="s">
        <v>732</v>
      </c>
      <c r="R260" t="s">
        <v>992</v>
      </c>
      <c r="S260" s="5">
        <v>314.93</v>
      </c>
      <c r="T260" s="5">
        <v>687.95</v>
      </c>
      <c r="U260" s="5" t="str">
        <f t="shared" si="85"/>
        <v>Valid</v>
      </c>
      <c r="V260" s="5">
        <f t="shared" si="76"/>
        <v>687.95</v>
      </c>
      <c r="W260" s="5" t="str">
        <f t="shared" si="86"/>
        <v>Medium</v>
      </c>
      <c r="X260" s="5">
        <v>0.20499999999999999</v>
      </c>
      <c r="Y260" s="5" t="str">
        <f t="shared" si="87"/>
        <v>Valid</v>
      </c>
      <c r="Z260" s="5">
        <f t="shared" si="88"/>
        <v>0.20499999999999999</v>
      </c>
      <c r="AA260" s="5">
        <v>8</v>
      </c>
      <c r="AB260">
        <f t="shared" si="89"/>
        <v>4375.3620000000001</v>
      </c>
      <c r="AC260">
        <f t="shared" si="77"/>
        <v>2519.44</v>
      </c>
      <c r="AD260">
        <f t="shared" si="90"/>
        <v>1855.922</v>
      </c>
      <c r="AE260">
        <f t="shared" si="91"/>
        <v>0.424175645352316</v>
      </c>
      <c r="AF260">
        <f t="shared" si="92"/>
        <v>0</v>
      </c>
      <c r="AG260">
        <f t="shared" si="93"/>
        <v>1</v>
      </c>
      <c r="AK260">
        <f>AA260*(1+What_if_Analysis!$B$4)</f>
        <v>9.6</v>
      </c>
      <c r="AL260" s="5">
        <f>MIN(Z260,What_if_Analysis!$B$2)</f>
        <v>0.05</v>
      </c>
      <c r="AM260">
        <f t="shared" si="94"/>
        <v>6274.1040000000003</v>
      </c>
      <c r="AN260">
        <f>AM260-(AK260*(T260*(1+What_if_Analysis!$B$3)))</f>
        <v>-990.64800000000105</v>
      </c>
    </row>
    <row r="261" spans="1:40" x14ac:dyDescent="0.3">
      <c r="A261" t="s">
        <v>273</v>
      </c>
      <c r="B261" s="3">
        <v>45210</v>
      </c>
      <c r="C261" s="3" t="str">
        <f t="shared" si="78"/>
        <v>Oct-2023</v>
      </c>
      <c r="D261" s="3" t="str">
        <f t="shared" si="79"/>
        <v>Q4-2023</v>
      </c>
      <c r="E261" s="3">
        <v>45212</v>
      </c>
      <c r="F261" s="3" t="str">
        <f t="shared" si="80"/>
        <v>Valid</v>
      </c>
      <c r="G261" s="12">
        <f t="shared" si="81"/>
        <v>2</v>
      </c>
      <c r="H261" s="3">
        <f t="shared" si="82"/>
        <v>45212</v>
      </c>
      <c r="I261" t="s">
        <v>648</v>
      </c>
      <c r="J261" t="str">
        <f t="shared" si="83"/>
        <v>Americas → Brazil → Brasília</v>
      </c>
      <c r="K261" s="3" t="str">
        <f t="shared" si="84"/>
        <v>Brazil-2023-10</v>
      </c>
      <c r="L261" t="s">
        <v>655</v>
      </c>
      <c r="M261" t="s">
        <v>672</v>
      </c>
      <c r="N261" t="s">
        <v>704</v>
      </c>
      <c r="O261" t="s">
        <v>710</v>
      </c>
      <c r="P261" t="s">
        <v>1423</v>
      </c>
      <c r="Q261" t="s">
        <v>733</v>
      </c>
      <c r="R261" t="s">
        <v>993</v>
      </c>
      <c r="S261" s="5">
        <v>715.94</v>
      </c>
      <c r="T261" s="5">
        <v>550.07000000000005</v>
      </c>
      <c r="U261" s="5" t="str">
        <f t="shared" si="85"/>
        <v>Valid</v>
      </c>
      <c r="V261" s="5">
        <f t="shared" si="76"/>
        <v>550.07000000000005</v>
      </c>
      <c r="W261" s="5" t="str">
        <f t="shared" si="86"/>
        <v>Low</v>
      </c>
      <c r="X261" s="5">
        <v>0.14000000000000001</v>
      </c>
      <c r="Y261" s="5" t="str">
        <f t="shared" si="87"/>
        <v>Valid</v>
      </c>
      <c r="Z261" s="5">
        <f t="shared" si="88"/>
        <v>0.14000000000000001</v>
      </c>
      <c r="AA261" s="5">
        <v>16</v>
      </c>
      <c r="AB261">
        <f t="shared" si="89"/>
        <v>7568.9632000000001</v>
      </c>
      <c r="AC261">
        <f t="shared" si="77"/>
        <v>11455.04</v>
      </c>
      <c r="AD261">
        <f t="shared" si="90"/>
        <v>-3886.0768000000007</v>
      </c>
      <c r="AE261">
        <f t="shared" si="91"/>
        <v>-0.51342260456491595</v>
      </c>
      <c r="AF261">
        <f t="shared" si="92"/>
        <v>1</v>
      </c>
      <c r="AG261">
        <f t="shared" si="93"/>
        <v>0</v>
      </c>
      <c r="AK261">
        <f>AA261*(1+What_if_Analysis!$B$4)</f>
        <v>19.2</v>
      </c>
      <c r="AL261" s="5">
        <f>MIN(Z261,What_if_Analysis!$B$2)</f>
        <v>0.05</v>
      </c>
      <c r="AM261">
        <f t="shared" si="94"/>
        <v>10033.2768</v>
      </c>
      <c r="AN261">
        <f>AM261-(AK261*(T261*(1+What_if_Analysis!$B$3)))</f>
        <v>-1584.2016000000021</v>
      </c>
    </row>
    <row r="262" spans="1:40" x14ac:dyDescent="0.3">
      <c r="A262" t="s">
        <v>274</v>
      </c>
      <c r="B262" s="3">
        <v>45066</v>
      </c>
      <c r="C262" s="3" t="str">
        <f t="shared" si="78"/>
        <v>May-2023</v>
      </c>
      <c r="D262" s="3" t="str">
        <f t="shared" si="79"/>
        <v>Q2-2023</v>
      </c>
      <c r="E262" s="3">
        <v>45084</v>
      </c>
      <c r="F262" s="3" t="str">
        <f t="shared" si="80"/>
        <v>Valid</v>
      </c>
      <c r="G262" s="12">
        <f t="shared" si="81"/>
        <v>18</v>
      </c>
      <c r="H262" s="3">
        <f t="shared" si="82"/>
        <v>45084</v>
      </c>
      <c r="I262" t="s">
        <v>646</v>
      </c>
      <c r="J262" t="str">
        <f t="shared" si="83"/>
        <v>Africa → Nigeria → Port Harcourt</v>
      </c>
      <c r="K262" s="3" t="str">
        <f t="shared" si="84"/>
        <v>Nigeria-2023-05</v>
      </c>
      <c r="L262" t="s">
        <v>651</v>
      </c>
      <c r="M262" t="s">
        <v>663</v>
      </c>
      <c r="N262" t="s">
        <v>706</v>
      </c>
      <c r="O262" t="s">
        <v>710</v>
      </c>
      <c r="P262" t="s">
        <v>718</v>
      </c>
      <c r="Q262" t="s">
        <v>727</v>
      </c>
      <c r="R262" t="s">
        <v>994</v>
      </c>
      <c r="S262" s="5">
        <v>1120.06</v>
      </c>
      <c r="T262" s="5">
        <v>2068.21</v>
      </c>
      <c r="U262" s="5" t="str">
        <f t="shared" si="85"/>
        <v>Valid</v>
      </c>
      <c r="V262" s="5">
        <f t="shared" si="76"/>
        <v>2068.21</v>
      </c>
      <c r="W262" s="5" t="str">
        <f t="shared" si="86"/>
        <v>High</v>
      </c>
      <c r="X262" s="5">
        <v>7.8E-2</v>
      </c>
      <c r="Y262" s="5" t="str">
        <f t="shared" si="87"/>
        <v>Valid</v>
      </c>
      <c r="Z262" s="5">
        <f t="shared" si="88"/>
        <v>7.8E-2</v>
      </c>
      <c r="AA262" s="5">
        <v>12</v>
      </c>
      <c r="AB262">
        <f t="shared" si="89"/>
        <v>22882.675440000003</v>
      </c>
      <c r="AC262">
        <f t="shared" si="77"/>
        <v>13440.72</v>
      </c>
      <c r="AD262">
        <f t="shared" si="90"/>
        <v>9441.9554400000034</v>
      </c>
      <c r="AE262">
        <f t="shared" si="91"/>
        <v>0.41262462795303284</v>
      </c>
      <c r="AF262">
        <f t="shared" si="92"/>
        <v>0</v>
      </c>
      <c r="AG262">
        <f t="shared" si="93"/>
        <v>0</v>
      </c>
      <c r="AK262">
        <f>AA262*(1+What_if_Analysis!$B$4)</f>
        <v>14.399999999999999</v>
      </c>
      <c r="AL262" s="5">
        <f>MIN(Z262,What_if_Analysis!$B$2)</f>
        <v>0.05</v>
      </c>
      <c r="AM262">
        <f t="shared" si="94"/>
        <v>28293.112799999995</v>
      </c>
      <c r="AN262">
        <f>AM262-(AK262*(T262*(1+What_if_Analysis!$B$3)))</f>
        <v>-4467.333600000009</v>
      </c>
    </row>
    <row r="263" spans="1:40" x14ac:dyDescent="0.3">
      <c r="A263" t="s">
        <v>275</v>
      </c>
      <c r="B263" s="3">
        <v>45073</v>
      </c>
      <c r="C263" s="3" t="str">
        <f t="shared" si="78"/>
        <v>May-2023</v>
      </c>
      <c r="D263" s="3" t="str">
        <f t="shared" si="79"/>
        <v>Q2-2023</v>
      </c>
      <c r="E263" s="3">
        <v>45096</v>
      </c>
      <c r="F263" s="3" t="str">
        <f t="shared" si="80"/>
        <v>Valid</v>
      </c>
      <c r="G263" s="12">
        <f t="shared" si="81"/>
        <v>23</v>
      </c>
      <c r="H263" s="3">
        <f t="shared" si="82"/>
        <v>45096</v>
      </c>
      <c r="I263" t="s">
        <v>649</v>
      </c>
      <c r="J263" t="str">
        <f t="shared" si="83"/>
        <v>Europe → Germany → Berlin</v>
      </c>
      <c r="K263" s="3" t="str">
        <f t="shared" si="84"/>
        <v>Germany-2023-05</v>
      </c>
      <c r="L263" t="s">
        <v>656</v>
      </c>
      <c r="M263" t="s">
        <v>671</v>
      </c>
      <c r="N263" t="s">
        <v>702</v>
      </c>
      <c r="O263" t="s">
        <v>707</v>
      </c>
      <c r="P263" t="s">
        <v>719</v>
      </c>
      <c r="Q263" t="s">
        <v>733</v>
      </c>
      <c r="R263" t="s">
        <v>995</v>
      </c>
      <c r="S263" s="5">
        <v>1471.58</v>
      </c>
      <c r="T263" s="5">
        <v>2576.65</v>
      </c>
      <c r="U263" s="5" t="str">
        <f t="shared" si="85"/>
        <v>Valid</v>
      </c>
      <c r="V263" s="5">
        <f t="shared" si="76"/>
        <v>2576.65</v>
      </c>
      <c r="W263" s="5" t="str">
        <f t="shared" si="86"/>
        <v>High</v>
      </c>
      <c r="X263" s="5">
        <v>4.0000000000000001E-3</v>
      </c>
      <c r="Y263" s="5" t="str">
        <f t="shared" si="87"/>
        <v>Valid</v>
      </c>
      <c r="Z263" s="5">
        <f t="shared" si="88"/>
        <v>4.0000000000000001E-3</v>
      </c>
      <c r="AA263" s="5">
        <v>7</v>
      </c>
      <c r="AB263">
        <f t="shared" si="89"/>
        <v>17964.4038</v>
      </c>
      <c r="AC263">
        <f t="shared" si="77"/>
        <v>10301.06</v>
      </c>
      <c r="AD263">
        <f t="shared" si="90"/>
        <v>7663.3438000000006</v>
      </c>
      <c r="AE263">
        <f t="shared" si="91"/>
        <v>0.4265849223451546</v>
      </c>
      <c r="AF263">
        <f t="shared" si="92"/>
        <v>0</v>
      </c>
      <c r="AG263">
        <f t="shared" si="93"/>
        <v>0</v>
      </c>
      <c r="AK263">
        <f>AA263*(1+What_if_Analysis!$B$4)</f>
        <v>8.4</v>
      </c>
      <c r="AL263" s="5">
        <f>MIN(Z263,What_if_Analysis!$B$2)</f>
        <v>4.0000000000000001E-3</v>
      </c>
      <c r="AM263">
        <f t="shared" si="94"/>
        <v>21557.28456</v>
      </c>
      <c r="AN263">
        <f>AM263-(AK263*(T263*(1+What_if_Analysis!$B$3)))</f>
        <v>-2250.9614400000064</v>
      </c>
    </row>
    <row r="264" spans="1:40" x14ac:dyDescent="0.3">
      <c r="A264" t="s">
        <v>276</v>
      </c>
      <c r="B264" s="3">
        <v>45142</v>
      </c>
      <c r="C264" s="3" t="str">
        <f t="shared" si="78"/>
        <v>Aug-2023</v>
      </c>
      <c r="D264" s="3" t="str">
        <f t="shared" si="79"/>
        <v>Q3-2023</v>
      </c>
      <c r="E264" s="3">
        <v>45162</v>
      </c>
      <c r="F264" s="3" t="str">
        <f t="shared" si="80"/>
        <v>Valid</v>
      </c>
      <c r="G264" s="12">
        <f t="shared" si="81"/>
        <v>20</v>
      </c>
      <c r="H264" s="3">
        <f t="shared" si="82"/>
        <v>45162</v>
      </c>
      <c r="I264" t="s">
        <v>648</v>
      </c>
      <c r="J264" t="str">
        <f t="shared" si="83"/>
        <v>Americas → Brazil → Brasília</v>
      </c>
      <c r="K264" s="3" t="str">
        <f t="shared" si="84"/>
        <v>Brazil-2023-08</v>
      </c>
      <c r="L264" t="s">
        <v>655</v>
      </c>
      <c r="M264" t="s">
        <v>672</v>
      </c>
      <c r="N264" t="s">
        <v>703</v>
      </c>
      <c r="O264" t="s">
        <v>711</v>
      </c>
      <c r="P264" t="s">
        <v>1423</v>
      </c>
      <c r="Q264" t="s">
        <v>729</v>
      </c>
      <c r="R264" t="s">
        <v>996</v>
      </c>
      <c r="S264" s="5">
        <v>582.88</v>
      </c>
      <c r="T264" s="5">
        <v>1044.1400000000001</v>
      </c>
      <c r="U264" s="5" t="str">
        <f t="shared" si="85"/>
        <v>Valid</v>
      </c>
      <c r="V264" s="5">
        <f t="shared" si="76"/>
        <v>1044.1400000000001</v>
      </c>
      <c r="W264" s="5" t="str">
        <f t="shared" si="86"/>
        <v>Medium</v>
      </c>
      <c r="X264" s="5">
        <v>0.216</v>
      </c>
      <c r="Y264" s="5" t="str">
        <f t="shared" si="87"/>
        <v>Valid</v>
      </c>
      <c r="Z264" s="5">
        <f t="shared" si="88"/>
        <v>0.216</v>
      </c>
      <c r="AA264" s="5">
        <v>10</v>
      </c>
      <c r="AB264">
        <f t="shared" si="89"/>
        <v>8186.057600000001</v>
      </c>
      <c r="AC264">
        <f t="shared" si="77"/>
        <v>5828.8</v>
      </c>
      <c r="AD264">
        <f t="shared" si="90"/>
        <v>2357.2576000000008</v>
      </c>
      <c r="AE264">
        <f t="shared" si="91"/>
        <v>0.28796005539956138</v>
      </c>
      <c r="AF264">
        <f t="shared" si="92"/>
        <v>0</v>
      </c>
      <c r="AG264">
        <f t="shared" si="93"/>
        <v>1</v>
      </c>
      <c r="AK264">
        <f>AA264*(1+What_if_Analysis!$B$4)</f>
        <v>12</v>
      </c>
      <c r="AL264" s="5">
        <f>MIN(Z264,What_if_Analysis!$B$2)</f>
        <v>0.05</v>
      </c>
      <c r="AM264">
        <f t="shared" si="94"/>
        <v>11903.196</v>
      </c>
      <c r="AN264">
        <f>AM264-(AK264*(T264*(1+What_if_Analysis!$B$3)))</f>
        <v>-1879.4520000000048</v>
      </c>
    </row>
    <row r="265" spans="1:40" x14ac:dyDescent="0.3">
      <c r="A265" t="s">
        <v>277</v>
      </c>
      <c r="B265" s="3">
        <v>45829</v>
      </c>
      <c r="C265" s="3" t="str">
        <f t="shared" si="78"/>
        <v>Jun-2025</v>
      </c>
      <c r="D265" s="3" t="str">
        <f t="shared" si="79"/>
        <v>Q2-2025</v>
      </c>
      <c r="E265" s="3">
        <v>45835</v>
      </c>
      <c r="F265" s="3" t="str">
        <f t="shared" si="80"/>
        <v>Valid</v>
      </c>
      <c r="G265" s="12">
        <f t="shared" si="81"/>
        <v>6</v>
      </c>
      <c r="H265" s="3">
        <f t="shared" si="82"/>
        <v>45835</v>
      </c>
      <c r="I265" t="s">
        <v>646</v>
      </c>
      <c r="J265" t="str">
        <f t="shared" si="83"/>
        <v>Africa → South Africa → Durban</v>
      </c>
      <c r="K265" s="3" t="str">
        <f t="shared" si="84"/>
        <v>South Africa-2025-06</v>
      </c>
      <c r="L265" t="s">
        <v>661</v>
      </c>
      <c r="M265" t="s">
        <v>687</v>
      </c>
      <c r="N265" t="s">
        <v>706</v>
      </c>
      <c r="O265" t="s">
        <v>710</v>
      </c>
      <c r="P265" t="s">
        <v>725</v>
      </c>
      <c r="Q265" t="s">
        <v>730</v>
      </c>
      <c r="R265" t="s">
        <v>997</v>
      </c>
      <c r="S265" s="5">
        <v>93.91</v>
      </c>
      <c r="T265" s="5">
        <v>99.04</v>
      </c>
      <c r="U265" s="5" t="str">
        <f t="shared" si="85"/>
        <v>Valid</v>
      </c>
      <c r="V265" s="5">
        <f t="shared" si="76"/>
        <v>99.04</v>
      </c>
      <c r="W265" s="5" t="str">
        <f t="shared" si="86"/>
        <v>Low</v>
      </c>
      <c r="X265" s="5">
        <v>5.7000000000000002E-2</v>
      </c>
      <c r="Y265" s="5" t="str">
        <f t="shared" si="87"/>
        <v>Valid</v>
      </c>
      <c r="Z265" s="5">
        <f t="shared" si="88"/>
        <v>5.7000000000000002E-2</v>
      </c>
      <c r="AA265" s="5">
        <v>6</v>
      </c>
      <c r="AB265">
        <f t="shared" si="89"/>
        <v>560.36831999999993</v>
      </c>
      <c r="AC265">
        <f t="shared" si="77"/>
        <v>563.46</v>
      </c>
      <c r="AD265">
        <f t="shared" si="90"/>
        <v>-3.0916800000001103</v>
      </c>
      <c r="AE265">
        <f t="shared" si="91"/>
        <v>-5.5172283829323376E-3</v>
      </c>
      <c r="AF265">
        <f t="shared" si="92"/>
        <v>1</v>
      </c>
      <c r="AG265">
        <f t="shared" si="93"/>
        <v>0</v>
      </c>
      <c r="AK265">
        <f>AA265*(1+What_if_Analysis!$B$4)</f>
        <v>7.1999999999999993</v>
      </c>
      <c r="AL265" s="5">
        <f>MIN(Z265,What_if_Analysis!$B$2)</f>
        <v>0.05</v>
      </c>
      <c r="AM265">
        <f t="shared" si="94"/>
        <v>677.43359999999996</v>
      </c>
      <c r="AN265">
        <f>AM265-(AK265*(T265*(1+What_if_Analysis!$B$3)))</f>
        <v>-106.96320000000014</v>
      </c>
    </row>
    <row r="266" spans="1:40" x14ac:dyDescent="0.3">
      <c r="A266" t="s">
        <v>278</v>
      </c>
      <c r="B266" s="3">
        <v>45763</v>
      </c>
      <c r="C266" s="3" t="str">
        <f t="shared" si="78"/>
        <v>Apr-2025</v>
      </c>
      <c r="D266" s="3" t="str">
        <f t="shared" si="79"/>
        <v>Q2-2025</v>
      </c>
      <c r="E266" s="3">
        <v>45773</v>
      </c>
      <c r="F266" s="3" t="str">
        <f t="shared" si="80"/>
        <v>Valid</v>
      </c>
      <c r="G266" s="12">
        <f t="shared" si="81"/>
        <v>10</v>
      </c>
      <c r="H266" s="3">
        <f t="shared" si="82"/>
        <v>45773</v>
      </c>
      <c r="I266" t="s">
        <v>646</v>
      </c>
      <c r="J266" t="str">
        <f t="shared" si="83"/>
        <v>Africa → Nigeria → Port Harcourt</v>
      </c>
      <c r="K266" s="3" t="str">
        <f t="shared" si="84"/>
        <v>Nigeria-2025-04</v>
      </c>
      <c r="L266" t="s">
        <v>651</v>
      </c>
      <c r="M266" t="s">
        <v>663</v>
      </c>
      <c r="N266" t="s">
        <v>706</v>
      </c>
      <c r="O266" t="s">
        <v>709</v>
      </c>
      <c r="P266" t="s">
        <v>721</v>
      </c>
      <c r="Q266" t="s">
        <v>731</v>
      </c>
      <c r="R266" t="s">
        <v>998</v>
      </c>
      <c r="S266" s="5">
        <v>1457.44</v>
      </c>
      <c r="T266" s="5">
        <v>1996.81</v>
      </c>
      <c r="U266" s="5" t="str">
        <f t="shared" si="85"/>
        <v>Valid</v>
      </c>
      <c r="V266" s="5">
        <f t="shared" si="76"/>
        <v>1996.81</v>
      </c>
      <c r="W266" s="5" t="str">
        <f t="shared" si="86"/>
        <v>High</v>
      </c>
      <c r="X266" s="5">
        <v>0.126</v>
      </c>
      <c r="Y266" s="5" t="str">
        <f t="shared" si="87"/>
        <v>Valid</v>
      </c>
      <c r="Z266" s="5">
        <f t="shared" si="88"/>
        <v>0.126</v>
      </c>
      <c r="AA266" s="5">
        <v>23</v>
      </c>
      <c r="AB266">
        <f t="shared" si="89"/>
        <v>40139.874619999995</v>
      </c>
      <c r="AC266">
        <f t="shared" si="77"/>
        <v>33521.120000000003</v>
      </c>
      <c r="AD266">
        <f t="shared" si="90"/>
        <v>6618.7546199999924</v>
      </c>
      <c r="AE266">
        <f t="shared" si="91"/>
        <v>0.16489225944672353</v>
      </c>
      <c r="AF266">
        <f t="shared" si="92"/>
        <v>0</v>
      </c>
      <c r="AG266">
        <f t="shared" si="93"/>
        <v>0</v>
      </c>
      <c r="AK266">
        <f>AA266*(1+What_if_Analysis!$B$4)</f>
        <v>27.599999999999998</v>
      </c>
      <c r="AL266" s="5">
        <f>MIN(Z266,What_if_Analysis!$B$2)</f>
        <v>0.05</v>
      </c>
      <c r="AM266">
        <f t="shared" si="94"/>
        <v>52356.358199999988</v>
      </c>
      <c r="AN266">
        <f>AM266-(AK266*(T266*(1+What_if_Analysis!$B$3)))</f>
        <v>-8266.7934000000096</v>
      </c>
    </row>
    <row r="267" spans="1:40" x14ac:dyDescent="0.3">
      <c r="A267" t="s">
        <v>279</v>
      </c>
      <c r="B267" s="3">
        <v>45902</v>
      </c>
      <c r="C267" s="3" t="str">
        <f t="shared" si="78"/>
        <v>Sept-2025</v>
      </c>
      <c r="D267" s="3" t="str">
        <f t="shared" si="79"/>
        <v>Q3-2025</v>
      </c>
      <c r="E267" s="3">
        <v>45911</v>
      </c>
      <c r="F267" s="3" t="str">
        <f t="shared" si="80"/>
        <v>Valid</v>
      </c>
      <c r="G267" s="12">
        <f t="shared" si="81"/>
        <v>9</v>
      </c>
      <c r="H267" s="3">
        <f t="shared" si="82"/>
        <v>45911</v>
      </c>
      <c r="I267" t="s">
        <v>648</v>
      </c>
      <c r="J267" t="str">
        <f t="shared" si="83"/>
        <v>Americas → Canada → Toronto</v>
      </c>
      <c r="K267" s="3" t="str">
        <f t="shared" si="84"/>
        <v>Canada-2025-09</v>
      </c>
      <c r="L267" t="s">
        <v>653</v>
      </c>
      <c r="M267" t="s">
        <v>667</v>
      </c>
      <c r="N267" t="s">
        <v>701</v>
      </c>
      <c r="O267" t="s">
        <v>710</v>
      </c>
      <c r="P267" t="s">
        <v>724</v>
      </c>
      <c r="Q267" t="s">
        <v>728</v>
      </c>
      <c r="R267" t="s">
        <v>999</v>
      </c>
      <c r="S267" s="5">
        <v>1207.6300000000001</v>
      </c>
      <c r="T267" s="5">
        <v>921.68</v>
      </c>
      <c r="U267" s="5" t="str">
        <f t="shared" si="85"/>
        <v>Valid</v>
      </c>
      <c r="V267" s="5">
        <f t="shared" si="76"/>
        <v>921.68</v>
      </c>
      <c r="W267" s="5" t="str">
        <f t="shared" si="86"/>
        <v>Medium</v>
      </c>
      <c r="X267" s="5">
        <v>0.19600000000000001</v>
      </c>
      <c r="Y267" s="5" t="str">
        <f t="shared" si="87"/>
        <v>Valid</v>
      </c>
      <c r="Z267" s="5">
        <f t="shared" si="88"/>
        <v>0.19600000000000001</v>
      </c>
      <c r="AA267" s="5">
        <v>17</v>
      </c>
      <c r="AB267">
        <f t="shared" si="89"/>
        <v>12597.52224</v>
      </c>
      <c r="AC267">
        <f t="shared" si="77"/>
        <v>20529.710000000003</v>
      </c>
      <c r="AD267">
        <f t="shared" si="90"/>
        <v>-7932.1877600000025</v>
      </c>
      <c r="AE267">
        <f t="shared" si="91"/>
        <v>-0.62966253274897988</v>
      </c>
      <c r="AF267">
        <f t="shared" si="92"/>
        <v>0</v>
      </c>
      <c r="AG267">
        <f t="shared" si="93"/>
        <v>0</v>
      </c>
      <c r="AK267">
        <f>AA267*(1+What_if_Analysis!$B$4)</f>
        <v>20.399999999999999</v>
      </c>
      <c r="AL267" s="5">
        <f>MIN(Z267,What_if_Analysis!$B$2)</f>
        <v>0.05</v>
      </c>
      <c r="AM267">
        <f t="shared" si="94"/>
        <v>17862.158399999997</v>
      </c>
      <c r="AN267">
        <f>AM267-(AK267*(T267*(1+What_if_Analysis!$B$3)))</f>
        <v>-2820.3408000000018</v>
      </c>
    </row>
    <row r="268" spans="1:40" x14ac:dyDescent="0.3">
      <c r="A268" t="s">
        <v>280</v>
      </c>
      <c r="B268" s="3">
        <v>45573</v>
      </c>
      <c r="C268" s="3" t="str">
        <f t="shared" si="78"/>
        <v>Oct-2024</v>
      </c>
      <c r="D268" s="3" t="str">
        <f t="shared" si="79"/>
        <v>Q4-2024</v>
      </c>
      <c r="E268" s="3">
        <v>45573</v>
      </c>
      <c r="F268" s="3" t="str">
        <f t="shared" si="80"/>
        <v>Valid</v>
      </c>
      <c r="G268" s="12">
        <f t="shared" si="81"/>
        <v>0</v>
      </c>
      <c r="H268" s="3">
        <f t="shared" si="82"/>
        <v>45573</v>
      </c>
      <c r="I268" t="s">
        <v>649</v>
      </c>
      <c r="J268" t="str">
        <f t="shared" si="83"/>
        <v>Europe → United Kingdom → London</v>
      </c>
      <c r="K268" s="3" t="str">
        <f t="shared" si="84"/>
        <v>United Kingdom-2024-10</v>
      </c>
      <c r="L268" t="s">
        <v>658</v>
      </c>
      <c r="M268" t="s">
        <v>683</v>
      </c>
      <c r="N268" t="s">
        <v>701</v>
      </c>
      <c r="O268" t="s">
        <v>708</v>
      </c>
      <c r="P268" t="s">
        <v>718</v>
      </c>
      <c r="Q268" t="s">
        <v>732</v>
      </c>
      <c r="R268" t="s">
        <v>1000</v>
      </c>
      <c r="S268" s="5">
        <v>1108.1099999999999</v>
      </c>
      <c r="T268" s="5">
        <v>2503.79</v>
      </c>
      <c r="U268" s="5" t="str">
        <f t="shared" si="85"/>
        <v>Valid</v>
      </c>
      <c r="V268" s="5">
        <f t="shared" si="76"/>
        <v>2503.79</v>
      </c>
      <c r="W268" s="5" t="str">
        <f t="shared" si="86"/>
        <v>High</v>
      </c>
      <c r="X268" s="5">
        <v>0.184</v>
      </c>
      <c r="Y268" s="5" t="str">
        <f t="shared" si="87"/>
        <v>Valid</v>
      </c>
      <c r="Z268" s="5">
        <f t="shared" si="88"/>
        <v>0.184</v>
      </c>
      <c r="AA268" s="5">
        <v>19</v>
      </c>
      <c r="AB268">
        <f t="shared" si="89"/>
        <v>38818.760160000005</v>
      </c>
      <c r="AC268">
        <f t="shared" si="77"/>
        <v>21054.089999999997</v>
      </c>
      <c r="AD268">
        <f t="shared" si="90"/>
        <v>17764.670160000009</v>
      </c>
      <c r="AE268">
        <f t="shared" si="91"/>
        <v>0.45763105485025896</v>
      </c>
      <c r="AF268">
        <f t="shared" si="92"/>
        <v>1</v>
      </c>
      <c r="AG268">
        <f t="shared" si="93"/>
        <v>0</v>
      </c>
      <c r="AK268">
        <f>AA268*(1+What_if_Analysis!$B$4)</f>
        <v>22.8</v>
      </c>
      <c r="AL268" s="5">
        <f>MIN(Z268,What_if_Analysis!$B$2)</f>
        <v>0.05</v>
      </c>
      <c r="AM268">
        <f t="shared" si="94"/>
        <v>54232.091400000005</v>
      </c>
      <c r="AN268">
        <f>AM268-(AK268*(T268*(1+What_if_Analysis!$B$3)))</f>
        <v>-8562.9618000000046</v>
      </c>
    </row>
    <row r="269" spans="1:40" x14ac:dyDescent="0.3">
      <c r="A269" t="s">
        <v>281</v>
      </c>
      <c r="B269" s="3">
        <v>45053</v>
      </c>
      <c r="C269" s="3" t="str">
        <f t="shared" si="78"/>
        <v>May-2023</v>
      </c>
      <c r="D269" s="3" t="str">
        <f t="shared" si="79"/>
        <v>Q2-2023</v>
      </c>
      <c r="E269" s="3">
        <v>45051</v>
      </c>
      <c r="F269" s="3" t="str">
        <f t="shared" si="80"/>
        <v>Invalid RequiredDate</v>
      </c>
      <c r="G269" s="12">
        <f t="shared" si="81"/>
        <v>-2</v>
      </c>
      <c r="H269" s="3">
        <f t="shared" si="82"/>
        <v>45079</v>
      </c>
      <c r="I269" t="s">
        <v>646</v>
      </c>
      <c r="J269" t="str">
        <f t="shared" si="83"/>
        <v>Africa → Nigeria → Port Harcourt</v>
      </c>
      <c r="K269" s="3" t="str">
        <f t="shared" si="84"/>
        <v>Nigeria-2023-05</v>
      </c>
      <c r="L269" t="s">
        <v>651</v>
      </c>
      <c r="M269" t="s">
        <v>663</v>
      </c>
      <c r="N269" t="s">
        <v>703</v>
      </c>
      <c r="O269" t="s">
        <v>709</v>
      </c>
      <c r="P269" t="s">
        <v>720</v>
      </c>
      <c r="Q269" t="s">
        <v>727</v>
      </c>
      <c r="R269" t="s">
        <v>1001</v>
      </c>
      <c r="S269" s="5">
        <v>1269.6500000000001</v>
      </c>
      <c r="T269" s="5">
        <v>2462.77</v>
      </c>
      <c r="U269" s="5" t="str">
        <f t="shared" si="85"/>
        <v>Valid</v>
      </c>
      <c r="V269" s="5">
        <f t="shared" si="76"/>
        <v>2462.77</v>
      </c>
      <c r="W269" s="5" t="str">
        <f t="shared" si="86"/>
        <v>High</v>
      </c>
      <c r="X269" s="5">
        <v>0.107</v>
      </c>
      <c r="Y269" s="5" t="str">
        <f t="shared" si="87"/>
        <v>Valid</v>
      </c>
      <c r="Z269" s="5">
        <f t="shared" si="88"/>
        <v>0.107</v>
      </c>
      <c r="AA269" s="5">
        <v>8</v>
      </c>
      <c r="AB269">
        <f t="shared" si="89"/>
        <v>17594.028880000002</v>
      </c>
      <c r="AC269">
        <f t="shared" si="77"/>
        <v>10157.200000000001</v>
      </c>
      <c r="AD269">
        <f t="shared" si="90"/>
        <v>7436.8288800000009</v>
      </c>
      <c r="AE269">
        <f t="shared" si="91"/>
        <v>0.42269050089225502</v>
      </c>
      <c r="AF269">
        <f t="shared" si="92"/>
        <v>1</v>
      </c>
      <c r="AG269">
        <f t="shared" si="93"/>
        <v>0</v>
      </c>
      <c r="AK269">
        <f>AA269*(1+What_if_Analysis!$B$4)</f>
        <v>9.6</v>
      </c>
      <c r="AL269" s="5">
        <f>MIN(Z269,What_if_Analysis!$B$2)</f>
        <v>0.05</v>
      </c>
      <c r="AM269">
        <f t="shared" si="94"/>
        <v>22460.4624</v>
      </c>
      <c r="AN269">
        <f>AM269-(AK269*(T269*(1+What_if_Analysis!$B$3)))</f>
        <v>-3546.3888000000006</v>
      </c>
    </row>
    <row r="270" spans="1:40" x14ac:dyDescent="0.3">
      <c r="A270" t="s">
        <v>282</v>
      </c>
      <c r="B270" s="3">
        <v>45284</v>
      </c>
      <c r="C270" s="3" t="str">
        <f t="shared" si="78"/>
        <v>Dec-2023</v>
      </c>
      <c r="D270" s="3" t="str">
        <f t="shared" si="79"/>
        <v>Q4-2023</v>
      </c>
      <c r="E270" s="3">
        <v>45292</v>
      </c>
      <c r="F270" s="3" t="str">
        <f t="shared" si="80"/>
        <v>Valid</v>
      </c>
      <c r="G270" s="12">
        <f t="shared" si="81"/>
        <v>8</v>
      </c>
      <c r="H270" s="3">
        <f t="shared" si="82"/>
        <v>45292</v>
      </c>
      <c r="I270" t="s">
        <v>648</v>
      </c>
      <c r="J270" t="str">
        <f t="shared" si="83"/>
        <v>Americas → Brazil → São Paulo</v>
      </c>
      <c r="K270" s="3" t="str">
        <f t="shared" si="84"/>
        <v>Brazil-2023-12</v>
      </c>
      <c r="L270" t="s">
        <v>655</v>
      </c>
      <c r="M270" t="s">
        <v>670</v>
      </c>
      <c r="N270" t="s">
        <v>702</v>
      </c>
      <c r="O270" t="s">
        <v>711</v>
      </c>
      <c r="P270" t="s">
        <v>712</v>
      </c>
      <c r="Q270" t="s">
        <v>730</v>
      </c>
      <c r="R270" t="s">
        <v>1002</v>
      </c>
      <c r="S270" s="5">
        <v>526.49</v>
      </c>
      <c r="T270" s="5">
        <v>496.2</v>
      </c>
      <c r="U270" s="5" t="str">
        <f t="shared" si="85"/>
        <v>Valid</v>
      </c>
      <c r="V270" s="5">
        <f t="shared" si="76"/>
        <v>496.2</v>
      </c>
      <c r="W270" s="5" t="str">
        <f t="shared" si="86"/>
        <v>Low</v>
      </c>
      <c r="X270" s="5">
        <v>0</v>
      </c>
      <c r="Y270" s="5" t="str">
        <f t="shared" si="87"/>
        <v>Valid</v>
      </c>
      <c r="Z270" s="5">
        <f t="shared" si="88"/>
        <v>0</v>
      </c>
      <c r="AA270" s="5">
        <v>14</v>
      </c>
      <c r="AB270">
        <f t="shared" si="89"/>
        <v>6946.8</v>
      </c>
      <c r="AC270">
        <f t="shared" si="77"/>
        <v>7370.8600000000006</v>
      </c>
      <c r="AD270">
        <f t="shared" si="90"/>
        <v>-424.0600000000004</v>
      </c>
      <c r="AE270">
        <f t="shared" si="91"/>
        <v>-6.1043933897621985E-2</v>
      </c>
      <c r="AF270">
        <f t="shared" si="92"/>
        <v>0</v>
      </c>
      <c r="AG270">
        <f t="shared" si="93"/>
        <v>0</v>
      </c>
      <c r="AK270">
        <f>AA270*(1+What_if_Analysis!$B$4)</f>
        <v>16.8</v>
      </c>
      <c r="AL270" s="5">
        <f>MIN(Z270,What_if_Analysis!$B$2)</f>
        <v>0</v>
      </c>
      <c r="AM270">
        <f t="shared" si="94"/>
        <v>8336.16</v>
      </c>
      <c r="AN270">
        <f>AM270-(AK270*(T270*(1+What_if_Analysis!$B$3)))</f>
        <v>-833.6160000000018</v>
      </c>
    </row>
    <row r="271" spans="1:40" x14ac:dyDescent="0.3">
      <c r="A271" t="s">
        <v>283</v>
      </c>
      <c r="B271" s="3">
        <v>45301</v>
      </c>
      <c r="C271" s="3" t="str">
        <f t="shared" si="78"/>
        <v>Jan-2024</v>
      </c>
      <c r="D271" s="3" t="str">
        <f t="shared" si="79"/>
        <v>Q1-2024</v>
      </c>
      <c r="E271" s="3">
        <v>45314</v>
      </c>
      <c r="F271" s="3" t="str">
        <f t="shared" si="80"/>
        <v>Valid</v>
      </c>
      <c r="G271" s="12">
        <f t="shared" si="81"/>
        <v>13</v>
      </c>
      <c r="H271" s="3">
        <f t="shared" si="82"/>
        <v>45314</v>
      </c>
      <c r="I271" t="s">
        <v>649</v>
      </c>
      <c r="J271" t="str">
        <f t="shared" si="83"/>
        <v>Europe → France → Marseille</v>
      </c>
      <c r="K271" s="3" t="str">
        <f t="shared" si="84"/>
        <v>France-2024-01</v>
      </c>
      <c r="L271" t="s">
        <v>657</v>
      </c>
      <c r="M271" t="s">
        <v>673</v>
      </c>
      <c r="N271" t="s">
        <v>701</v>
      </c>
      <c r="O271" t="s">
        <v>711</v>
      </c>
      <c r="P271" t="s">
        <v>720</v>
      </c>
      <c r="Q271" t="s">
        <v>728</v>
      </c>
      <c r="R271" t="s">
        <v>1003</v>
      </c>
      <c r="S271" s="5">
        <v>720</v>
      </c>
      <c r="T271" s="5">
        <v>907.59</v>
      </c>
      <c r="U271" s="5" t="str">
        <f t="shared" si="85"/>
        <v>Valid</v>
      </c>
      <c r="V271" s="5">
        <f t="shared" si="76"/>
        <v>907.59</v>
      </c>
      <c r="W271" s="5" t="str">
        <f t="shared" si="86"/>
        <v>Medium</v>
      </c>
      <c r="X271" s="5">
        <v>0.154</v>
      </c>
      <c r="Y271" s="5" t="str">
        <f t="shared" si="87"/>
        <v>Valid</v>
      </c>
      <c r="Z271" s="5">
        <f t="shared" si="88"/>
        <v>0.154</v>
      </c>
      <c r="AA271" s="5">
        <v>10</v>
      </c>
      <c r="AB271">
        <f t="shared" si="89"/>
        <v>7678.2113999999992</v>
      </c>
      <c r="AC271">
        <f t="shared" si="77"/>
        <v>7200</v>
      </c>
      <c r="AD271">
        <f t="shared" si="90"/>
        <v>478.21139999999923</v>
      </c>
      <c r="AE271">
        <f t="shared" si="91"/>
        <v>6.2281614179052078E-2</v>
      </c>
      <c r="AF271">
        <f t="shared" si="92"/>
        <v>0</v>
      </c>
      <c r="AG271">
        <f t="shared" si="93"/>
        <v>0</v>
      </c>
      <c r="AK271">
        <f>AA271*(1+What_if_Analysis!$B$4)</f>
        <v>12</v>
      </c>
      <c r="AL271" s="5">
        <f>MIN(Z271,What_if_Analysis!$B$2)</f>
        <v>0.05</v>
      </c>
      <c r="AM271">
        <f t="shared" si="94"/>
        <v>10346.526</v>
      </c>
      <c r="AN271">
        <f>AM271-(AK271*(T271*(1+What_if_Analysis!$B$3)))</f>
        <v>-1633.6620000000021</v>
      </c>
    </row>
    <row r="272" spans="1:40" x14ac:dyDescent="0.3">
      <c r="A272" t="s">
        <v>284</v>
      </c>
      <c r="B272" s="3">
        <v>45141</v>
      </c>
      <c r="C272" s="3" t="str">
        <f t="shared" si="78"/>
        <v>Aug-2023</v>
      </c>
      <c r="D272" s="3" t="str">
        <f t="shared" si="79"/>
        <v>Q3-2023</v>
      </c>
      <c r="E272" s="3">
        <v>45152</v>
      </c>
      <c r="F272" s="3" t="str">
        <f t="shared" si="80"/>
        <v>Valid</v>
      </c>
      <c r="G272" s="12">
        <f t="shared" si="81"/>
        <v>11</v>
      </c>
      <c r="H272" s="3">
        <f t="shared" si="82"/>
        <v>45152</v>
      </c>
      <c r="I272" t="s">
        <v>648</v>
      </c>
      <c r="J272" t="str">
        <f t="shared" si="83"/>
        <v>Americas → Brazil → Brasília</v>
      </c>
      <c r="K272" s="3" t="str">
        <f t="shared" si="84"/>
        <v>Brazil-2023-08</v>
      </c>
      <c r="L272" t="s">
        <v>655</v>
      </c>
      <c r="M272" t="s">
        <v>672</v>
      </c>
      <c r="N272" t="s">
        <v>701</v>
      </c>
      <c r="O272" t="s">
        <v>711</v>
      </c>
      <c r="P272" t="s">
        <v>713</v>
      </c>
      <c r="Q272" t="s">
        <v>733</v>
      </c>
      <c r="R272" t="s">
        <v>1004</v>
      </c>
      <c r="S272" s="5">
        <v>232.73</v>
      </c>
      <c r="T272" s="5">
        <v>334.19</v>
      </c>
      <c r="U272" s="5" t="str">
        <f t="shared" si="85"/>
        <v>Valid</v>
      </c>
      <c r="V272" s="5">
        <f t="shared" si="76"/>
        <v>334.19</v>
      </c>
      <c r="W272" s="5" t="str">
        <f t="shared" si="86"/>
        <v>Low</v>
      </c>
      <c r="X272" s="5">
        <v>0.13400000000000001</v>
      </c>
      <c r="Y272" s="5" t="str">
        <f t="shared" si="87"/>
        <v>Valid</v>
      </c>
      <c r="Z272" s="5">
        <f t="shared" si="88"/>
        <v>0.13400000000000001</v>
      </c>
      <c r="AA272" s="5">
        <v>25</v>
      </c>
      <c r="AB272">
        <f t="shared" si="89"/>
        <v>7235.2134999999998</v>
      </c>
      <c r="AC272">
        <f t="shared" si="77"/>
        <v>5818.25</v>
      </c>
      <c r="AD272">
        <f t="shared" si="90"/>
        <v>1416.9634999999998</v>
      </c>
      <c r="AE272">
        <f t="shared" si="91"/>
        <v>0.1958426658729559</v>
      </c>
      <c r="AF272">
        <f t="shared" si="92"/>
        <v>0</v>
      </c>
      <c r="AG272">
        <f t="shared" si="93"/>
        <v>0</v>
      </c>
      <c r="AK272">
        <f>AA272*(1+What_if_Analysis!$B$4)</f>
        <v>30</v>
      </c>
      <c r="AL272" s="5">
        <f>MIN(Z272,What_if_Analysis!$B$2)</f>
        <v>0.05</v>
      </c>
      <c r="AM272">
        <f t="shared" si="94"/>
        <v>9524.4150000000009</v>
      </c>
      <c r="AN272">
        <f>AM272-(AK272*(T272*(1+What_if_Analysis!$B$3)))</f>
        <v>-1503.8549999999996</v>
      </c>
    </row>
    <row r="273" spans="1:40" x14ac:dyDescent="0.3">
      <c r="A273" t="s">
        <v>285</v>
      </c>
      <c r="B273" s="3">
        <v>45707</v>
      </c>
      <c r="C273" s="3" t="str">
        <f t="shared" si="78"/>
        <v>Feb-2025</v>
      </c>
      <c r="D273" s="3" t="str">
        <f t="shared" si="79"/>
        <v>Q1-2025</v>
      </c>
      <c r="E273" s="3">
        <v>45725</v>
      </c>
      <c r="F273" s="3" t="str">
        <f t="shared" si="80"/>
        <v>Valid</v>
      </c>
      <c r="G273" s="12">
        <f t="shared" si="81"/>
        <v>18</v>
      </c>
      <c r="H273" s="3">
        <f t="shared" si="82"/>
        <v>45725</v>
      </c>
      <c r="I273" t="s">
        <v>647</v>
      </c>
      <c r="J273" t="str">
        <f t="shared" si="83"/>
        <v>Asia → India → Delhi</v>
      </c>
      <c r="K273" s="3" t="str">
        <f t="shared" si="84"/>
        <v>India-2025-02</v>
      </c>
      <c r="L273" t="s">
        <v>654</v>
      </c>
      <c r="M273" t="s">
        <v>680</v>
      </c>
      <c r="N273" t="s">
        <v>705</v>
      </c>
      <c r="O273" t="s">
        <v>711</v>
      </c>
      <c r="P273" t="s">
        <v>719</v>
      </c>
      <c r="Q273" t="s">
        <v>732</v>
      </c>
      <c r="R273" t="s">
        <v>1005</v>
      </c>
      <c r="S273" s="5">
        <v>325.87</v>
      </c>
      <c r="T273" s="5">
        <v>538.79</v>
      </c>
      <c r="U273" s="5" t="str">
        <f t="shared" si="85"/>
        <v>Valid</v>
      </c>
      <c r="V273" s="5">
        <f t="shared" si="76"/>
        <v>538.79</v>
      </c>
      <c r="W273" s="5" t="str">
        <f t="shared" si="86"/>
        <v>Low</v>
      </c>
      <c r="X273" s="5">
        <v>0.17399999999999999</v>
      </c>
      <c r="Y273" s="5" t="str">
        <f t="shared" si="87"/>
        <v>Valid</v>
      </c>
      <c r="Z273" s="5">
        <f t="shared" si="88"/>
        <v>0.17399999999999999</v>
      </c>
      <c r="AA273" s="5">
        <v>16</v>
      </c>
      <c r="AB273">
        <f t="shared" si="89"/>
        <v>7120.6486400000003</v>
      </c>
      <c r="AC273">
        <f t="shared" si="77"/>
        <v>5213.92</v>
      </c>
      <c r="AD273">
        <f t="shared" si="90"/>
        <v>1906.7286400000003</v>
      </c>
      <c r="AE273">
        <f t="shared" si="91"/>
        <v>0.26777457172778013</v>
      </c>
      <c r="AF273">
        <f t="shared" si="92"/>
        <v>0</v>
      </c>
      <c r="AG273">
        <f t="shared" si="93"/>
        <v>0</v>
      </c>
      <c r="AK273">
        <f>AA273*(1+What_if_Analysis!$B$4)</f>
        <v>19.2</v>
      </c>
      <c r="AL273" s="5">
        <f>MIN(Z273,What_if_Analysis!$B$2)</f>
        <v>0.05</v>
      </c>
      <c r="AM273">
        <f t="shared" si="94"/>
        <v>9827.529599999998</v>
      </c>
      <c r="AN273">
        <f>AM273-(AK273*(T273*(1+What_if_Analysis!$B$3)))</f>
        <v>-1551.7152000000006</v>
      </c>
    </row>
    <row r="274" spans="1:40" x14ac:dyDescent="0.3">
      <c r="A274" t="s">
        <v>286</v>
      </c>
      <c r="B274" s="3">
        <v>45382</v>
      </c>
      <c r="C274" s="3" t="str">
        <f t="shared" si="78"/>
        <v>Mar-2024</v>
      </c>
      <c r="D274" s="3" t="str">
        <f t="shared" si="79"/>
        <v>Q1-2024</v>
      </c>
      <c r="E274" s="3">
        <v>45399</v>
      </c>
      <c r="F274" s="3" t="str">
        <f t="shared" si="80"/>
        <v>Valid</v>
      </c>
      <c r="G274" s="12">
        <f t="shared" si="81"/>
        <v>17</v>
      </c>
      <c r="H274" s="3">
        <f t="shared" si="82"/>
        <v>45399</v>
      </c>
      <c r="I274" t="s">
        <v>649</v>
      </c>
      <c r="J274" t="str">
        <f t="shared" si="83"/>
        <v>Europe → Germany → Frankfurt</v>
      </c>
      <c r="K274" s="3" t="str">
        <f t="shared" si="84"/>
        <v>Germany-2024-03</v>
      </c>
      <c r="L274" t="s">
        <v>656</v>
      </c>
      <c r="M274" t="s">
        <v>698</v>
      </c>
      <c r="N274" t="s">
        <v>702</v>
      </c>
      <c r="O274" t="s">
        <v>711</v>
      </c>
      <c r="P274" t="s">
        <v>722</v>
      </c>
      <c r="Q274" t="s">
        <v>732</v>
      </c>
      <c r="R274" t="s">
        <v>1006</v>
      </c>
      <c r="S274" s="5">
        <v>1025.51</v>
      </c>
      <c r="T274" s="5">
        <v>1436.54</v>
      </c>
      <c r="U274" s="5" t="str">
        <f t="shared" si="85"/>
        <v>Valid</v>
      </c>
      <c r="V274" s="5">
        <f t="shared" si="76"/>
        <v>1436.54</v>
      </c>
      <c r="W274" s="5" t="str">
        <f t="shared" si="86"/>
        <v>Medium</v>
      </c>
      <c r="X274" s="5">
        <v>0.13900000000000001</v>
      </c>
      <c r="Y274" s="5" t="str">
        <f t="shared" si="87"/>
        <v>Valid</v>
      </c>
      <c r="Z274" s="5">
        <f t="shared" si="88"/>
        <v>0.13900000000000001</v>
      </c>
      <c r="AA274" s="5">
        <v>28</v>
      </c>
      <c r="AB274">
        <f t="shared" si="89"/>
        <v>34632.106319999999</v>
      </c>
      <c r="AC274">
        <f t="shared" si="77"/>
        <v>28714.28</v>
      </c>
      <c r="AD274">
        <f t="shared" si="90"/>
        <v>5917.8263200000001</v>
      </c>
      <c r="AE274">
        <f t="shared" si="91"/>
        <v>0.17087688127656453</v>
      </c>
      <c r="AF274">
        <f t="shared" si="92"/>
        <v>0</v>
      </c>
      <c r="AG274">
        <f t="shared" si="93"/>
        <v>0</v>
      </c>
      <c r="AK274">
        <f>AA274*(1+What_if_Analysis!$B$4)</f>
        <v>33.6</v>
      </c>
      <c r="AL274" s="5">
        <f>MIN(Z274,What_if_Analysis!$B$2)</f>
        <v>0.05</v>
      </c>
      <c r="AM274">
        <f t="shared" si="94"/>
        <v>45854.356799999994</v>
      </c>
      <c r="AN274">
        <f>AM274-(AK274*(T274*(1+What_if_Analysis!$B$3)))</f>
        <v>-7240.161600000014</v>
      </c>
    </row>
    <row r="275" spans="1:40" x14ac:dyDescent="0.3">
      <c r="A275" t="s">
        <v>287</v>
      </c>
      <c r="B275" s="3">
        <v>45131</v>
      </c>
      <c r="C275" s="3" t="str">
        <f t="shared" si="78"/>
        <v>Jul-2023</v>
      </c>
      <c r="D275" s="3" t="str">
        <f t="shared" si="79"/>
        <v>Q3-2023</v>
      </c>
      <c r="E275" s="3">
        <v>45151</v>
      </c>
      <c r="F275" s="3" t="str">
        <f t="shared" si="80"/>
        <v>Valid</v>
      </c>
      <c r="G275" s="12">
        <f t="shared" si="81"/>
        <v>20</v>
      </c>
      <c r="H275" s="3">
        <f t="shared" si="82"/>
        <v>45151</v>
      </c>
      <c r="I275" t="s">
        <v>648</v>
      </c>
      <c r="J275" t="str">
        <f t="shared" si="83"/>
        <v>Americas → Canada → Montreal</v>
      </c>
      <c r="K275" s="3" t="str">
        <f t="shared" si="84"/>
        <v>Canada-2023-07</v>
      </c>
      <c r="L275" t="s">
        <v>653</v>
      </c>
      <c r="M275" t="s">
        <v>681</v>
      </c>
      <c r="N275" t="s">
        <v>702</v>
      </c>
      <c r="O275" t="s">
        <v>711</v>
      </c>
      <c r="P275" t="s">
        <v>712</v>
      </c>
      <c r="Q275" t="s">
        <v>732</v>
      </c>
      <c r="R275" t="s">
        <v>1007</v>
      </c>
      <c r="S275" s="5">
        <v>1082.3800000000001</v>
      </c>
      <c r="T275" s="5">
        <v>1766.55</v>
      </c>
      <c r="U275" s="5" t="str">
        <f t="shared" si="85"/>
        <v>Valid</v>
      </c>
      <c r="V275" s="5">
        <f t="shared" si="76"/>
        <v>1766.55</v>
      </c>
      <c r="W275" s="5" t="str">
        <f t="shared" si="86"/>
        <v>Medium</v>
      </c>
      <c r="X275" s="5">
        <v>0.16400000000000001</v>
      </c>
      <c r="Y275" s="5" t="str">
        <f t="shared" si="87"/>
        <v>Valid</v>
      </c>
      <c r="Z275" s="5">
        <f t="shared" si="88"/>
        <v>0.16400000000000001</v>
      </c>
      <c r="AA275" s="5">
        <v>20</v>
      </c>
      <c r="AB275">
        <f t="shared" si="89"/>
        <v>29536.716</v>
      </c>
      <c r="AC275">
        <f t="shared" si="77"/>
        <v>21647.600000000002</v>
      </c>
      <c r="AD275">
        <f t="shared" si="90"/>
        <v>7889.1159999999982</v>
      </c>
      <c r="AE275">
        <f t="shared" si="91"/>
        <v>0.26709523157550752</v>
      </c>
      <c r="AF275">
        <f t="shared" si="92"/>
        <v>0</v>
      </c>
      <c r="AG275">
        <f t="shared" si="93"/>
        <v>0</v>
      </c>
      <c r="AK275">
        <f>AA275*(1+What_if_Analysis!$B$4)</f>
        <v>24</v>
      </c>
      <c r="AL275" s="5">
        <f>MIN(Z275,What_if_Analysis!$B$2)</f>
        <v>0.05</v>
      </c>
      <c r="AM275">
        <f t="shared" si="94"/>
        <v>40277.339999999997</v>
      </c>
      <c r="AN275">
        <f>AM275-(AK275*(T275*(1+What_if_Analysis!$B$3)))</f>
        <v>-6359.580000000009</v>
      </c>
    </row>
    <row r="276" spans="1:40" x14ac:dyDescent="0.3">
      <c r="A276" t="s">
        <v>288</v>
      </c>
      <c r="B276" s="3">
        <v>45367</v>
      </c>
      <c r="C276" s="3" t="str">
        <f t="shared" si="78"/>
        <v>Mar-2024</v>
      </c>
      <c r="D276" s="3" t="str">
        <f t="shared" si="79"/>
        <v>Q1-2024</v>
      </c>
      <c r="E276" s="3">
        <v>45395</v>
      </c>
      <c r="F276" s="3" t="str">
        <f t="shared" si="80"/>
        <v>Valid</v>
      </c>
      <c r="G276" s="12">
        <f t="shared" si="81"/>
        <v>28</v>
      </c>
      <c r="H276" s="3">
        <f t="shared" si="82"/>
        <v>45395</v>
      </c>
      <c r="I276" t="s">
        <v>649</v>
      </c>
      <c r="J276" t="str">
        <f t="shared" si="83"/>
        <v>Europe → France → Paris</v>
      </c>
      <c r="K276" s="3" t="str">
        <f t="shared" si="84"/>
        <v>France-2024-03</v>
      </c>
      <c r="L276" t="s">
        <v>657</v>
      </c>
      <c r="M276" t="s">
        <v>690</v>
      </c>
      <c r="N276" t="s">
        <v>705</v>
      </c>
      <c r="O276" t="s">
        <v>708</v>
      </c>
      <c r="P276" t="s">
        <v>723</v>
      </c>
      <c r="Q276" t="s">
        <v>728</v>
      </c>
      <c r="R276" t="s">
        <v>1008</v>
      </c>
      <c r="S276" s="5">
        <v>287.61</v>
      </c>
      <c r="T276" s="5">
        <v>628.54</v>
      </c>
      <c r="U276" s="5" t="str">
        <f t="shared" si="85"/>
        <v>Valid</v>
      </c>
      <c r="V276" s="5">
        <f t="shared" si="76"/>
        <v>628.54</v>
      </c>
      <c r="W276" s="5" t="str">
        <f t="shared" si="86"/>
        <v>Medium</v>
      </c>
      <c r="X276" s="5">
        <v>0.13500000000000001</v>
      </c>
      <c r="Y276" s="5" t="str">
        <f t="shared" si="87"/>
        <v>Valid</v>
      </c>
      <c r="Z276" s="5">
        <f t="shared" si="88"/>
        <v>0.13500000000000001</v>
      </c>
      <c r="AA276" s="5">
        <v>21</v>
      </c>
      <c r="AB276">
        <f t="shared" si="89"/>
        <v>11417.429099999999</v>
      </c>
      <c r="AC276">
        <f t="shared" si="77"/>
        <v>6039.81</v>
      </c>
      <c r="AD276">
        <f t="shared" si="90"/>
        <v>5377.619099999999</v>
      </c>
      <c r="AE276">
        <f t="shared" si="91"/>
        <v>0.47100087531964613</v>
      </c>
      <c r="AF276">
        <f t="shared" si="92"/>
        <v>0</v>
      </c>
      <c r="AG276">
        <f t="shared" si="93"/>
        <v>0</v>
      </c>
      <c r="AK276">
        <f>AA276*(1+What_if_Analysis!$B$4)</f>
        <v>25.2</v>
      </c>
      <c r="AL276" s="5">
        <f>MIN(Z276,What_if_Analysis!$B$2)</f>
        <v>0.05</v>
      </c>
      <c r="AM276">
        <f t="shared" si="94"/>
        <v>15047.247599999999</v>
      </c>
      <c r="AN276">
        <f>AM276-(AK276*(T276*(1+What_if_Analysis!$B$3)))</f>
        <v>-2375.8811999999998</v>
      </c>
    </row>
    <row r="277" spans="1:40" x14ac:dyDescent="0.3">
      <c r="A277" t="s">
        <v>289</v>
      </c>
      <c r="B277" s="3">
        <v>45316</v>
      </c>
      <c r="C277" s="3" t="str">
        <f t="shared" si="78"/>
        <v>Jan-2024</v>
      </c>
      <c r="D277" s="3" t="str">
        <f t="shared" si="79"/>
        <v>Q1-2024</v>
      </c>
      <c r="E277" s="3">
        <v>45318</v>
      </c>
      <c r="F277" s="3" t="str">
        <f t="shared" si="80"/>
        <v>Valid</v>
      </c>
      <c r="G277" s="12">
        <f t="shared" si="81"/>
        <v>2</v>
      </c>
      <c r="H277" s="3">
        <f t="shared" si="82"/>
        <v>45318</v>
      </c>
      <c r="I277" t="s">
        <v>648</v>
      </c>
      <c r="J277" t="str">
        <f t="shared" si="83"/>
        <v>Americas → Brazil → São Paulo</v>
      </c>
      <c r="K277" s="3" t="str">
        <f t="shared" si="84"/>
        <v>Brazil-2024-01</v>
      </c>
      <c r="L277" t="s">
        <v>655</v>
      </c>
      <c r="M277" t="s">
        <v>670</v>
      </c>
      <c r="N277" t="s">
        <v>703</v>
      </c>
      <c r="O277" t="s">
        <v>709</v>
      </c>
      <c r="P277" t="s">
        <v>725</v>
      </c>
      <c r="Q277" t="s">
        <v>731</v>
      </c>
      <c r="R277" t="s">
        <v>1009</v>
      </c>
      <c r="S277" s="5">
        <v>1410.97</v>
      </c>
      <c r="T277" s="5">
        <v>1650.75</v>
      </c>
      <c r="U277" s="5" t="str">
        <f t="shared" si="85"/>
        <v>Valid</v>
      </c>
      <c r="V277" s="5">
        <f t="shared" si="76"/>
        <v>1650.75</v>
      </c>
      <c r="W277" s="5" t="str">
        <f t="shared" si="86"/>
        <v>Medium</v>
      </c>
      <c r="X277" s="5">
        <v>0.13500000000000001</v>
      </c>
      <c r="Y277" s="5" t="str">
        <f t="shared" si="87"/>
        <v>Valid</v>
      </c>
      <c r="Z277" s="5">
        <f t="shared" si="88"/>
        <v>0.13500000000000001</v>
      </c>
      <c r="AA277" s="5">
        <v>6</v>
      </c>
      <c r="AB277">
        <f t="shared" si="89"/>
        <v>8567.3924999999999</v>
      </c>
      <c r="AC277">
        <f t="shared" si="77"/>
        <v>8465.82</v>
      </c>
      <c r="AD277">
        <f t="shared" si="90"/>
        <v>101.57250000000022</v>
      </c>
      <c r="AE277">
        <f t="shared" si="91"/>
        <v>1.1855707556295596E-2</v>
      </c>
      <c r="AF277">
        <f t="shared" si="92"/>
        <v>1</v>
      </c>
      <c r="AG277">
        <f t="shared" si="93"/>
        <v>0</v>
      </c>
      <c r="AK277">
        <f>AA277*(1+What_if_Analysis!$B$4)</f>
        <v>7.1999999999999993</v>
      </c>
      <c r="AL277" s="5">
        <f>MIN(Z277,What_if_Analysis!$B$2)</f>
        <v>0.05</v>
      </c>
      <c r="AM277">
        <f t="shared" si="94"/>
        <v>11291.13</v>
      </c>
      <c r="AN277">
        <f>AM277-(AK277*(T277*(1+What_if_Analysis!$B$3)))</f>
        <v>-1782.8099999999995</v>
      </c>
    </row>
    <row r="278" spans="1:40" x14ac:dyDescent="0.3">
      <c r="A278" t="s">
        <v>290</v>
      </c>
      <c r="B278" s="3">
        <v>45378</v>
      </c>
      <c r="C278" s="3" t="str">
        <f t="shared" si="78"/>
        <v>Mar-2024</v>
      </c>
      <c r="D278" s="3" t="str">
        <f t="shared" si="79"/>
        <v>Q1-2024</v>
      </c>
      <c r="E278" s="3">
        <v>45393</v>
      </c>
      <c r="F278" s="3" t="str">
        <f t="shared" si="80"/>
        <v>Valid</v>
      </c>
      <c r="G278" s="12">
        <f t="shared" si="81"/>
        <v>15</v>
      </c>
      <c r="H278" s="3">
        <f t="shared" si="82"/>
        <v>45393</v>
      </c>
      <c r="I278" t="s">
        <v>648</v>
      </c>
      <c r="J278" t="str">
        <f t="shared" si="83"/>
        <v>Americas → USA → San Francisco</v>
      </c>
      <c r="K278" s="3" t="str">
        <f t="shared" si="84"/>
        <v>USA-2024-03</v>
      </c>
      <c r="L278" t="s">
        <v>660</v>
      </c>
      <c r="M278" t="s">
        <v>686</v>
      </c>
      <c r="N278" t="s">
        <v>705</v>
      </c>
      <c r="O278" t="s">
        <v>711</v>
      </c>
      <c r="P278" t="s">
        <v>719</v>
      </c>
      <c r="Q278" t="s">
        <v>729</v>
      </c>
      <c r="R278" t="s">
        <v>1010</v>
      </c>
      <c r="S278" s="5">
        <v>1338.35</v>
      </c>
      <c r="T278" s="5">
        <v>2247.14</v>
      </c>
      <c r="U278" s="5" t="str">
        <f t="shared" si="85"/>
        <v>Valid</v>
      </c>
      <c r="V278" s="5">
        <f t="shared" si="76"/>
        <v>2247.14</v>
      </c>
      <c r="W278" s="5" t="str">
        <f t="shared" si="86"/>
        <v>High</v>
      </c>
      <c r="X278" s="5">
        <v>0.115</v>
      </c>
      <c r="Y278" s="5" t="str">
        <f t="shared" si="87"/>
        <v>Valid</v>
      </c>
      <c r="Z278" s="5">
        <f t="shared" si="88"/>
        <v>0.115</v>
      </c>
      <c r="AA278" s="5">
        <v>40</v>
      </c>
      <c r="AB278">
        <f t="shared" si="89"/>
        <v>79548.755999999994</v>
      </c>
      <c r="AC278">
        <f t="shared" si="77"/>
        <v>53534</v>
      </c>
      <c r="AD278">
        <f t="shared" si="90"/>
        <v>26014.755999999994</v>
      </c>
      <c r="AE278">
        <f t="shared" si="91"/>
        <v>0.32702907384246205</v>
      </c>
      <c r="AF278">
        <f t="shared" si="92"/>
        <v>0</v>
      </c>
      <c r="AG278">
        <f t="shared" si="93"/>
        <v>0</v>
      </c>
      <c r="AK278">
        <f>AA278*(1+What_if_Analysis!$B$4)</f>
        <v>48</v>
      </c>
      <c r="AL278" s="5">
        <f>MIN(Z278,What_if_Analysis!$B$2)</f>
        <v>0.05</v>
      </c>
      <c r="AM278">
        <f t="shared" si="94"/>
        <v>102469.584</v>
      </c>
      <c r="AN278">
        <f>AM278-(AK278*(T278*(1+What_if_Analysis!$B$3)))</f>
        <v>-16179.40800000001</v>
      </c>
    </row>
    <row r="279" spans="1:40" x14ac:dyDescent="0.3">
      <c r="A279" t="s">
        <v>291</v>
      </c>
      <c r="B279" s="3">
        <v>45832</v>
      </c>
      <c r="C279" s="3" t="str">
        <f t="shared" si="78"/>
        <v>Jun-2025</v>
      </c>
      <c r="D279" s="3" t="str">
        <f t="shared" si="79"/>
        <v>Q2-2025</v>
      </c>
      <c r="E279" s="3">
        <v>45852</v>
      </c>
      <c r="F279" s="3" t="str">
        <f t="shared" si="80"/>
        <v>Valid</v>
      </c>
      <c r="G279" s="12">
        <f t="shared" si="81"/>
        <v>20</v>
      </c>
      <c r="H279" s="3">
        <f t="shared" si="82"/>
        <v>45852</v>
      </c>
      <c r="I279" t="s">
        <v>649</v>
      </c>
      <c r="J279" t="str">
        <f t="shared" si="83"/>
        <v>Europe → Germany → Berlin</v>
      </c>
      <c r="K279" s="3" t="str">
        <f t="shared" si="84"/>
        <v>Germany-2025-06</v>
      </c>
      <c r="L279" t="s">
        <v>656</v>
      </c>
      <c r="M279" t="s">
        <v>671</v>
      </c>
      <c r="N279" t="s">
        <v>701</v>
      </c>
      <c r="O279" t="s">
        <v>711</v>
      </c>
      <c r="P279" t="s">
        <v>719</v>
      </c>
      <c r="Q279" t="s">
        <v>733</v>
      </c>
      <c r="R279" t="s">
        <v>1011</v>
      </c>
      <c r="S279" s="5">
        <v>385.08</v>
      </c>
      <c r="T279" s="5">
        <v>893.19</v>
      </c>
      <c r="U279" s="5" t="str">
        <f t="shared" si="85"/>
        <v>Valid</v>
      </c>
      <c r="V279" s="5">
        <f t="shared" si="76"/>
        <v>893.19</v>
      </c>
      <c r="W279" s="5" t="str">
        <f t="shared" si="86"/>
        <v>Medium</v>
      </c>
      <c r="X279" s="5">
        <v>0.151</v>
      </c>
      <c r="Y279" s="5" t="str">
        <f t="shared" si="87"/>
        <v>Valid</v>
      </c>
      <c r="Z279" s="5">
        <f t="shared" si="88"/>
        <v>0.151</v>
      </c>
      <c r="AA279" s="5">
        <v>8</v>
      </c>
      <c r="AB279">
        <f t="shared" si="89"/>
        <v>6066.54648</v>
      </c>
      <c r="AC279">
        <f t="shared" si="77"/>
        <v>3080.64</v>
      </c>
      <c r="AD279">
        <f t="shared" si="90"/>
        <v>2985.9064800000001</v>
      </c>
      <c r="AE279">
        <f t="shared" si="91"/>
        <v>0.49219213762621666</v>
      </c>
      <c r="AF279">
        <f t="shared" si="92"/>
        <v>0</v>
      </c>
      <c r="AG279">
        <f t="shared" si="93"/>
        <v>0</v>
      </c>
      <c r="AK279">
        <f>AA279*(1+What_if_Analysis!$B$4)</f>
        <v>9.6</v>
      </c>
      <c r="AL279" s="5">
        <f>MIN(Z279,What_if_Analysis!$B$2)</f>
        <v>0.05</v>
      </c>
      <c r="AM279">
        <f t="shared" si="94"/>
        <v>8145.8927999999996</v>
      </c>
      <c r="AN279">
        <f>AM279-(AK279*(T279*(1+What_if_Analysis!$B$3)))</f>
        <v>-1286.1936000000005</v>
      </c>
    </row>
    <row r="280" spans="1:40" x14ac:dyDescent="0.3">
      <c r="A280" t="s">
        <v>292</v>
      </c>
      <c r="B280" s="3">
        <v>45459</v>
      </c>
      <c r="C280" s="3" t="str">
        <f t="shared" si="78"/>
        <v>Jun-2024</v>
      </c>
      <c r="D280" s="3" t="str">
        <f t="shared" si="79"/>
        <v>Q2-2024</v>
      </c>
      <c r="E280" s="3">
        <v>45476</v>
      </c>
      <c r="F280" s="3" t="str">
        <f t="shared" si="80"/>
        <v>Valid</v>
      </c>
      <c r="G280" s="12">
        <f t="shared" si="81"/>
        <v>17</v>
      </c>
      <c r="H280" s="3">
        <f t="shared" si="82"/>
        <v>45476</v>
      </c>
      <c r="I280" t="s">
        <v>646</v>
      </c>
      <c r="J280" t="str">
        <f t="shared" si="83"/>
        <v>Africa → South Africa → Johannesburg</v>
      </c>
      <c r="K280" s="3" t="str">
        <f t="shared" si="84"/>
        <v>South Africa-2024-06</v>
      </c>
      <c r="L280" t="s">
        <v>661</v>
      </c>
      <c r="M280" t="s">
        <v>682</v>
      </c>
      <c r="N280" t="s">
        <v>706</v>
      </c>
      <c r="O280" t="s">
        <v>709</v>
      </c>
      <c r="P280" t="s">
        <v>721</v>
      </c>
      <c r="Q280" t="s">
        <v>730</v>
      </c>
      <c r="R280" t="s">
        <v>1012</v>
      </c>
      <c r="S280" s="5">
        <v>1173.83</v>
      </c>
      <c r="T280" s="5">
        <v>2328.9</v>
      </c>
      <c r="U280" s="5" t="str">
        <f t="shared" si="85"/>
        <v>Valid</v>
      </c>
      <c r="V280" s="5">
        <f t="shared" si="76"/>
        <v>2328.9</v>
      </c>
      <c r="W280" s="5" t="str">
        <f t="shared" si="86"/>
        <v>High</v>
      </c>
      <c r="X280" s="5">
        <v>0.12</v>
      </c>
      <c r="Y280" s="5" t="str">
        <f t="shared" si="87"/>
        <v>Valid</v>
      </c>
      <c r="Z280" s="5">
        <f t="shared" si="88"/>
        <v>0.12</v>
      </c>
      <c r="AA280" s="5">
        <v>17</v>
      </c>
      <c r="AB280">
        <f t="shared" si="89"/>
        <v>34840.344000000005</v>
      </c>
      <c r="AC280">
        <f t="shared" si="77"/>
        <v>19955.11</v>
      </c>
      <c r="AD280">
        <f t="shared" si="90"/>
        <v>14885.234000000004</v>
      </c>
      <c r="AE280">
        <f t="shared" si="91"/>
        <v>0.42724130393201637</v>
      </c>
      <c r="AF280">
        <f t="shared" si="92"/>
        <v>0</v>
      </c>
      <c r="AG280">
        <f t="shared" si="93"/>
        <v>0</v>
      </c>
      <c r="AK280">
        <f>AA280*(1+What_if_Analysis!$B$4)</f>
        <v>20.399999999999999</v>
      </c>
      <c r="AL280" s="5">
        <f>MIN(Z280,What_if_Analysis!$B$2)</f>
        <v>0.05</v>
      </c>
      <c r="AM280">
        <f t="shared" si="94"/>
        <v>45134.081999999995</v>
      </c>
      <c r="AN280">
        <f>AM280-(AK280*(T280*(1+What_if_Analysis!$B$3)))</f>
        <v>-7126.4340000000084</v>
      </c>
    </row>
    <row r="281" spans="1:40" x14ac:dyDescent="0.3">
      <c r="A281" t="s">
        <v>293</v>
      </c>
      <c r="B281" s="3">
        <v>45229</v>
      </c>
      <c r="C281" s="3" t="str">
        <f t="shared" si="78"/>
        <v>Oct-2023</v>
      </c>
      <c r="D281" s="3" t="str">
        <f t="shared" si="79"/>
        <v>Q4-2023</v>
      </c>
      <c r="E281" s="3">
        <v>45244</v>
      </c>
      <c r="F281" s="3" t="str">
        <f t="shared" si="80"/>
        <v>Valid</v>
      </c>
      <c r="G281" s="12">
        <f t="shared" si="81"/>
        <v>15</v>
      </c>
      <c r="H281" s="3">
        <f t="shared" si="82"/>
        <v>45244</v>
      </c>
      <c r="I281" t="s">
        <v>647</v>
      </c>
      <c r="J281" t="str">
        <f t="shared" si="83"/>
        <v>Asia → India → Bengaluru</v>
      </c>
      <c r="K281" s="3" t="str">
        <f t="shared" si="84"/>
        <v>India-2023-10</v>
      </c>
      <c r="L281" t="s">
        <v>654</v>
      </c>
      <c r="M281" t="s">
        <v>668</v>
      </c>
      <c r="N281" t="s">
        <v>701</v>
      </c>
      <c r="O281" t="s">
        <v>708</v>
      </c>
      <c r="P281" t="s">
        <v>721</v>
      </c>
      <c r="Q281" t="s">
        <v>731</v>
      </c>
      <c r="R281" t="s">
        <v>1013</v>
      </c>
      <c r="S281" s="5">
        <v>953.46</v>
      </c>
      <c r="T281" s="5">
        <v>2066.75</v>
      </c>
      <c r="U281" s="5" t="str">
        <f t="shared" si="85"/>
        <v>Valid</v>
      </c>
      <c r="V281" s="5">
        <f t="shared" si="76"/>
        <v>2066.75</v>
      </c>
      <c r="W281" s="5" t="str">
        <f t="shared" si="86"/>
        <v>High</v>
      </c>
      <c r="X281" s="5">
        <v>0.13800000000000001</v>
      </c>
      <c r="Y281" s="5" t="str">
        <f t="shared" si="87"/>
        <v>Valid</v>
      </c>
      <c r="Z281" s="5">
        <f t="shared" si="88"/>
        <v>0.13800000000000001</v>
      </c>
      <c r="AA281" s="5">
        <v>5</v>
      </c>
      <c r="AB281">
        <f t="shared" si="89"/>
        <v>8907.6924999999992</v>
      </c>
      <c r="AC281">
        <f t="shared" si="77"/>
        <v>4767.3</v>
      </c>
      <c r="AD281">
        <f t="shared" si="90"/>
        <v>4140.392499999999</v>
      </c>
      <c r="AE281">
        <f t="shared" si="91"/>
        <v>0.46481089238318446</v>
      </c>
      <c r="AF281">
        <f t="shared" si="92"/>
        <v>0</v>
      </c>
      <c r="AG281">
        <f t="shared" si="93"/>
        <v>0</v>
      </c>
      <c r="AK281">
        <f>AA281*(1+What_if_Analysis!$B$4)</f>
        <v>6</v>
      </c>
      <c r="AL281" s="5">
        <f>MIN(Z281,What_if_Analysis!$B$2)</f>
        <v>0.05</v>
      </c>
      <c r="AM281">
        <f t="shared" si="94"/>
        <v>11780.474999999999</v>
      </c>
      <c r="AN281">
        <f>AM281-(AK281*(T281*(1+What_if_Analysis!$B$3)))</f>
        <v>-1860.0750000000025</v>
      </c>
    </row>
    <row r="282" spans="1:40" x14ac:dyDescent="0.3">
      <c r="A282" t="s">
        <v>294</v>
      </c>
      <c r="B282" s="3">
        <v>45092</v>
      </c>
      <c r="C282" s="3" t="str">
        <f t="shared" si="78"/>
        <v>Jun-2023</v>
      </c>
      <c r="D282" s="3" t="str">
        <f t="shared" si="79"/>
        <v>Q2-2023</v>
      </c>
      <c r="E282" s="3">
        <v>45100</v>
      </c>
      <c r="F282" s="3" t="str">
        <f t="shared" si="80"/>
        <v>Valid</v>
      </c>
      <c r="G282" s="12">
        <f t="shared" si="81"/>
        <v>8</v>
      </c>
      <c r="H282" s="3">
        <f t="shared" si="82"/>
        <v>45100</v>
      </c>
      <c r="I282" t="s">
        <v>648</v>
      </c>
      <c r="J282" t="str">
        <f t="shared" si="83"/>
        <v>Americas → USA → San Francisco</v>
      </c>
      <c r="K282" s="3" t="str">
        <f t="shared" si="84"/>
        <v>USA-2023-06</v>
      </c>
      <c r="L282" t="s">
        <v>660</v>
      </c>
      <c r="M282" t="s">
        <v>686</v>
      </c>
      <c r="N282" t="s">
        <v>704</v>
      </c>
      <c r="O282" t="s">
        <v>710</v>
      </c>
      <c r="P282" t="s">
        <v>719</v>
      </c>
      <c r="Q282" t="s">
        <v>732</v>
      </c>
      <c r="R282" t="s">
        <v>1014</v>
      </c>
      <c r="S282" s="5">
        <v>1097.0899999999999</v>
      </c>
      <c r="T282" s="5">
        <v>2182.31</v>
      </c>
      <c r="U282" s="5" t="str">
        <f t="shared" si="85"/>
        <v>Valid</v>
      </c>
      <c r="V282" s="5">
        <f t="shared" si="76"/>
        <v>2182.31</v>
      </c>
      <c r="W282" s="5" t="str">
        <f t="shared" si="86"/>
        <v>High</v>
      </c>
      <c r="X282" s="5">
        <v>0.112</v>
      </c>
      <c r="Y282" s="5" t="str">
        <f t="shared" si="87"/>
        <v>Valid</v>
      </c>
      <c r="Z282" s="5">
        <f t="shared" si="88"/>
        <v>0.112</v>
      </c>
      <c r="AA282" s="5">
        <v>9</v>
      </c>
      <c r="AB282">
        <f t="shared" si="89"/>
        <v>17441.021520000002</v>
      </c>
      <c r="AC282">
        <f t="shared" si="77"/>
        <v>9873.81</v>
      </c>
      <c r="AD282">
        <f t="shared" si="90"/>
        <v>7567.2115200000026</v>
      </c>
      <c r="AE282">
        <f t="shared" si="91"/>
        <v>0.43387432962699546</v>
      </c>
      <c r="AF282">
        <f t="shared" si="92"/>
        <v>0</v>
      </c>
      <c r="AG282">
        <f t="shared" si="93"/>
        <v>0</v>
      </c>
      <c r="AK282">
        <f>AA282*(1+What_if_Analysis!$B$4)</f>
        <v>10.799999999999999</v>
      </c>
      <c r="AL282" s="5">
        <f>MIN(Z282,What_if_Analysis!$B$2)</f>
        <v>0.05</v>
      </c>
      <c r="AM282">
        <f t="shared" si="94"/>
        <v>22390.500599999996</v>
      </c>
      <c r="AN282">
        <f>AM282-(AK282*(T282*(1+What_if_Analysis!$B$3)))</f>
        <v>-3535.3422000000028</v>
      </c>
    </row>
    <row r="283" spans="1:40" x14ac:dyDescent="0.3">
      <c r="A283" t="s">
        <v>295</v>
      </c>
      <c r="B283" s="3">
        <v>45730</v>
      </c>
      <c r="C283" s="3" t="str">
        <f t="shared" si="78"/>
        <v>Mar-2025</v>
      </c>
      <c r="D283" s="3" t="str">
        <f t="shared" si="79"/>
        <v>Q1-2025</v>
      </c>
      <c r="E283" s="3">
        <v>45745</v>
      </c>
      <c r="F283" s="3" t="str">
        <f t="shared" si="80"/>
        <v>Valid</v>
      </c>
      <c r="G283" s="12">
        <f t="shared" si="81"/>
        <v>15</v>
      </c>
      <c r="H283" s="3">
        <f t="shared" si="82"/>
        <v>45745</v>
      </c>
      <c r="I283" t="s">
        <v>647</v>
      </c>
      <c r="J283" t="str">
        <f t="shared" si="83"/>
        <v>Asia → Japan → Tokyo</v>
      </c>
      <c r="K283" s="3" t="str">
        <f t="shared" si="84"/>
        <v>Japan-2025-03</v>
      </c>
      <c r="L283" t="s">
        <v>652</v>
      </c>
      <c r="M283" t="s">
        <v>689</v>
      </c>
      <c r="N283" t="s">
        <v>703</v>
      </c>
      <c r="O283" t="s">
        <v>711</v>
      </c>
      <c r="P283" t="s">
        <v>722</v>
      </c>
      <c r="Q283" t="s">
        <v>729</v>
      </c>
      <c r="R283" t="s">
        <v>1015</v>
      </c>
      <c r="S283" s="5">
        <v>1106.96</v>
      </c>
      <c r="T283" s="5">
        <v>2726.62</v>
      </c>
      <c r="U283" s="5" t="str">
        <f t="shared" si="85"/>
        <v>Valid</v>
      </c>
      <c r="V283" s="5">
        <f t="shared" si="76"/>
        <v>2726.62</v>
      </c>
      <c r="W283" s="5" t="str">
        <f t="shared" si="86"/>
        <v>High</v>
      </c>
      <c r="X283" s="5">
        <v>0.317</v>
      </c>
      <c r="Y283" s="5" t="str">
        <f t="shared" si="87"/>
        <v>High Discount</v>
      </c>
      <c r="Z283" s="5">
        <f t="shared" si="88"/>
        <v>0.3</v>
      </c>
      <c r="AA283" s="5">
        <v>7</v>
      </c>
      <c r="AB283">
        <f t="shared" si="89"/>
        <v>13360.438</v>
      </c>
      <c r="AC283">
        <f t="shared" si="77"/>
        <v>7748.72</v>
      </c>
      <c r="AD283">
        <f t="shared" si="90"/>
        <v>5611.7179999999998</v>
      </c>
      <c r="AE283">
        <f t="shared" si="91"/>
        <v>0.42002500217432992</v>
      </c>
      <c r="AF283">
        <f t="shared" si="92"/>
        <v>0</v>
      </c>
      <c r="AG283">
        <f t="shared" si="93"/>
        <v>1</v>
      </c>
      <c r="AK283">
        <f>AA283*(1+What_if_Analysis!$B$4)</f>
        <v>8.4</v>
      </c>
      <c r="AL283" s="5">
        <f>MIN(Z283,What_if_Analysis!$B$2)</f>
        <v>0.05</v>
      </c>
      <c r="AM283">
        <f t="shared" si="94"/>
        <v>21758.427599999999</v>
      </c>
      <c r="AN283">
        <f>AM283-(AK283*(T283*(1+What_if_Analysis!$B$3)))</f>
        <v>-3435.5412000000033</v>
      </c>
    </row>
    <row r="284" spans="1:40" x14ac:dyDescent="0.3">
      <c r="A284" t="s">
        <v>296</v>
      </c>
      <c r="B284" s="3">
        <v>45153</v>
      </c>
      <c r="C284" s="3" t="str">
        <f t="shared" si="78"/>
        <v>Aug-2023</v>
      </c>
      <c r="D284" s="3" t="str">
        <f t="shared" si="79"/>
        <v>Q3-2023</v>
      </c>
      <c r="E284" s="3">
        <v>45163</v>
      </c>
      <c r="F284" s="3" t="str">
        <f t="shared" si="80"/>
        <v>Valid</v>
      </c>
      <c r="G284" s="12">
        <f t="shared" si="81"/>
        <v>10</v>
      </c>
      <c r="H284" s="3">
        <f t="shared" si="82"/>
        <v>45163</v>
      </c>
      <c r="I284" t="s">
        <v>646</v>
      </c>
      <c r="J284" t="str">
        <f t="shared" si="83"/>
        <v>Africa → Kenya → Nairobi</v>
      </c>
      <c r="K284" s="3" t="str">
        <f t="shared" si="84"/>
        <v>Kenya-2023-08</v>
      </c>
      <c r="L284" t="s">
        <v>650</v>
      </c>
      <c r="M284" t="s">
        <v>664</v>
      </c>
      <c r="N284" t="s">
        <v>705</v>
      </c>
      <c r="O284" t="s">
        <v>707</v>
      </c>
      <c r="P284" t="s">
        <v>725</v>
      </c>
      <c r="Q284" t="s">
        <v>730</v>
      </c>
      <c r="R284" t="s">
        <v>1016</v>
      </c>
      <c r="S284" s="5">
        <v>91.85</v>
      </c>
      <c r="T284" s="5">
        <v>111.29</v>
      </c>
      <c r="U284" s="5" t="str">
        <f t="shared" si="85"/>
        <v>Valid</v>
      </c>
      <c r="V284" s="5">
        <f t="shared" si="76"/>
        <v>111.29</v>
      </c>
      <c r="W284" s="5" t="str">
        <f t="shared" si="86"/>
        <v>Low</v>
      </c>
      <c r="X284" s="5">
        <v>0</v>
      </c>
      <c r="Y284" s="5" t="str">
        <f t="shared" si="87"/>
        <v>Valid</v>
      </c>
      <c r="Z284" s="5">
        <f t="shared" si="88"/>
        <v>0</v>
      </c>
      <c r="AA284" s="5">
        <v>6</v>
      </c>
      <c r="AB284">
        <f t="shared" si="89"/>
        <v>667.74</v>
      </c>
      <c r="AC284">
        <f t="shared" si="77"/>
        <v>551.09999999999991</v>
      </c>
      <c r="AD284">
        <f t="shared" si="90"/>
        <v>116.6400000000001</v>
      </c>
      <c r="AE284">
        <f t="shared" si="91"/>
        <v>0.17467876718483258</v>
      </c>
      <c r="AF284">
        <f t="shared" si="92"/>
        <v>0</v>
      </c>
      <c r="AG284">
        <f t="shared" si="93"/>
        <v>0</v>
      </c>
      <c r="AK284">
        <f>AA284*(1+What_if_Analysis!$B$4)</f>
        <v>7.1999999999999993</v>
      </c>
      <c r="AL284" s="5">
        <f>MIN(Z284,What_if_Analysis!$B$2)</f>
        <v>0</v>
      </c>
      <c r="AM284">
        <f t="shared" si="94"/>
        <v>801.28800000000001</v>
      </c>
      <c r="AN284">
        <f>AM284-(AK284*(T284*(1+What_if_Analysis!$B$3)))</f>
        <v>-80.128799999999956</v>
      </c>
    </row>
    <row r="285" spans="1:40" x14ac:dyDescent="0.3">
      <c r="A285" t="s">
        <v>297</v>
      </c>
      <c r="B285" s="3">
        <v>45794</v>
      </c>
      <c r="C285" s="3" t="str">
        <f t="shared" si="78"/>
        <v>May-2025</v>
      </c>
      <c r="D285" s="3" t="str">
        <f t="shared" si="79"/>
        <v>Q2-2025</v>
      </c>
      <c r="E285" s="3">
        <v>45805</v>
      </c>
      <c r="F285" s="3" t="str">
        <f t="shared" si="80"/>
        <v>Valid</v>
      </c>
      <c r="G285" s="12">
        <f t="shared" si="81"/>
        <v>11</v>
      </c>
      <c r="H285" s="3">
        <f t="shared" si="82"/>
        <v>45805</v>
      </c>
      <c r="I285" t="s">
        <v>647</v>
      </c>
      <c r="J285" t="str">
        <f t="shared" si="83"/>
        <v>Asia → India → Bengaluru</v>
      </c>
      <c r="K285" s="3" t="str">
        <f t="shared" si="84"/>
        <v>India-2025-05</v>
      </c>
      <c r="L285" t="s">
        <v>654</v>
      </c>
      <c r="M285" t="s">
        <v>668</v>
      </c>
      <c r="N285" t="s">
        <v>701</v>
      </c>
      <c r="O285" t="s">
        <v>710</v>
      </c>
      <c r="P285" t="s">
        <v>717</v>
      </c>
      <c r="Q285" t="s">
        <v>731</v>
      </c>
      <c r="R285" t="s">
        <v>1017</v>
      </c>
      <c r="S285" s="5">
        <v>623.4</v>
      </c>
      <c r="T285" s="5">
        <v>1100.0899999999999</v>
      </c>
      <c r="U285" s="5" t="str">
        <f t="shared" si="85"/>
        <v>Valid</v>
      </c>
      <c r="V285" s="5">
        <f t="shared" si="76"/>
        <v>1100.0899999999999</v>
      </c>
      <c r="W285" s="5" t="str">
        <f t="shared" si="86"/>
        <v>Medium</v>
      </c>
      <c r="X285" s="5">
        <v>0.114</v>
      </c>
      <c r="Y285" s="5" t="str">
        <f t="shared" si="87"/>
        <v>Valid</v>
      </c>
      <c r="Z285" s="5">
        <f t="shared" si="88"/>
        <v>0.114</v>
      </c>
      <c r="AA285" s="5">
        <v>12</v>
      </c>
      <c r="AB285">
        <f t="shared" si="89"/>
        <v>11696.156879999999</v>
      </c>
      <c r="AC285">
        <f t="shared" si="77"/>
        <v>7480.7999999999993</v>
      </c>
      <c r="AD285">
        <f t="shared" si="90"/>
        <v>4215.3568799999994</v>
      </c>
      <c r="AE285">
        <f t="shared" si="91"/>
        <v>0.36040529579490388</v>
      </c>
      <c r="AF285">
        <f t="shared" si="92"/>
        <v>0</v>
      </c>
      <c r="AG285">
        <f t="shared" si="93"/>
        <v>0</v>
      </c>
      <c r="AK285">
        <f>AA285*(1+What_if_Analysis!$B$4)</f>
        <v>14.399999999999999</v>
      </c>
      <c r="AL285" s="5">
        <f>MIN(Z285,What_if_Analysis!$B$2)</f>
        <v>0.05</v>
      </c>
      <c r="AM285">
        <f t="shared" si="94"/>
        <v>15049.231199999997</v>
      </c>
      <c r="AN285">
        <f>AM285-(AK285*(T285*(1+What_if_Analysis!$B$3)))</f>
        <v>-2376.1944000000021</v>
      </c>
    </row>
    <row r="286" spans="1:40" x14ac:dyDescent="0.3">
      <c r="A286" t="s">
        <v>298</v>
      </c>
      <c r="B286" s="3">
        <v>45304</v>
      </c>
      <c r="C286" s="3" t="str">
        <f t="shared" si="78"/>
        <v>Jan-2024</v>
      </c>
      <c r="D286" s="3" t="str">
        <f t="shared" si="79"/>
        <v>Q1-2024</v>
      </c>
      <c r="E286" s="3">
        <v>45327</v>
      </c>
      <c r="F286" s="3" t="str">
        <f t="shared" si="80"/>
        <v>Valid</v>
      </c>
      <c r="G286" s="12">
        <f t="shared" si="81"/>
        <v>23</v>
      </c>
      <c r="H286" s="3">
        <f t="shared" si="82"/>
        <v>45327</v>
      </c>
      <c r="I286" t="s">
        <v>649</v>
      </c>
      <c r="J286" t="str">
        <f t="shared" si="83"/>
        <v>Europe → Germany → Frankfurt</v>
      </c>
      <c r="K286" s="3" t="str">
        <f t="shared" si="84"/>
        <v>Germany-2024-01</v>
      </c>
      <c r="L286" t="s">
        <v>656</v>
      </c>
      <c r="M286" t="s">
        <v>698</v>
      </c>
      <c r="N286" t="s">
        <v>702</v>
      </c>
      <c r="O286" t="s">
        <v>711</v>
      </c>
      <c r="P286" t="s">
        <v>717</v>
      </c>
      <c r="Q286" t="s">
        <v>731</v>
      </c>
      <c r="R286" t="s">
        <v>1018</v>
      </c>
      <c r="S286" s="5">
        <v>1017.93</v>
      </c>
      <c r="T286" s="5">
        <v>1529.14</v>
      </c>
      <c r="U286" s="5" t="str">
        <f t="shared" si="85"/>
        <v>Valid</v>
      </c>
      <c r="V286" s="5">
        <f t="shared" si="76"/>
        <v>1529.14</v>
      </c>
      <c r="W286" s="5" t="str">
        <f t="shared" si="86"/>
        <v>Medium</v>
      </c>
      <c r="X286" s="5">
        <v>0.155</v>
      </c>
      <c r="Y286" s="5" t="str">
        <f t="shared" si="87"/>
        <v>Valid</v>
      </c>
      <c r="Z286" s="5">
        <f t="shared" si="88"/>
        <v>0.155</v>
      </c>
      <c r="AA286" s="5">
        <v>12</v>
      </c>
      <c r="AB286">
        <f t="shared" si="89"/>
        <v>15505.479600000001</v>
      </c>
      <c r="AC286">
        <f t="shared" si="77"/>
        <v>12215.16</v>
      </c>
      <c r="AD286">
        <f t="shared" si="90"/>
        <v>3290.3196000000007</v>
      </c>
      <c r="AE286">
        <f t="shared" si="91"/>
        <v>0.21220366508366503</v>
      </c>
      <c r="AF286">
        <f t="shared" si="92"/>
        <v>0</v>
      </c>
      <c r="AG286">
        <f t="shared" si="93"/>
        <v>0</v>
      </c>
      <c r="AK286">
        <f>AA286*(1+What_if_Analysis!$B$4)</f>
        <v>14.399999999999999</v>
      </c>
      <c r="AL286" s="5">
        <f>MIN(Z286,What_if_Analysis!$B$2)</f>
        <v>0.05</v>
      </c>
      <c r="AM286">
        <f t="shared" si="94"/>
        <v>20918.635199999997</v>
      </c>
      <c r="AN286">
        <f>AM286-(AK286*(T286*(1+What_if_Analysis!$B$3)))</f>
        <v>-3302.9424000000035</v>
      </c>
    </row>
    <row r="287" spans="1:40" x14ac:dyDescent="0.3">
      <c r="A287" t="s">
        <v>299</v>
      </c>
      <c r="B287" s="3">
        <v>45101</v>
      </c>
      <c r="C287" s="3" t="str">
        <f t="shared" si="78"/>
        <v>Jun-2023</v>
      </c>
      <c r="D287" s="3" t="str">
        <f t="shared" si="79"/>
        <v>Q2-2023</v>
      </c>
      <c r="E287" s="3">
        <v>45128</v>
      </c>
      <c r="F287" s="3" t="str">
        <f t="shared" si="80"/>
        <v>Valid</v>
      </c>
      <c r="G287" s="12">
        <f t="shared" si="81"/>
        <v>27</v>
      </c>
      <c r="H287" s="3">
        <f t="shared" si="82"/>
        <v>45128</v>
      </c>
      <c r="I287" t="s">
        <v>647</v>
      </c>
      <c r="J287" t="str">
        <f t="shared" si="83"/>
        <v>Asia → Japan → Nagoya</v>
      </c>
      <c r="K287" s="3" t="str">
        <f t="shared" si="84"/>
        <v>Japan-2023-06</v>
      </c>
      <c r="L287" t="s">
        <v>652</v>
      </c>
      <c r="M287" t="s">
        <v>694</v>
      </c>
      <c r="N287" t="s">
        <v>704</v>
      </c>
      <c r="O287" t="s">
        <v>709</v>
      </c>
      <c r="P287" t="s">
        <v>713</v>
      </c>
      <c r="Q287" t="s">
        <v>730</v>
      </c>
      <c r="R287" t="s">
        <v>1019</v>
      </c>
      <c r="S287" s="5">
        <v>554.76</v>
      </c>
      <c r="T287" s="5">
        <v>728.69</v>
      </c>
      <c r="U287" s="5" t="str">
        <f t="shared" si="85"/>
        <v>Valid</v>
      </c>
      <c r="V287" s="5">
        <f t="shared" si="76"/>
        <v>728.69</v>
      </c>
      <c r="W287" s="5" t="str">
        <f t="shared" si="86"/>
        <v>Medium</v>
      </c>
      <c r="X287" s="5">
        <v>0.22</v>
      </c>
      <c r="Y287" s="5" t="str">
        <f t="shared" si="87"/>
        <v>Valid</v>
      </c>
      <c r="Z287" s="5">
        <f t="shared" si="88"/>
        <v>0.22</v>
      </c>
      <c r="AA287" s="5">
        <v>7</v>
      </c>
      <c r="AB287">
        <f t="shared" si="89"/>
        <v>3978.6474000000003</v>
      </c>
      <c r="AC287">
        <f t="shared" si="77"/>
        <v>3883.3199999999997</v>
      </c>
      <c r="AD287">
        <f t="shared" si="90"/>
        <v>95.32740000000058</v>
      </c>
      <c r="AE287">
        <f t="shared" si="91"/>
        <v>2.395975074343119E-2</v>
      </c>
      <c r="AF287">
        <f t="shared" si="92"/>
        <v>0</v>
      </c>
      <c r="AG287">
        <f t="shared" si="93"/>
        <v>1</v>
      </c>
      <c r="AK287">
        <f>AA287*(1+What_if_Analysis!$B$4)</f>
        <v>8.4</v>
      </c>
      <c r="AL287" s="5">
        <f>MIN(Z287,What_if_Analysis!$B$2)</f>
        <v>0.05</v>
      </c>
      <c r="AM287">
        <f t="shared" si="94"/>
        <v>5814.9462000000003</v>
      </c>
      <c r="AN287">
        <f>AM287-(AK287*(T287*(1+What_if_Analysis!$B$3)))</f>
        <v>-918.14940000000024</v>
      </c>
    </row>
    <row r="288" spans="1:40" x14ac:dyDescent="0.3">
      <c r="A288" t="s">
        <v>300</v>
      </c>
      <c r="B288" s="3">
        <v>45751</v>
      </c>
      <c r="C288" s="3" t="str">
        <f t="shared" si="78"/>
        <v>Apr-2025</v>
      </c>
      <c r="D288" s="3" t="str">
        <f t="shared" si="79"/>
        <v>Q2-2025</v>
      </c>
      <c r="E288" s="3">
        <v>45760</v>
      </c>
      <c r="F288" s="3" t="str">
        <f t="shared" si="80"/>
        <v>Valid</v>
      </c>
      <c r="G288" s="12">
        <f t="shared" si="81"/>
        <v>9</v>
      </c>
      <c r="H288" s="3">
        <f t="shared" si="82"/>
        <v>45760</v>
      </c>
      <c r="I288" t="s">
        <v>649</v>
      </c>
      <c r="J288" t="str">
        <f t="shared" si="83"/>
        <v>Europe → Germany → Munich</v>
      </c>
      <c r="K288" s="3" t="str">
        <f t="shared" si="84"/>
        <v>Germany-2025-04</v>
      </c>
      <c r="L288" t="s">
        <v>656</v>
      </c>
      <c r="M288" t="s">
        <v>684</v>
      </c>
      <c r="N288" t="s">
        <v>704</v>
      </c>
      <c r="O288" t="s">
        <v>709</v>
      </c>
      <c r="P288" t="s">
        <v>721</v>
      </c>
      <c r="Q288" t="s">
        <v>730</v>
      </c>
      <c r="R288" t="s">
        <v>1020</v>
      </c>
      <c r="S288" s="5">
        <v>7.02</v>
      </c>
      <c r="T288" s="5">
        <v>6.28</v>
      </c>
      <c r="U288" s="5" t="str">
        <f t="shared" si="85"/>
        <v>Valid</v>
      </c>
      <c r="V288" s="5">
        <f t="shared" si="76"/>
        <v>6.28</v>
      </c>
      <c r="W288" s="5" t="str">
        <f t="shared" si="86"/>
        <v>Low</v>
      </c>
      <c r="X288" s="5">
        <v>0.13400000000000001</v>
      </c>
      <c r="Y288" s="5" t="str">
        <f t="shared" si="87"/>
        <v>Valid</v>
      </c>
      <c r="Z288" s="5">
        <f t="shared" si="88"/>
        <v>0.13400000000000001</v>
      </c>
      <c r="AA288" s="5">
        <v>14</v>
      </c>
      <c r="AB288">
        <f t="shared" si="89"/>
        <v>76.138720000000006</v>
      </c>
      <c r="AC288">
        <f t="shared" si="77"/>
        <v>98.28</v>
      </c>
      <c r="AD288">
        <f t="shared" si="90"/>
        <v>-22.141279999999995</v>
      </c>
      <c r="AE288">
        <f t="shared" si="91"/>
        <v>-0.29080184169106066</v>
      </c>
      <c r="AF288">
        <f t="shared" si="92"/>
        <v>0</v>
      </c>
      <c r="AG288">
        <f t="shared" si="93"/>
        <v>0</v>
      </c>
      <c r="AK288">
        <f>AA288*(1+What_if_Analysis!$B$4)</f>
        <v>16.8</v>
      </c>
      <c r="AL288" s="5">
        <f>MIN(Z288,What_if_Analysis!$B$2)</f>
        <v>0.05</v>
      </c>
      <c r="AM288">
        <f t="shared" si="94"/>
        <v>100.22880000000001</v>
      </c>
      <c r="AN288">
        <f>AM288-(AK288*(T288*(1+What_if_Analysis!$B$3)))</f>
        <v>-15.825600000000023</v>
      </c>
    </row>
    <row r="289" spans="1:40" x14ac:dyDescent="0.3">
      <c r="A289" t="s">
        <v>301</v>
      </c>
      <c r="B289" s="3">
        <v>45542</v>
      </c>
      <c r="C289" s="3" t="str">
        <f t="shared" si="78"/>
        <v>Sept-2024</v>
      </c>
      <c r="D289" s="3" t="str">
        <f t="shared" si="79"/>
        <v>Q3-2024</v>
      </c>
      <c r="E289" s="3">
        <v>45542</v>
      </c>
      <c r="F289" s="3" t="str">
        <f t="shared" si="80"/>
        <v>Valid</v>
      </c>
      <c r="G289" s="12">
        <f t="shared" si="81"/>
        <v>0</v>
      </c>
      <c r="H289" s="3">
        <f t="shared" si="82"/>
        <v>45542</v>
      </c>
      <c r="I289" t="s">
        <v>647</v>
      </c>
      <c r="J289" t="str">
        <f t="shared" si="83"/>
        <v>Asia → India → Mumbai</v>
      </c>
      <c r="K289" s="3" t="str">
        <f t="shared" si="84"/>
        <v>India-2024-09</v>
      </c>
      <c r="L289" t="s">
        <v>654</v>
      </c>
      <c r="M289" t="s">
        <v>691</v>
      </c>
      <c r="N289" t="s">
        <v>702</v>
      </c>
      <c r="O289" t="s">
        <v>710</v>
      </c>
      <c r="P289" t="s">
        <v>717</v>
      </c>
      <c r="Q289" t="s">
        <v>729</v>
      </c>
      <c r="R289" t="s">
        <v>1021</v>
      </c>
      <c r="S289" s="5">
        <v>1066.6500000000001</v>
      </c>
      <c r="T289" s="5">
        <v>2569.77</v>
      </c>
      <c r="U289" s="5" t="str">
        <f t="shared" si="85"/>
        <v>Valid</v>
      </c>
      <c r="V289" s="5">
        <f t="shared" si="76"/>
        <v>2569.77</v>
      </c>
      <c r="W289" s="5" t="str">
        <f t="shared" si="86"/>
        <v>High</v>
      </c>
      <c r="X289" s="5">
        <v>0.13400000000000001</v>
      </c>
      <c r="Y289" s="5" t="str">
        <f t="shared" si="87"/>
        <v>Valid</v>
      </c>
      <c r="Z289" s="5">
        <f t="shared" si="88"/>
        <v>0.13400000000000001</v>
      </c>
      <c r="AA289" s="5">
        <v>9</v>
      </c>
      <c r="AB289">
        <f t="shared" si="89"/>
        <v>20028.787380000002</v>
      </c>
      <c r="AC289">
        <f t="shared" si="77"/>
        <v>9599.85</v>
      </c>
      <c r="AD289">
        <f t="shared" si="90"/>
        <v>10428.937380000001</v>
      </c>
      <c r="AE289">
        <f t="shared" si="91"/>
        <v>0.52069739331368348</v>
      </c>
      <c r="AF289">
        <f t="shared" si="92"/>
        <v>1</v>
      </c>
      <c r="AG289">
        <f t="shared" si="93"/>
        <v>0</v>
      </c>
      <c r="AK289">
        <f>AA289*(1+What_if_Analysis!$B$4)</f>
        <v>10.799999999999999</v>
      </c>
      <c r="AL289" s="5">
        <f>MIN(Z289,What_if_Analysis!$B$2)</f>
        <v>0.05</v>
      </c>
      <c r="AM289">
        <f t="shared" si="94"/>
        <v>26365.840199999995</v>
      </c>
      <c r="AN289">
        <f>AM289-(AK289*(T289*(1+What_if_Analysis!$B$3)))</f>
        <v>-4163.0274000000063</v>
      </c>
    </row>
    <row r="290" spans="1:40" x14ac:dyDescent="0.3">
      <c r="A290" t="s">
        <v>302</v>
      </c>
      <c r="B290" s="3">
        <v>45319</v>
      </c>
      <c r="C290" s="3" t="str">
        <f t="shared" si="78"/>
        <v>Jan-2024</v>
      </c>
      <c r="D290" s="3" t="str">
        <f t="shared" si="79"/>
        <v>Q1-2024</v>
      </c>
      <c r="E290" s="3">
        <v>45321</v>
      </c>
      <c r="F290" s="3" t="str">
        <f t="shared" si="80"/>
        <v>Valid</v>
      </c>
      <c r="G290" s="12">
        <f t="shared" si="81"/>
        <v>2</v>
      </c>
      <c r="H290" s="3">
        <f t="shared" si="82"/>
        <v>45321</v>
      </c>
      <c r="I290" t="s">
        <v>646</v>
      </c>
      <c r="J290" t="str">
        <f t="shared" si="83"/>
        <v>Africa → South Africa → Cape Town</v>
      </c>
      <c r="K290" s="3" t="str">
        <f t="shared" si="84"/>
        <v>South Africa-2024-01</v>
      </c>
      <c r="L290" t="s">
        <v>661</v>
      </c>
      <c r="M290" t="s">
        <v>695</v>
      </c>
      <c r="N290" t="s">
        <v>704</v>
      </c>
      <c r="O290" t="s">
        <v>711</v>
      </c>
      <c r="P290" t="s">
        <v>721</v>
      </c>
      <c r="Q290" t="s">
        <v>733</v>
      </c>
      <c r="R290" t="s">
        <v>1022</v>
      </c>
      <c r="S290" s="5">
        <v>798.45</v>
      </c>
      <c r="T290" s="5">
        <v>1592.02</v>
      </c>
      <c r="U290" s="5" t="str">
        <f t="shared" si="85"/>
        <v>Valid</v>
      </c>
      <c r="V290" s="5">
        <f t="shared" si="76"/>
        <v>1592.02</v>
      </c>
      <c r="W290" s="5" t="str">
        <f t="shared" si="86"/>
        <v>Medium</v>
      </c>
      <c r="X290" s="5">
        <v>6.6000000000000003E-2</v>
      </c>
      <c r="Y290" s="5" t="str">
        <f t="shared" si="87"/>
        <v>Valid</v>
      </c>
      <c r="Z290" s="5">
        <f t="shared" si="88"/>
        <v>6.6000000000000003E-2</v>
      </c>
      <c r="AA290" s="5">
        <v>18</v>
      </c>
      <c r="AB290">
        <f t="shared" si="89"/>
        <v>26765.040239999998</v>
      </c>
      <c r="AC290">
        <f t="shared" si="77"/>
        <v>14372.1</v>
      </c>
      <c r="AD290">
        <f t="shared" si="90"/>
        <v>12392.940239999998</v>
      </c>
      <c r="AE290">
        <f t="shared" si="91"/>
        <v>0.46302714768494585</v>
      </c>
      <c r="AF290">
        <f t="shared" si="92"/>
        <v>1</v>
      </c>
      <c r="AG290">
        <f t="shared" si="93"/>
        <v>0</v>
      </c>
      <c r="AK290">
        <f>AA290*(1+What_if_Analysis!$B$4)</f>
        <v>21.599999999999998</v>
      </c>
      <c r="AL290" s="5">
        <f>MIN(Z290,What_if_Analysis!$B$2)</f>
        <v>0.05</v>
      </c>
      <c r="AM290">
        <f t="shared" si="94"/>
        <v>32668.250399999997</v>
      </c>
      <c r="AN290">
        <f>AM290-(AK290*(T290*(1+What_if_Analysis!$B$3)))</f>
        <v>-5158.1448000000019</v>
      </c>
    </row>
    <row r="291" spans="1:40" x14ac:dyDescent="0.3">
      <c r="A291" t="s">
        <v>303</v>
      </c>
      <c r="B291" s="3">
        <v>45125</v>
      </c>
      <c r="C291" s="3" t="str">
        <f t="shared" si="78"/>
        <v>Jul-2023</v>
      </c>
      <c r="D291" s="3" t="str">
        <f t="shared" si="79"/>
        <v>Q3-2023</v>
      </c>
      <c r="E291" s="3">
        <v>45148</v>
      </c>
      <c r="F291" s="3" t="str">
        <f t="shared" si="80"/>
        <v>Valid</v>
      </c>
      <c r="G291" s="12">
        <f t="shared" si="81"/>
        <v>23</v>
      </c>
      <c r="H291" s="3">
        <f t="shared" si="82"/>
        <v>45148</v>
      </c>
      <c r="I291" t="s">
        <v>646</v>
      </c>
      <c r="J291" t="str">
        <f t="shared" si="83"/>
        <v>Africa → South Africa → Johannesburg</v>
      </c>
      <c r="K291" s="3" t="str">
        <f t="shared" si="84"/>
        <v>South Africa-2023-07</v>
      </c>
      <c r="L291" t="s">
        <v>661</v>
      </c>
      <c r="M291" t="s">
        <v>682</v>
      </c>
      <c r="N291" t="s">
        <v>705</v>
      </c>
      <c r="O291" t="s">
        <v>707</v>
      </c>
      <c r="P291" t="s">
        <v>716</v>
      </c>
      <c r="Q291" t="s">
        <v>727</v>
      </c>
      <c r="R291" t="s">
        <v>1023</v>
      </c>
      <c r="S291" s="5">
        <v>1271.56</v>
      </c>
      <c r="T291" s="5">
        <v>995.47</v>
      </c>
      <c r="U291" s="5" t="str">
        <f t="shared" si="85"/>
        <v>Valid</v>
      </c>
      <c r="V291" s="5">
        <f t="shared" si="76"/>
        <v>995.47</v>
      </c>
      <c r="W291" s="5" t="str">
        <f t="shared" si="86"/>
        <v>Medium</v>
      </c>
      <c r="X291" s="5">
        <v>0.192</v>
      </c>
      <c r="Y291" s="5" t="str">
        <f t="shared" si="87"/>
        <v>Valid</v>
      </c>
      <c r="Z291" s="5">
        <f t="shared" si="88"/>
        <v>0.192</v>
      </c>
      <c r="AA291" s="5">
        <v>13</v>
      </c>
      <c r="AB291">
        <f t="shared" si="89"/>
        <v>10456.416880000001</v>
      </c>
      <c r="AC291">
        <f t="shared" si="77"/>
        <v>16530.28</v>
      </c>
      <c r="AD291">
        <f t="shared" si="90"/>
        <v>-6073.8631199999982</v>
      </c>
      <c r="AE291">
        <f t="shared" si="91"/>
        <v>-0.58087423155607754</v>
      </c>
      <c r="AF291">
        <f t="shared" si="92"/>
        <v>0</v>
      </c>
      <c r="AG291">
        <f t="shared" si="93"/>
        <v>0</v>
      </c>
      <c r="AK291">
        <f>AA291*(1+What_if_Analysis!$B$4)</f>
        <v>15.6</v>
      </c>
      <c r="AL291" s="5">
        <f>MIN(Z291,What_if_Analysis!$B$2)</f>
        <v>0.05</v>
      </c>
      <c r="AM291">
        <f t="shared" si="94"/>
        <v>14752.865399999999</v>
      </c>
      <c r="AN291">
        <f>AM291-(AK291*(T291*(1+What_if_Analysis!$B$3)))</f>
        <v>-2329.3998000000029</v>
      </c>
    </row>
    <row r="292" spans="1:40" x14ac:dyDescent="0.3">
      <c r="A292" t="s">
        <v>304</v>
      </c>
      <c r="B292" s="3">
        <v>45897</v>
      </c>
      <c r="C292" s="3" t="str">
        <f t="shared" si="78"/>
        <v>Aug-2025</v>
      </c>
      <c r="D292" s="3" t="str">
        <f t="shared" si="79"/>
        <v>Q3-2025</v>
      </c>
      <c r="E292" s="3">
        <v>45895</v>
      </c>
      <c r="F292" s="3" t="str">
        <f t="shared" si="80"/>
        <v>Invalid RequiredDate</v>
      </c>
      <c r="G292" s="12">
        <f t="shared" si="81"/>
        <v>-2</v>
      </c>
      <c r="H292" s="3">
        <f t="shared" si="82"/>
        <v>45923</v>
      </c>
      <c r="I292" t="s">
        <v>646</v>
      </c>
      <c r="J292" t="str">
        <f t="shared" si="83"/>
        <v>Africa → Nigeria → Port Harcourt</v>
      </c>
      <c r="K292" s="3" t="str">
        <f t="shared" si="84"/>
        <v>Nigeria-2025-08</v>
      </c>
      <c r="L292" t="s">
        <v>651</v>
      </c>
      <c r="M292" t="s">
        <v>663</v>
      </c>
      <c r="N292" t="s">
        <v>705</v>
      </c>
      <c r="O292" t="s">
        <v>707</v>
      </c>
      <c r="P292" t="s">
        <v>720</v>
      </c>
      <c r="Q292" t="s">
        <v>733</v>
      </c>
      <c r="R292" t="s">
        <v>1024</v>
      </c>
      <c r="S292" s="5">
        <v>521.05999999999995</v>
      </c>
      <c r="T292" s="5">
        <v>1240.31</v>
      </c>
      <c r="U292" s="5" t="str">
        <f t="shared" si="85"/>
        <v>Valid</v>
      </c>
      <c r="V292" s="5">
        <f t="shared" si="76"/>
        <v>1240.31</v>
      </c>
      <c r="W292" s="5" t="str">
        <f t="shared" si="86"/>
        <v>Medium</v>
      </c>
      <c r="X292" s="5">
        <v>0.14599999999999999</v>
      </c>
      <c r="Y292" s="5" t="str">
        <f t="shared" si="87"/>
        <v>Valid</v>
      </c>
      <c r="Z292" s="5">
        <f t="shared" si="88"/>
        <v>0.14599999999999999</v>
      </c>
      <c r="AA292" s="5">
        <v>18</v>
      </c>
      <c r="AB292">
        <f t="shared" si="89"/>
        <v>19066.045319999997</v>
      </c>
      <c r="AC292">
        <f t="shared" si="77"/>
        <v>9379.0799999999981</v>
      </c>
      <c r="AD292">
        <f t="shared" si="90"/>
        <v>9686.9653199999993</v>
      </c>
      <c r="AE292">
        <f t="shared" si="91"/>
        <v>0.50807417885650974</v>
      </c>
      <c r="AF292">
        <f t="shared" si="92"/>
        <v>1</v>
      </c>
      <c r="AG292">
        <f t="shared" si="93"/>
        <v>0</v>
      </c>
      <c r="AK292">
        <f>AA292*(1+What_if_Analysis!$B$4)</f>
        <v>21.599999999999998</v>
      </c>
      <c r="AL292" s="5">
        <f>MIN(Z292,What_if_Analysis!$B$2)</f>
        <v>0.05</v>
      </c>
      <c r="AM292">
        <f t="shared" si="94"/>
        <v>25451.161199999995</v>
      </c>
      <c r="AN292">
        <f>AM292-(AK292*(T292*(1+What_if_Analysis!$B$3)))</f>
        <v>-4018.6044000000038</v>
      </c>
    </row>
    <row r="293" spans="1:40" x14ac:dyDescent="0.3">
      <c r="A293" t="s">
        <v>305</v>
      </c>
      <c r="B293" s="3">
        <v>45746</v>
      </c>
      <c r="C293" s="3" t="str">
        <f t="shared" si="78"/>
        <v>Mar-2025</v>
      </c>
      <c r="D293" s="3" t="str">
        <f t="shared" si="79"/>
        <v>Q1-2025</v>
      </c>
      <c r="E293" s="3">
        <v>45754</v>
      </c>
      <c r="F293" s="3" t="str">
        <f t="shared" si="80"/>
        <v>Valid</v>
      </c>
      <c r="G293" s="12">
        <f t="shared" si="81"/>
        <v>8</v>
      </c>
      <c r="H293" s="3">
        <f t="shared" si="82"/>
        <v>45754</v>
      </c>
      <c r="I293" t="s">
        <v>648</v>
      </c>
      <c r="J293" t="str">
        <f t="shared" si="83"/>
        <v>Americas → Brazil → São Paulo</v>
      </c>
      <c r="K293" s="3" t="str">
        <f t="shared" si="84"/>
        <v>Brazil-2025-03</v>
      </c>
      <c r="L293" t="s">
        <v>655</v>
      </c>
      <c r="M293" t="s">
        <v>670</v>
      </c>
      <c r="N293" t="s">
        <v>703</v>
      </c>
      <c r="O293" t="s">
        <v>711</v>
      </c>
      <c r="P293" t="s">
        <v>716</v>
      </c>
      <c r="Q293" t="s">
        <v>728</v>
      </c>
      <c r="R293" t="s">
        <v>1025</v>
      </c>
      <c r="S293" s="5">
        <v>71.62</v>
      </c>
      <c r="T293" s="5">
        <v>118.37</v>
      </c>
      <c r="U293" s="5" t="str">
        <f t="shared" si="85"/>
        <v>Valid</v>
      </c>
      <c r="V293" s="5">
        <f t="shared" si="76"/>
        <v>118.37</v>
      </c>
      <c r="W293" s="5" t="str">
        <f t="shared" si="86"/>
        <v>Low</v>
      </c>
      <c r="X293" s="5">
        <v>0.156</v>
      </c>
      <c r="Y293" s="5" t="str">
        <f t="shared" si="87"/>
        <v>Valid</v>
      </c>
      <c r="Z293" s="5">
        <f t="shared" si="88"/>
        <v>0.156</v>
      </c>
      <c r="AA293" s="5">
        <v>11</v>
      </c>
      <c r="AB293">
        <f t="shared" si="89"/>
        <v>1098.9470800000001</v>
      </c>
      <c r="AC293">
        <f t="shared" si="77"/>
        <v>787.82</v>
      </c>
      <c r="AD293">
        <f t="shared" si="90"/>
        <v>311.12708000000009</v>
      </c>
      <c r="AE293">
        <f t="shared" si="91"/>
        <v>0.28311379652603474</v>
      </c>
      <c r="AF293">
        <f t="shared" si="92"/>
        <v>0</v>
      </c>
      <c r="AG293">
        <f t="shared" si="93"/>
        <v>0</v>
      </c>
      <c r="AK293">
        <f>AA293*(1+What_if_Analysis!$B$4)</f>
        <v>13.2</v>
      </c>
      <c r="AL293" s="5">
        <f>MIN(Z293,What_if_Analysis!$B$2)</f>
        <v>0.05</v>
      </c>
      <c r="AM293">
        <f t="shared" si="94"/>
        <v>1484.3598</v>
      </c>
      <c r="AN293">
        <f>AM293-(AK293*(T293*(1+What_if_Analysis!$B$3)))</f>
        <v>-234.37260000000015</v>
      </c>
    </row>
    <row r="294" spans="1:40" x14ac:dyDescent="0.3">
      <c r="A294" t="s">
        <v>306</v>
      </c>
      <c r="B294" s="3">
        <v>45220</v>
      </c>
      <c r="C294" s="3" t="str">
        <f t="shared" si="78"/>
        <v>Oct-2023</v>
      </c>
      <c r="D294" s="3" t="str">
        <f t="shared" si="79"/>
        <v>Q4-2023</v>
      </c>
      <c r="E294" s="3">
        <v>45239</v>
      </c>
      <c r="F294" s="3" t="str">
        <f t="shared" si="80"/>
        <v>Valid</v>
      </c>
      <c r="G294" s="12">
        <f t="shared" si="81"/>
        <v>19</v>
      </c>
      <c r="H294" s="3">
        <f t="shared" si="82"/>
        <v>45239</v>
      </c>
      <c r="I294" t="s">
        <v>649</v>
      </c>
      <c r="J294" t="str">
        <f t="shared" si="83"/>
        <v>Europe → United Kingdom → London</v>
      </c>
      <c r="K294" s="3" t="str">
        <f t="shared" si="84"/>
        <v>United Kingdom-2023-10</v>
      </c>
      <c r="L294" t="s">
        <v>658</v>
      </c>
      <c r="M294" t="s">
        <v>683</v>
      </c>
      <c r="N294" t="s">
        <v>703</v>
      </c>
      <c r="O294" t="s">
        <v>711</v>
      </c>
      <c r="P294" t="s">
        <v>720</v>
      </c>
      <c r="Q294" t="s">
        <v>733</v>
      </c>
      <c r="R294" t="s">
        <v>1026</v>
      </c>
      <c r="S294" s="5">
        <v>1142.48</v>
      </c>
      <c r="T294" s="5">
        <v>2105.5300000000002</v>
      </c>
      <c r="U294" s="5" t="str">
        <f t="shared" si="85"/>
        <v>Valid</v>
      </c>
      <c r="V294" s="5">
        <f t="shared" si="76"/>
        <v>2105.5300000000002</v>
      </c>
      <c r="W294" s="5" t="str">
        <f t="shared" si="86"/>
        <v>High</v>
      </c>
      <c r="X294" s="5">
        <v>0.20699999999999999</v>
      </c>
      <c r="Y294" s="5" t="str">
        <f t="shared" si="87"/>
        <v>Valid</v>
      </c>
      <c r="Z294" s="5">
        <f t="shared" si="88"/>
        <v>0.20699999999999999</v>
      </c>
      <c r="AA294" s="5">
        <v>14</v>
      </c>
      <c r="AB294">
        <f t="shared" si="89"/>
        <v>23375.594060000003</v>
      </c>
      <c r="AC294">
        <f t="shared" si="77"/>
        <v>15994.720000000001</v>
      </c>
      <c r="AD294">
        <f t="shared" si="90"/>
        <v>7380.8740600000019</v>
      </c>
      <c r="AE294">
        <f t="shared" si="91"/>
        <v>0.31575129346680658</v>
      </c>
      <c r="AF294">
        <f t="shared" si="92"/>
        <v>0</v>
      </c>
      <c r="AG294">
        <f t="shared" si="93"/>
        <v>1</v>
      </c>
      <c r="AK294">
        <f>AA294*(1+What_if_Analysis!$B$4)</f>
        <v>16.8</v>
      </c>
      <c r="AL294" s="5">
        <f>MIN(Z294,What_if_Analysis!$B$2)</f>
        <v>0.05</v>
      </c>
      <c r="AM294">
        <f t="shared" si="94"/>
        <v>33604.258800000003</v>
      </c>
      <c r="AN294">
        <f>AM294-(AK294*(T294*(1+What_if_Analysis!$B$3)))</f>
        <v>-5305.9356000000043</v>
      </c>
    </row>
    <row r="295" spans="1:40" x14ac:dyDescent="0.3">
      <c r="A295" t="s">
        <v>307</v>
      </c>
      <c r="B295" s="3">
        <v>45161</v>
      </c>
      <c r="C295" s="3" t="str">
        <f t="shared" si="78"/>
        <v>Aug-2023</v>
      </c>
      <c r="D295" s="3" t="str">
        <f t="shared" si="79"/>
        <v>Q3-2023</v>
      </c>
      <c r="E295" s="3">
        <v>45191</v>
      </c>
      <c r="F295" s="3" t="str">
        <f t="shared" si="80"/>
        <v>Valid</v>
      </c>
      <c r="G295" s="12">
        <f t="shared" si="81"/>
        <v>30</v>
      </c>
      <c r="H295" s="3">
        <f t="shared" si="82"/>
        <v>45191</v>
      </c>
      <c r="I295" t="s">
        <v>649</v>
      </c>
      <c r="J295" t="str">
        <f t="shared" si="83"/>
        <v>Europe → United Kingdom → London</v>
      </c>
      <c r="K295" s="3" t="str">
        <f t="shared" si="84"/>
        <v>United Kingdom-2023-08</v>
      </c>
      <c r="L295" t="s">
        <v>658</v>
      </c>
      <c r="M295" t="s">
        <v>683</v>
      </c>
      <c r="N295" t="s">
        <v>704</v>
      </c>
      <c r="O295" t="s">
        <v>710</v>
      </c>
      <c r="P295" t="s">
        <v>719</v>
      </c>
      <c r="Q295" t="s">
        <v>733</v>
      </c>
      <c r="R295" t="s">
        <v>1027</v>
      </c>
      <c r="S295" s="5">
        <v>209.81</v>
      </c>
      <c r="T295" s="5">
        <v>523</v>
      </c>
      <c r="U295" s="5" t="str">
        <f t="shared" si="85"/>
        <v>Valid</v>
      </c>
      <c r="V295" s="5">
        <f t="shared" si="76"/>
        <v>523</v>
      </c>
      <c r="W295" s="5" t="str">
        <f t="shared" si="86"/>
        <v>Low</v>
      </c>
      <c r="X295" s="5">
        <v>5.8999999999999997E-2</v>
      </c>
      <c r="Y295" s="5" t="str">
        <f t="shared" si="87"/>
        <v>Valid</v>
      </c>
      <c r="Z295" s="5">
        <f t="shared" si="88"/>
        <v>5.8999999999999997E-2</v>
      </c>
      <c r="AA295" s="5">
        <v>15</v>
      </c>
      <c r="AB295">
        <f t="shared" si="89"/>
        <v>7382.1450000000004</v>
      </c>
      <c r="AC295">
        <f t="shared" si="77"/>
        <v>3147.15</v>
      </c>
      <c r="AD295">
        <f t="shared" si="90"/>
        <v>4234.9950000000008</v>
      </c>
      <c r="AE295">
        <f t="shared" si="91"/>
        <v>0.57368082041195356</v>
      </c>
      <c r="AF295">
        <f t="shared" si="92"/>
        <v>0</v>
      </c>
      <c r="AG295">
        <f t="shared" si="93"/>
        <v>0</v>
      </c>
      <c r="AK295">
        <f>AA295*(1+What_if_Analysis!$B$4)</f>
        <v>18</v>
      </c>
      <c r="AL295" s="5">
        <f>MIN(Z295,What_if_Analysis!$B$2)</f>
        <v>0.05</v>
      </c>
      <c r="AM295">
        <f t="shared" si="94"/>
        <v>8943.2999999999993</v>
      </c>
      <c r="AN295">
        <f>AM295-(AK295*(T295*(1+What_if_Analysis!$B$3)))</f>
        <v>-1412.1000000000022</v>
      </c>
    </row>
    <row r="296" spans="1:40" x14ac:dyDescent="0.3">
      <c r="A296" t="s">
        <v>308</v>
      </c>
      <c r="B296" s="3">
        <v>45758</v>
      </c>
      <c r="C296" s="3" t="str">
        <f t="shared" si="78"/>
        <v>Apr-2025</v>
      </c>
      <c r="D296" s="3" t="str">
        <f t="shared" si="79"/>
        <v>Q2-2025</v>
      </c>
      <c r="E296" s="3">
        <v>45781</v>
      </c>
      <c r="F296" s="3" t="str">
        <f t="shared" si="80"/>
        <v>Valid</v>
      </c>
      <c r="G296" s="12">
        <f t="shared" si="81"/>
        <v>23</v>
      </c>
      <c r="H296" s="3">
        <f t="shared" si="82"/>
        <v>45781</v>
      </c>
      <c r="I296" t="s">
        <v>647</v>
      </c>
      <c r="J296" t="str">
        <f t="shared" si="83"/>
        <v>Asia → Japan → Osaka</v>
      </c>
      <c r="K296" s="3" t="str">
        <f t="shared" si="84"/>
        <v>Japan-2025-04</v>
      </c>
      <c r="L296" t="s">
        <v>652</v>
      </c>
      <c r="M296" t="s">
        <v>666</v>
      </c>
      <c r="N296" t="s">
        <v>705</v>
      </c>
      <c r="O296" t="s">
        <v>708</v>
      </c>
      <c r="P296" t="s">
        <v>724</v>
      </c>
      <c r="Q296" t="s">
        <v>727</v>
      </c>
      <c r="R296" t="s">
        <v>1028</v>
      </c>
      <c r="S296" s="5">
        <v>786.2</v>
      </c>
      <c r="T296" s="5">
        <v>1075.3</v>
      </c>
      <c r="U296" s="5" t="str">
        <f t="shared" si="85"/>
        <v>Valid</v>
      </c>
      <c r="V296" s="5">
        <f t="shared" si="76"/>
        <v>1075.3</v>
      </c>
      <c r="W296" s="5" t="str">
        <f t="shared" si="86"/>
        <v>Medium</v>
      </c>
      <c r="X296" s="5">
        <v>0.08</v>
      </c>
      <c r="Y296" s="5" t="str">
        <f t="shared" si="87"/>
        <v>Valid</v>
      </c>
      <c r="Z296" s="5">
        <f t="shared" si="88"/>
        <v>0.08</v>
      </c>
      <c r="AA296" s="5">
        <v>9</v>
      </c>
      <c r="AB296">
        <f t="shared" si="89"/>
        <v>8903.4839999999986</v>
      </c>
      <c r="AC296">
        <f t="shared" si="77"/>
        <v>7075.8</v>
      </c>
      <c r="AD296">
        <f t="shared" si="90"/>
        <v>1827.6839999999984</v>
      </c>
      <c r="AE296">
        <f t="shared" si="91"/>
        <v>0.20527739478163815</v>
      </c>
      <c r="AF296">
        <f t="shared" si="92"/>
        <v>0</v>
      </c>
      <c r="AG296">
        <f t="shared" si="93"/>
        <v>0</v>
      </c>
      <c r="AK296">
        <f>AA296*(1+What_if_Analysis!$B$4)</f>
        <v>10.799999999999999</v>
      </c>
      <c r="AL296" s="5">
        <f>MIN(Z296,What_if_Analysis!$B$2)</f>
        <v>0.05</v>
      </c>
      <c r="AM296">
        <f t="shared" si="94"/>
        <v>11032.577999999998</v>
      </c>
      <c r="AN296">
        <f>AM296-(AK296*(T296*(1+What_if_Analysis!$B$3)))</f>
        <v>-1741.9860000000026</v>
      </c>
    </row>
    <row r="297" spans="1:40" x14ac:dyDescent="0.3">
      <c r="A297" t="s">
        <v>309</v>
      </c>
      <c r="B297" s="3">
        <v>45809</v>
      </c>
      <c r="C297" s="3" t="str">
        <f t="shared" si="78"/>
        <v>Jun-2025</v>
      </c>
      <c r="D297" s="3" t="str">
        <f t="shared" si="79"/>
        <v>Q2-2025</v>
      </c>
      <c r="E297" s="3">
        <v>45835</v>
      </c>
      <c r="F297" s="3" t="str">
        <f t="shared" si="80"/>
        <v>Valid</v>
      </c>
      <c r="G297" s="12">
        <f t="shared" si="81"/>
        <v>26</v>
      </c>
      <c r="H297" s="3">
        <f t="shared" si="82"/>
        <v>45835</v>
      </c>
      <c r="I297" t="s">
        <v>649</v>
      </c>
      <c r="J297" t="str">
        <f t="shared" si="83"/>
        <v>Europe → Germany → Munich</v>
      </c>
      <c r="K297" s="3" t="str">
        <f t="shared" si="84"/>
        <v>Germany-2025-06</v>
      </c>
      <c r="L297" t="s">
        <v>656</v>
      </c>
      <c r="M297" t="s">
        <v>684</v>
      </c>
      <c r="N297" t="s">
        <v>704</v>
      </c>
      <c r="O297" t="s">
        <v>710</v>
      </c>
      <c r="P297" t="s">
        <v>718</v>
      </c>
      <c r="Q297" t="s">
        <v>731</v>
      </c>
      <c r="R297" t="s">
        <v>1029</v>
      </c>
      <c r="S297" s="5">
        <v>1362.31</v>
      </c>
      <c r="T297" s="5">
        <v>3294.57</v>
      </c>
      <c r="U297" s="5" t="str">
        <f t="shared" si="85"/>
        <v>Valid</v>
      </c>
      <c r="V297" s="5">
        <f t="shared" si="76"/>
        <v>3294.57</v>
      </c>
      <c r="W297" s="5" t="str">
        <f t="shared" si="86"/>
        <v>High</v>
      </c>
      <c r="X297" s="5">
        <v>0.113</v>
      </c>
      <c r="Y297" s="5" t="str">
        <f t="shared" si="87"/>
        <v>Valid</v>
      </c>
      <c r="Z297" s="5">
        <f t="shared" si="88"/>
        <v>0.113</v>
      </c>
      <c r="AA297" s="5">
        <v>7</v>
      </c>
      <c r="AB297">
        <f t="shared" si="89"/>
        <v>20455.985130000001</v>
      </c>
      <c r="AC297">
        <f t="shared" si="77"/>
        <v>9536.17</v>
      </c>
      <c r="AD297">
        <f t="shared" si="90"/>
        <v>10919.815130000001</v>
      </c>
      <c r="AE297">
        <f t="shared" si="91"/>
        <v>0.5338200561157721</v>
      </c>
      <c r="AF297">
        <f t="shared" si="92"/>
        <v>0</v>
      </c>
      <c r="AG297">
        <f t="shared" si="93"/>
        <v>0</v>
      </c>
      <c r="AK297">
        <f>AA297*(1+What_if_Analysis!$B$4)</f>
        <v>8.4</v>
      </c>
      <c r="AL297" s="5">
        <f>MIN(Z297,What_if_Analysis!$B$2)</f>
        <v>0.05</v>
      </c>
      <c r="AM297">
        <f t="shared" si="94"/>
        <v>26290.668600000001</v>
      </c>
      <c r="AN297">
        <f>AM297-(AK297*(T297*(1+What_if_Analysis!$B$3)))</f>
        <v>-4151.1582000000053</v>
      </c>
    </row>
    <row r="298" spans="1:40" x14ac:dyDescent="0.3">
      <c r="A298" t="s">
        <v>310</v>
      </c>
      <c r="B298" s="3">
        <v>45353</v>
      </c>
      <c r="C298" s="3" t="str">
        <f t="shared" si="78"/>
        <v>Mar-2024</v>
      </c>
      <c r="D298" s="3" t="str">
        <f t="shared" si="79"/>
        <v>Q1-2024</v>
      </c>
      <c r="E298" s="3">
        <v>45367</v>
      </c>
      <c r="F298" s="3" t="str">
        <f t="shared" si="80"/>
        <v>Valid</v>
      </c>
      <c r="G298" s="12">
        <f t="shared" si="81"/>
        <v>14</v>
      </c>
      <c r="H298" s="3">
        <f t="shared" si="82"/>
        <v>45367</v>
      </c>
      <c r="I298" t="s">
        <v>648</v>
      </c>
      <c r="J298" t="str">
        <f t="shared" si="83"/>
        <v>Americas → Canada → Vancouver</v>
      </c>
      <c r="K298" s="3" t="str">
        <f t="shared" si="84"/>
        <v>Canada-2024-03</v>
      </c>
      <c r="L298" t="s">
        <v>653</v>
      </c>
      <c r="M298" t="s">
        <v>688</v>
      </c>
      <c r="N298" t="s">
        <v>703</v>
      </c>
      <c r="O298" t="s">
        <v>711</v>
      </c>
      <c r="P298" t="s">
        <v>719</v>
      </c>
      <c r="Q298" t="s">
        <v>728</v>
      </c>
      <c r="R298" t="s">
        <v>1030</v>
      </c>
      <c r="S298" s="5">
        <v>248.24</v>
      </c>
      <c r="T298" s="5">
        <v>464.05</v>
      </c>
      <c r="U298" s="5" t="str">
        <f t="shared" si="85"/>
        <v>Valid</v>
      </c>
      <c r="V298" s="5">
        <f t="shared" si="76"/>
        <v>464.05</v>
      </c>
      <c r="W298" s="5" t="str">
        <f t="shared" si="86"/>
        <v>Low</v>
      </c>
      <c r="X298" s="5">
        <v>0.16900000000000001</v>
      </c>
      <c r="Y298" s="5" t="str">
        <f t="shared" si="87"/>
        <v>Valid</v>
      </c>
      <c r="Z298" s="5">
        <f t="shared" si="88"/>
        <v>0.16900000000000001</v>
      </c>
      <c r="AA298" s="5">
        <v>11</v>
      </c>
      <c r="AB298">
        <f t="shared" si="89"/>
        <v>4241.88105</v>
      </c>
      <c r="AC298">
        <f t="shared" si="77"/>
        <v>2730.6400000000003</v>
      </c>
      <c r="AD298">
        <f t="shared" si="90"/>
        <v>1511.2410499999996</v>
      </c>
      <c r="AE298">
        <f t="shared" si="91"/>
        <v>0.3562667203975462</v>
      </c>
      <c r="AF298">
        <f t="shared" si="92"/>
        <v>0</v>
      </c>
      <c r="AG298">
        <f t="shared" si="93"/>
        <v>0</v>
      </c>
      <c r="AK298">
        <f>AA298*(1+What_if_Analysis!$B$4)</f>
        <v>13.2</v>
      </c>
      <c r="AL298" s="5">
        <f>MIN(Z298,What_if_Analysis!$B$2)</f>
        <v>0.05</v>
      </c>
      <c r="AM298">
        <f t="shared" si="94"/>
        <v>5819.1869999999999</v>
      </c>
      <c r="AN298">
        <f>AM298-(AK298*(T298*(1+What_if_Analysis!$B$3)))</f>
        <v>-918.81900000000041</v>
      </c>
    </row>
    <row r="299" spans="1:40" x14ac:dyDescent="0.3">
      <c r="A299" t="s">
        <v>311</v>
      </c>
      <c r="B299" s="3">
        <v>45097</v>
      </c>
      <c r="C299" s="3" t="str">
        <f t="shared" si="78"/>
        <v>Jun-2023</v>
      </c>
      <c r="D299" s="3" t="str">
        <f t="shared" si="79"/>
        <v>Q2-2023</v>
      </c>
      <c r="E299" s="3">
        <v>45115</v>
      </c>
      <c r="F299" s="3" t="str">
        <f t="shared" si="80"/>
        <v>Valid</v>
      </c>
      <c r="G299" s="12">
        <f t="shared" si="81"/>
        <v>18</v>
      </c>
      <c r="H299" s="3">
        <f t="shared" si="82"/>
        <v>45115</v>
      </c>
      <c r="I299" t="s">
        <v>648</v>
      </c>
      <c r="J299" t="str">
        <f t="shared" si="83"/>
        <v>Americas → USA → Austin</v>
      </c>
      <c r="K299" s="3" t="str">
        <f t="shared" si="84"/>
        <v>USA-2023-06</v>
      </c>
      <c r="L299" t="s">
        <v>660</v>
      </c>
      <c r="M299" t="s">
        <v>697</v>
      </c>
      <c r="N299" t="s">
        <v>703</v>
      </c>
      <c r="O299" t="s">
        <v>711</v>
      </c>
      <c r="P299" t="s">
        <v>721</v>
      </c>
      <c r="Q299" t="s">
        <v>732</v>
      </c>
      <c r="R299" t="s">
        <v>1031</v>
      </c>
      <c r="S299" s="5">
        <v>337</v>
      </c>
      <c r="T299" s="5">
        <v>511.03</v>
      </c>
      <c r="U299" s="5" t="str">
        <f t="shared" si="85"/>
        <v>Valid</v>
      </c>
      <c r="V299" s="5">
        <f t="shared" si="76"/>
        <v>511.03</v>
      </c>
      <c r="W299" s="5" t="str">
        <f t="shared" si="86"/>
        <v>Low</v>
      </c>
      <c r="X299" s="5">
        <v>0.108</v>
      </c>
      <c r="Y299" s="5" t="str">
        <f t="shared" si="87"/>
        <v>Valid</v>
      </c>
      <c r="Z299" s="5">
        <f t="shared" si="88"/>
        <v>0.108</v>
      </c>
      <c r="AA299" s="5">
        <v>7</v>
      </c>
      <c r="AB299">
        <f t="shared" si="89"/>
        <v>3190.8713200000002</v>
      </c>
      <c r="AC299">
        <f t="shared" si="77"/>
        <v>2359</v>
      </c>
      <c r="AD299">
        <f t="shared" si="90"/>
        <v>831.8713200000002</v>
      </c>
      <c r="AE299">
        <f t="shared" si="91"/>
        <v>0.26070349963219458</v>
      </c>
      <c r="AF299">
        <f t="shared" si="92"/>
        <v>0</v>
      </c>
      <c r="AG299">
        <f t="shared" si="93"/>
        <v>0</v>
      </c>
      <c r="AK299">
        <f>AA299*(1+What_if_Analysis!$B$4)</f>
        <v>8.4</v>
      </c>
      <c r="AL299" s="5">
        <f>MIN(Z299,What_if_Analysis!$B$2)</f>
        <v>0.05</v>
      </c>
      <c r="AM299">
        <f t="shared" si="94"/>
        <v>4078.0193999999997</v>
      </c>
      <c r="AN299">
        <f>AM299-(AK299*(T299*(1+What_if_Analysis!$B$3)))</f>
        <v>-643.8978000000011</v>
      </c>
    </row>
    <row r="300" spans="1:40" x14ac:dyDescent="0.3">
      <c r="A300" t="s">
        <v>312</v>
      </c>
      <c r="B300" s="3">
        <v>45377</v>
      </c>
      <c r="C300" s="3" t="str">
        <f t="shared" si="78"/>
        <v>Mar-2024</v>
      </c>
      <c r="D300" s="3" t="str">
        <f t="shared" si="79"/>
        <v>Q1-2024</v>
      </c>
      <c r="E300" s="3">
        <v>45387</v>
      </c>
      <c r="F300" s="3" t="str">
        <f t="shared" si="80"/>
        <v>Valid</v>
      </c>
      <c r="G300" s="12">
        <f t="shared" si="81"/>
        <v>10</v>
      </c>
      <c r="H300" s="3">
        <f t="shared" si="82"/>
        <v>45387</v>
      </c>
      <c r="I300" t="s">
        <v>648</v>
      </c>
      <c r="J300" t="str">
        <f t="shared" si="83"/>
        <v>Americas → USA → Austin</v>
      </c>
      <c r="K300" s="3" t="str">
        <f t="shared" si="84"/>
        <v>USA-2024-03</v>
      </c>
      <c r="L300" t="s">
        <v>660</v>
      </c>
      <c r="M300" t="s">
        <v>697</v>
      </c>
      <c r="N300" t="s">
        <v>704</v>
      </c>
      <c r="O300" t="s">
        <v>711</v>
      </c>
      <c r="P300" t="s">
        <v>713</v>
      </c>
      <c r="Q300" t="s">
        <v>732</v>
      </c>
      <c r="R300" t="s">
        <v>1032</v>
      </c>
      <c r="S300" s="5">
        <v>5.66</v>
      </c>
      <c r="T300" s="5">
        <v>4.22</v>
      </c>
      <c r="U300" s="5" t="str">
        <f t="shared" si="85"/>
        <v>Valid</v>
      </c>
      <c r="V300" s="5">
        <f t="shared" si="76"/>
        <v>4.22</v>
      </c>
      <c r="W300" s="5" t="str">
        <f t="shared" si="86"/>
        <v>Low</v>
      </c>
      <c r="X300" s="5">
        <v>0.11899999999999999</v>
      </c>
      <c r="Y300" s="5" t="str">
        <f t="shared" si="87"/>
        <v>Valid</v>
      </c>
      <c r="Z300" s="5">
        <f t="shared" si="88"/>
        <v>0.11899999999999999</v>
      </c>
      <c r="AA300" s="5">
        <v>18</v>
      </c>
      <c r="AB300">
        <f t="shared" si="89"/>
        <v>66.920760000000001</v>
      </c>
      <c r="AC300">
        <f t="shared" si="77"/>
        <v>101.88</v>
      </c>
      <c r="AD300">
        <f t="shared" si="90"/>
        <v>-34.959239999999994</v>
      </c>
      <c r="AE300">
        <f t="shared" si="91"/>
        <v>-0.52239753403876454</v>
      </c>
      <c r="AF300">
        <f t="shared" si="92"/>
        <v>0</v>
      </c>
      <c r="AG300">
        <f t="shared" si="93"/>
        <v>0</v>
      </c>
      <c r="AK300">
        <f>AA300*(1+What_if_Analysis!$B$4)</f>
        <v>21.599999999999998</v>
      </c>
      <c r="AL300" s="5">
        <f>MIN(Z300,What_if_Analysis!$B$2)</f>
        <v>0.05</v>
      </c>
      <c r="AM300">
        <f t="shared" si="94"/>
        <v>86.594399999999979</v>
      </c>
      <c r="AN300">
        <f>AM300-(AK300*(T300*(1+What_if_Analysis!$B$3)))</f>
        <v>-13.672800000000024</v>
      </c>
    </row>
    <row r="301" spans="1:40" x14ac:dyDescent="0.3">
      <c r="A301" t="s">
        <v>313</v>
      </c>
      <c r="B301" s="3">
        <v>45679</v>
      </c>
      <c r="C301" s="3" t="str">
        <f t="shared" si="78"/>
        <v>Jan-2025</v>
      </c>
      <c r="D301" s="3" t="str">
        <f t="shared" si="79"/>
        <v>Q1-2025</v>
      </c>
      <c r="E301" s="3">
        <v>45679</v>
      </c>
      <c r="F301" s="3" t="str">
        <f t="shared" si="80"/>
        <v>Valid</v>
      </c>
      <c r="G301" s="12">
        <f t="shared" si="81"/>
        <v>0</v>
      </c>
      <c r="H301" s="3">
        <f t="shared" si="82"/>
        <v>45679</v>
      </c>
      <c r="I301" t="s">
        <v>649</v>
      </c>
      <c r="J301" t="str">
        <f t="shared" si="83"/>
        <v>Europe → France → Lyon</v>
      </c>
      <c r="K301" s="3" t="str">
        <f t="shared" si="84"/>
        <v>France-2025-01</v>
      </c>
      <c r="L301" t="s">
        <v>657</v>
      </c>
      <c r="M301" t="s">
        <v>679</v>
      </c>
      <c r="N301" t="s">
        <v>705</v>
      </c>
      <c r="O301" t="s">
        <v>708</v>
      </c>
      <c r="P301" t="s">
        <v>717</v>
      </c>
      <c r="Q301" t="s">
        <v>733</v>
      </c>
      <c r="R301" t="s">
        <v>1033</v>
      </c>
      <c r="S301" s="5">
        <v>591.72</v>
      </c>
      <c r="T301" s="5">
        <v>577.24</v>
      </c>
      <c r="U301" s="5" t="str">
        <f t="shared" si="85"/>
        <v>Valid</v>
      </c>
      <c r="V301" s="5">
        <f t="shared" si="76"/>
        <v>577.24</v>
      </c>
      <c r="W301" s="5" t="str">
        <f t="shared" si="86"/>
        <v>Low</v>
      </c>
      <c r="X301" s="5">
        <v>0</v>
      </c>
      <c r="Y301" s="5" t="str">
        <f t="shared" si="87"/>
        <v>Valid</v>
      </c>
      <c r="Z301" s="5">
        <f t="shared" si="88"/>
        <v>0</v>
      </c>
      <c r="AA301" s="5">
        <v>22</v>
      </c>
      <c r="AB301">
        <f t="shared" si="89"/>
        <v>12699.28</v>
      </c>
      <c r="AC301">
        <f t="shared" si="77"/>
        <v>13017.84</v>
      </c>
      <c r="AD301">
        <f t="shared" si="90"/>
        <v>-318.55999999999949</v>
      </c>
      <c r="AE301">
        <f t="shared" si="91"/>
        <v>-2.5084886702238195E-2</v>
      </c>
      <c r="AF301">
        <f t="shared" si="92"/>
        <v>1</v>
      </c>
      <c r="AG301">
        <f t="shared" si="93"/>
        <v>0</v>
      </c>
      <c r="AK301">
        <f>AA301*(1+What_if_Analysis!$B$4)</f>
        <v>26.4</v>
      </c>
      <c r="AL301" s="5">
        <f>MIN(Z301,What_if_Analysis!$B$2)</f>
        <v>0</v>
      </c>
      <c r="AM301">
        <f t="shared" si="94"/>
        <v>15239.135999999999</v>
      </c>
      <c r="AN301">
        <f>AM301-(AK301*(T301*(1+What_if_Analysis!$B$3)))</f>
        <v>-1523.9136000000035</v>
      </c>
    </row>
    <row r="302" spans="1:40" x14ac:dyDescent="0.3">
      <c r="A302" t="s">
        <v>314</v>
      </c>
      <c r="B302" s="3">
        <v>45787</v>
      </c>
      <c r="C302" s="3" t="str">
        <f t="shared" si="78"/>
        <v>May-2025</v>
      </c>
      <c r="D302" s="3" t="str">
        <f t="shared" si="79"/>
        <v>Q2-2025</v>
      </c>
      <c r="E302" s="3">
        <v>45804</v>
      </c>
      <c r="F302" s="3" t="str">
        <f t="shared" si="80"/>
        <v>Valid</v>
      </c>
      <c r="G302" s="12">
        <f t="shared" si="81"/>
        <v>17</v>
      </c>
      <c r="H302" s="3">
        <f t="shared" si="82"/>
        <v>45804</v>
      </c>
      <c r="I302" t="s">
        <v>648</v>
      </c>
      <c r="J302" t="str">
        <f t="shared" si="83"/>
        <v>Americas → Canada → Vancouver</v>
      </c>
      <c r="K302" s="3" t="str">
        <f t="shared" si="84"/>
        <v>Canada-2025-05</v>
      </c>
      <c r="L302" t="s">
        <v>653</v>
      </c>
      <c r="M302" t="s">
        <v>688</v>
      </c>
      <c r="N302" t="s">
        <v>702</v>
      </c>
      <c r="O302" t="s">
        <v>711</v>
      </c>
      <c r="P302" t="s">
        <v>712</v>
      </c>
      <c r="Q302" t="s">
        <v>727</v>
      </c>
      <c r="R302" t="s">
        <v>1034</v>
      </c>
      <c r="S302" s="5">
        <v>862.89</v>
      </c>
      <c r="T302" s="5">
        <v>1426.03</v>
      </c>
      <c r="U302" s="5" t="str">
        <f t="shared" si="85"/>
        <v>Valid</v>
      </c>
      <c r="V302" s="5">
        <f t="shared" si="76"/>
        <v>1426.03</v>
      </c>
      <c r="W302" s="5" t="str">
        <f t="shared" si="86"/>
        <v>Medium</v>
      </c>
      <c r="X302" s="5">
        <v>5.6000000000000001E-2</v>
      </c>
      <c r="Y302" s="5" t="str">
        <f t="shared" si="87"/>
        <v>Valid</v>
      </c>
      <c r="Z302" s="5">
        <f t="shared" si="88"/>
        <v>5.6000000000000001E-2</v>
      </c>
      <c r="AA302" s="5">
        <v>19</v>
      </c>
      <c r="AB302">
        <f t="shared" si="89"/>
        <v>25577.274079999999</v>
      </c>
      <c r="AC302">
        <f t="shared" si="77"/>
        <v>16394.91</v>
      </c>
      <c r="AD302">
        <f t="shared" si="90"/>
        <v>9182.3640799999994</v>
      </c>
      <c r="AE302">
        <f t="shared" si="91"/>
        <v>0.35900479665188778</v>
      </c>
      <c r="AF302">
        <f t="shared" si="92"/>
        <v>0</v>
      </c>
      <c r="AG302">
        <f t="shared" si="93"/>
        <v>0</v>
      </c>
      <c r="AK302">
        <f>AA302*(1+What_if_Analysis!$B$4)</f>
        <v>22.8</v>
      </c>
      <c r="AL302" s="5">
        <f>MIN(Z302,What_if_Analysis!$B$2)</f>
        <v>0.05</v>
      </c>
      <c r="AM302">
        <f t="shared" si="94"/>
        <v>30887.809799999999</v>
      </c>
      <c r="AN302">
        <f>AM302-(AK302*(T302*(1+What_if_Analysis!$B$3)))</f>
        <v>-4877.0226000000002</v>
      </c>
    </row>
    <row r="303" spans="1:40" x14ac:dyDescent="0.3">
      <c r="A303" t="s">
        <v>315</v>
      </c>
      <c r="B303" s="3">
        <v>45204</v>
      </c>
      <c r="C303" s="3" t="str">
        <f t="shared" si="78"/>
        <v>Oct-2023</v>
      </c>
      <c r="D303" s="3" t="str">
        <f t="shared" si="79"/>
        <v>Q4-2023</v>
      </c>
      <c r="E303" s="3">
        <v>45230</v>
      </c>
      <c r="F303" s="3" t="str">
        <f t="shared" si="80"/>
        <v>Valid</v>
      </c>
      <c r="G303" s="12">
        <f t="shared" si="81"/>
        <v>26</v>
      </c>
      <c r="H303" s="3">
        <f t="shared" si="82"/>
        <v>45230</v>
      </c>
      <c r="I303" t="s">
        <v>647</v>
      </c>
      <c r="J303" t="str">
        <f t="shared" si="83"/>
        <v>Asia → China → Shanghai</v>
      </c>
      <c r="K303" s="3" t="str">
        <f t="shared" si="84"/>
        <v>China-2023-10</v>
      </c>
      <c r="L303" t="s">
        <v>659</v>
      </c>
      <c r="M303" t="s">
        <v>685</v>
      </c>
      <c r="N303" t="s">
        <v>704</v>
      </c>
      <c r="O303" t="s">
        <v>1424</v>
      </c>
      <c r="P303" t="s">
        <v>713</v>
      </c>
      <c r="Q303" t="s">
        <v>728</v>
      </c>
      <c r="R303" t="s">
        <v>1035</v>
      </c>
      <c r="S303" s="5">
        <v>649.91</v>
      </c>
      <c r="T303" s="5">
        <v>1360.12</v>
      </c>
      <c r="U303" s="5" t="str">
        <f t="shared" si="85"/>
        <v>Valid</v>
      </c>
      <c r="V303" s="5">
        <f t="shared" si="76"/>
        <v>1360.12</v>
      </c>
      <c r="W303" s="5" t="str">
        <f t="shared" si="86"/>
        <v>Medium</v>
      </c>
      <c r="X303" s="5">
        <v>0.19400000000000001</v>
      </c>
      <c r="Y303" s="5" t="str">
        <f t="shared" si="87"/>
        <v>Valid</v>
      </c>
      <c r="Z303" s="5">
        <f t="shared" si="88"/>
        <v>0.19400000000000001</v>
      </c>
      <c r="AA303" s="5">
        <v>9</v>
      </c>
      <c r="AB303">
        <f t="shared" si="89"/>
        <v>9866.3104799999983</v>
      </c>
      <c r="AC303">
        <f t="shared" si="77"/>
        <v>5849.19</v>
      </c>
      <c r="AD303">
        <f t="shared" si="90"/>
        <v>4017.1204799999987</v>
      </c>
      <c r="AE303">
        <f t="shared" si="91"/>
        <v>0.40715528749506769</v>
      </c>
      <c r="AF303">
        <f t="shared" si="92"/>
        <v>0</v>
      </c>
      <c r="AG303">
        <f t="shared" si="93"/>
        <v>0</v>
      </c>
      <c r="AK303">
        <f>AA303*(1+What_if_Analysis!$B$4)</f>
        <v>10.799999999999999</v>
      </c>
      <c r="AL303" s="5">
        <f>MIN(Z303,What_if_Analysis!$B$2)</f>
        <v>0.05</v>
      </c>
      <c r="AM303">
        <f t="shared" si="94"/>
        <v>13954.831199999997</v>
      </c>
      <c r="AN303">
        <f>AM303-(AK303*(T303*(1+What_if_Analysis!$B$3)))</f>
        <v>-2203.3944000000029</v>
      </c>
    </row>
    <row r="304" spans="1:40" x14ac:dyDescent="0.3">
      <c r="A304" t="s">
        <v>316</v>
      </c>
      <c r="B304" s="3">
        <v>45125</v>
      </c>
      <c r="C304" s="3" t="str">
        <f t="shared" si="78"/>
        <v>Jul-2023</v>
      </c>
      <c r="D304" s="3" t="str">
        <f t="shared" si="79"/>
        <v>Q3-2023</v>
      </c>
      <c r="E304" s="3">
        <v>45129</v>
      </c>
      <c r="F304" s="3" t="str">
        <f t="shared" si="80"/>
        <v>Valid</v>
      </c>
      <c r="G304" s="12">
        <f t="shared" si="81"/>
        <v>4</v>
      </c>
      <c r="H304" s="3">
        <f t="shared" si="82"/>
        <v>45129</v>
      </c>
      <c r="I304" t="s">
        <v>648</v>
      </c>
      <c r="J304" t="str">
        <f t="shared" si="83"/>
        <v>Americas → Brazil → São Paulo</v>
      </c>
      <c r="K304" s="3" t="str">
        <f t="shared" si="84"/>
        <v>Brazil-2023-07</v>
      </c>
      <c r="L304" t="s">
        <v>655</v>
      </c>
      <c r="M304" t="s">
        <v>670</v>
      </c>
      <c r="N304" t="s">
        <v>704</v>
      </c>
      <c r="O304" t="s">
        <v>711</v>
      </c>
      <c r="P304" t="s">
        <v>721</v>
      </c>
      <c r="Q304" t="s">
        <v>729</v>
      </c>
      <c r="R304" t="s">
        <v>1036</v>
      </c>
      <c r="S304" s="5">
        <v>1269.55</v>
      </c>
      <c r="T304" s="5">
        <v>2071.1</v>
      </c>
      <c r="U304" s="5" t="str">
        <f t="shared" si="85"/>
        <v>Valid</v>
      </c>
      <c r="V304" s="5">
        <f t="shared" si="76"/>
        <v>2071.1</v>
      </c>
      <c r="W304" s="5" t="str">
        <f t="shared" si="86"/>
        <v>High</v>
      </c>
      <c r="X304" s="5">
        <v>0.129</v>
      </c>
      <c r="Y304" s="5" t="str">
        <f t="shared" si="87"/>
        <v>Valid</v>
      </c>
      <c r="Z304" s="5">
        <f t="shared" si="88"/>
        <v>0.129</v>
      </c>
      <c r="AA304" s="5">
        <v>22</v>
      </c>
      <c r="AB304">
        <f t="shared" si="89"/>
        <v>39686.4182</v>
      </c>
      <c r="AC304">
        <f t="shared" si="77"/>
        <v>27930.1</v>
      </c>
      <c r="AD304">
        <f t="shared" si="90"/>
        <v>11756.318200000002</v>
      </c>
      <c r="AE304">
        <f t="shared" si="91"/>
        <v>0.29623026549672354</v>
      </c>
      <c r="AF304">
        <f t="shared" si="92"/>
        <v>1</v>
      </c>
      <c r="AG304">
        <f t="shared" si="93"/>
        <v>0</v>
      </c>
      <c r="AK304">
        <f>AA304*(1+What_if_Analysis!$B$4)</f>
        <v>26.4</v>
      </c>
      <c r="AL304" s="5">
        <f>MIN(Z304,What_if_Analysis!$B$2)</f>
        <v>0.05</v>
      </c>
      <c r="AM304">
        <f t="shared" si="94"/>
        <v>51943.187999999995</v>
      </c>
      <c r="AN304">
        <f>AM304-(AK304*(T304*(1+What_if_Analysis!$B$3)))</f>
        <v>-8201.5560000000041</v>
      </c>
    </row>
    <row r="305" spans="1:40" x14ac:dyDescent="0.3">
      <c r="A305" t="s">
        <v>317</v>
      </c>
      <c r="B305" s="3">
        <v>45830</v>
      </c>
      <c r="C305" s="3" t="str">
        <f t="shared" si="78"/>
        <v>Jun-2025</v>
      </c>
      <c r="D305" s="3" t="str">
        <f t="shared" si="79"/>
        <v>Q2-2025</v>
      </c>
      <c r="E305" s="3">
        <v>45846</v>
      </c>
      <c r="F305" s="3" t="str">
        <f t="shared" si="80"/>
        <v>Valid</v>
      </c>
      <c r="G305" s="12">
        <f t="shared" si="81"/>
        <v>16</v>
      </c>
      <c r="H305" s="3">
        <f t="shared" si="82"/>
        <v>45846</v>
      </c>
      <c r="I305" t="s">
        <v>649</v>
      </c>
      <c r="J305" t="str">
        <f t="shared" si="83"/>
        <v>Europe → United Kingdom → London</v>
      </c>
      <c r="K305" s="3" t="str">
        <f t="shared" si="84"/>
        <v>United Kingdom-2025-06</v>
      </c>
      <c r="L305" t="s">
        <v>658</v>
      </c>
      <c r="M305" t="s">
        <v>683</v>
      </c>
      <c r="N305" t="s">
        <v>702</v>
      </c>
      <c r="O305" t="s">
        <v>711</v>
      </c>
      <c r="P305" t="s">
        <v>720</v>
      </c>
      <c r="Q305" t="s">
        <v>730</v>
      </c>
      <c r="R305" t="s">
        <v>1037</v>
      </c>
      <c r="S305" s="5">
        <v>892.73</v>
      </c>
      <c r="T305" s="5">
        <v>979.84</v>
      </c>
      <c r="U305" s="5" t="str">
        <f t="shared" si="85"/>
        <v>Valid</v>
      </c>
      <c r="V305" s="5">
        <f t="shared" si="76"/>
        <v>979.84</v>
      </c>
      <c r="W305" s="5" t="str">
        <f t="shared" si="86"/>
        <v>Medium</v>
      </c>
      <c r="X305" s="5">
        <v>0.17399999999999999</v>
      </c>
      <c r="Y305" s="5" t="str">
        <f t="shared" si="87"/>
        <v>Valid</v>
      </c>
      <c r="Z305" s="5">
        <f t="shared" si="88"/>
        <v>0.17399999999999999</v>
      </c>
      <c r="AA305" s="5">
        <v>10</v>
      </c>
      <c r="AB305">
        <f t="shared" si="89"/>
        <v>8093.4784</v>
      </c>
      <c r="AC305">
        <f t="shared" si="77"/>
        <v>8927.2999999999993</v>
      </c>
      <c r="AD305">
        <f t="shared" si="90"/>
        <v>-833.82159999999931</v>
      </c>
      <c r="AE305">
        <f t="shared" si="91"/>
        <v>-0.10302388649112838</v>
      </c>
      <c r="AF305">
        <f t="shared" si="92"/>
        <v>0</v>
      </c>
      <c r="AG305">
        <f t="shared" si="93"/>
        <v>0</v>
      </c>
      <c r="AK305">
        <f>AA305*(1+What_if_Analysis!$B$4)</f>
        <v>12</v>
      </c>
      <c r="AL305" s="5">
        <f>MIN(Z305,What_if_Analysis!$B$2)</f>
        <v>0.05</v>
      </c>
      <c r="AM305">
        <f t="shared" si="94"/>
        <v>11170.175999999999</v>
      </c>
      <c r="AN305">
        <f>AM305-(AK305*(T305*(1+What_if_Analysis!$B$3)))</f>
        <v>-1763.7120000000014</v>
      </c>
    </row>
    <row r="306" spans="1:40" x14ac:dyDescent="0.3">
      <c r="A306" t="s">
        <v>318</v>
      </c>
      <c r="B306" s="3">
        <v>45462</v>
      </c>
      <c r="C306" s="3" t="str">
        <f t="shared" si="78"/>
        <v>Jun-2024</v>
      </c>
      <c r="D306" s="3" t="str">
        <f t="shared" si="79"/>
        <v>Q2-2024</v>
      </c>
      <c r="E306" s="3">
        <v>45463</v>
      </c>
      <c r="F306" s="3" t="str">
        <f t="shared" si="80"/>
        <v>Valid</v>
      </c>
      <c r="G306" s="12">
        <f t="shared" si="81"/>
        <v>1</v>
      </c>
      <c r="H306" s="3">
        <f t="shared" si="82"/>
        <v>45463</v>
      </c>
      <c r="I306" t="s">
        <v>646</v>
      </c>
      <c r="J306" t="str">
        <f t="shared" si="83"/>
        <v>Africa → Kenya → Kisumu</v>
      </c>
      <c r="K306" s="3" t="str">
        <f t="shared" si="84"/>
        <v>Kenya-2024-06</v>
      </c>
      <c r="L306" t="s">
        <v>650</v>
      </c>
      <c r="M306" t="s">
        <v>662</v>
      </c>
      <c r="N306" t="s">
        <v>705</v>
      </c>
      <c r="O306" t="s">
        <v>711</v>
      </c>
      <c r="P306" t="s">
        <v>713</v>
      </c>
      <c r="Q306" t="s">
        <v>731</v>
      </c>
      <c r="R306" t="s">
        <v>1038</v>
      </c>
      <c r="S306" s="5">
        <v>231.63</v>
      </c>
      <c r="T306" s="5">
        <v>537.39</v>
      </c>
      <c r="U306" s="5" t="str">
        <f t="shared" si="85"/>
        <v>Valid</v>
      </c>
      <c r="V306" s="5">
        <f t="shared" si="76"/>
        <v>537.39</v>
      </c>
      <c r="W306" s="5" t="str">
        <f t="shared" si="86"/>
        <v>Low</v>
      </c>
      <c r="X306" s="5">
        <v>0.08</v>
      </c>
      <c r="Y306" s="5" t="str">
        <f t="shared" si="87"/>
        <v>Valid</v>
      </c>
      <c r="Z306" s="5">
        <f t="shared" si="88"/>
        <v>0.08</v>
      </c>
      <c r="AA306" s="5">
        <v>12</v>
      </c>
      <c r="AB306">
        <f t="shared" si="89"/>
        <v>5932.7856000000002</v>
      </c>
      <c r="AC306">
        <f t="shared" si="77"/>
        <v>2779.56</v>
      </c>
      <c r="AD306">
        <f t="shared" si="90"/>
        <v>3153.2256000000002</v>
      </c>
      <c r="AE306">
        <f t="shared" si="91"/>
        <v>0.53149158129024587</v>
      </c>
      <c r="AF306">
        <f t="shared" si="92"/>
        <v>1</v>
      </c>
      <c r="AG306">
        <f t="shared" si="93"/>
        <v>0</v>
      </c>
      <c r="AK306">
        <f>AA306*(1+What_if_Analysis!$B$4)</f>
        <v>14.399999999999999</v>
      </c>
      <c r="AL306" s="5">
        <f>MIN(Z306,What_if_Analysis!$B$2)</f>
        <v>0.05</v>
      </c>
      <c r="AM306">
        <f t="shared" si="94"/>
        <v>7351.4951999999994</v>
      </c>
      <c r="AN306">
        <f>AM306-(AK306*(T306*(1+What_if_Analysis!$B$3)))</f>
        <v>-1160.7623999999996</v>
      </c>
    </row>
    <row r="307" spans="1:40" x14ac:dyDescent="0.3">
      <c r="A307" t="s">
        <v>319</v>
      </c>
      <c r="B307" s="3">
        <v>45756</v>
      </c>
      <c r="C307" s="3" t="str">
        <f t="shared" si="78"/>
        <v>Apr-2025</v>
      </c>
      <c r="D307" s="3" t="str">
        <f t="shared" si="79"/>
        <v>Q2-2025</v>
      </c>
      <c r="E307" s="3">
        <v>45759</v>
      </c>
      <c r="F307" s="3" t="str">
        <f t="shared" si="80"/>
        <v>Valid</v>
      </c>
      <c r="G307" s="12">
        <f t="shared" si="81"/>
        <v>3</v>
      </c>
      <c r="H307" s="3">
        <f t="shared" si="82"/>
        <v>45759</v>
      </c>
      <c r="I307" t="s">
        <v>649</v>
      </c>
      <c r="J307" t="str">
        <f t="shared" si="83"/>
        <v>Europe → France → Lyon</v>
      </c>
      <c r="K307" s="3" t="str">
        <f t="shared" si="84"/>
        <v>France-2025-04</v>
      </c>
      <c r="L307" t="s">
        <v>657</v>
      </c>
      <c r="M307" t="s">
        <v>679</v>
      </c>
      <c r="N307" t="s">
        <v>705</v>
      </c>
      <c r="O307" t="s">
        <v>710</v>
      </c>
      <c r="P307" t="s">
        <v>722</v>
      </c>
      <c r="Q307" t="s">
        <v>732</v>
      </c>
      <c r="R307" t="s">
        <v>1039</v>
      </c>
      <c r="S307" s="5">
        <v>86.68</v>
      </c>
      <c r="T307" s="5">
        <v>213.32</v>
      </c>
      <c r="U307" s="5" t="str">
        <f t="shared" si="85"/>
        <v>Valid</v>
      </c>
      <c r="V307" s="5">
        <f t="shared" si="76"/>
        <v>213.32</v>
      </c>
      <c r="W307" s="5" t="str">
        <f t="shared" si="86"/>
        <v>Low</v>
      </c>
      <c r="X307" s="5">
        <v>3.7999999999999999E-2</v>
      </c>
      <c r="Y307" s="5" t="str">
        <f t="shared" si="87"/>
        <v>Valid</v>
      </c>
      <c r="Z307" s="5">
        <f t="shared" si="88"/>
        <v>3.7999999999999999E-2</v>
      </c>
      <c r="AA307" s="5">
        <v>8</v>
      </c>
      <c r="AB307">
        <f t="shared" si="89"/>
        <v>1641.7107199999998</v>
      </c>
      <c r="AC307">
        <f t="shared" si="77"/>
        <v>693.44</v>
      </c>
      <c r="AD307">
        <f t="shared" si="90"/>
        <v>948.27071999999976</v>
      </c>
      <c r="AE307">
        <f t="shared" si="91"/>
        <v>0.57761133459614611</v>
      </c>
      <c r="AF307">
        <f t="shared" si="92"/>
        <v>1</v>
      </c>
      <c r="AG307">
        <f t="shared" si="93"/>
        <v>0</v>
      </c>
      <c r="AK307">
        <f>AA307*(1+What_if_Analysis!$B$4)</f>
        <v>9.6</v>
      </c>
      <c r="AL307" s="5">
        <f>MIN(Z307,What_if_Analysis!$B$2)</f>
        <v>3.7999999999999999E-2</v>
      </c>
      <c r="AM307">
        <f t="shared" si="94"/>
        <v>1970.0528639999998</v>
      </c>
      <c r="AN307">
        <f>AM307-(AK307*(T307*(1+What_if_Analysis!$B$3)))</f>
        <v>-282.60633600000028</v>
      </c>
    </row>
    <row r="308" spans="1:40" x14ac:dyDescent="0.3">
      <c r="A308" t="s">
        <v>320</v>
      </c>
      <c r="B308" s="3">
        <v>45741</v>
      </c>
      <c r="C308" s="3" t="str">
        <f t="shared" si="78"/>
        <v>Mar-2025</v>
      </c>
      <c r="D308" s="3" t="str">
        <f t="shared" si="79"/>
        <v>Q1-2025</v>
      </c>
      <c r="E308" s="3">
        <v>45742</v>
      </c>
      <c r="F308" s="3" t="str">
        <f t="shared" si="80"/>
        <v>Valid</v>
      </c>
      <c r="G308" s="12">
        <f t="shared" si="81"/>
        <v>1</v>
      </c>
      <c r="H308" s="3">
        <f t="shared" si="82"/>
        <v>45742</v>
      </c>
      <c r="I308" t="s">
        <v>646</v>
      </c>
      <c r="J308" t="str">
        <f t="shared" si="83"/>
        <v>Africa → Nigeria → Lagos</v>
      </c>
      <c r="K308" s="3" t="str">
        <f t="shared" si="84"/>
        <v>Nigeria-2025-03</v>
      </c>
      <c r="L308" t="s">
        <v>651</v>
      </c>
      <c r="M308" t="s">
        <v>665</v>
      </c>
      <c r="N308" t="s">
        <v>702</v>
      </c>
      <c r="O308" t="s">
        <v>710</v>
      </c>
      <c r="P308" t="s">
        <v>715</v>
      </c>
      <c r="Q308" t="s">
        <v>733</v>
      </c>
      <c r="R308" t="s">
        <v>1040</v>
      </c>
      <c r="S308" s="5">
        <v>1450.43</v>
      </c>
      <c r="T308" s="5">
        <v>1994.67</v>
      </c>
      <c r="U308" s="5" t="str">
        <f t="shared" si="85"/>
        <v>Valid</v>
      </c>
      <c r="V308" s="5">
        <f t="shared" si="76"/>
        <v>1994.67</v>
      </c>
      <c r="W308" s="5" t="str">
        <f t="shared" si="86"/>
        <v>High</v>
      </c>
      <c r="X308" s="5">
        <v>0.1</v>
      </c>
      <c r="Y308" s="5" t="str">
        <f t="shared" si="87"/>
        <v>Valid</v>
      </c>
      <c r="Z308" s="5">
        <f t="shared" si="88"/>
        <v>0.1</v>
      </c>
      <c r="AA308" s="5">
        <v>24</v>
      </c>
      <c r="AB308">
        <f t="shared" si="89"/>
        <v>43084.872000000003</v>
      </c>
      <c r="AC308">
        <f t="shared" si="77"/>
        <v>34810.32</v>
      </c>
      <c r="AD308">
        <f t="shared" si="90"/>
        <v>8274.5520000000033</v>
      </c>
      <c r="AE308">
        <f t="shared" si="91"/>
        <v>0.19205237513529116</v>
      </c>
      <c r="AF308">
        <f t="shared" si="92"/>
        <v>1</v>
      </c>
      <c r="AG308">
        <f t="shared" si="93"/>
        <v>0</v>
      </c>
      <c r="AK308">
        <f>AA308*(1+What_if_Analysis!$B$4)</f>
        <v>28.799999999999997</v>
      </c>
      <c r="AL308" s="5">
        <f>MIN(Z308,What_if_Analysis!$B$2)</f>
        <v>0.05</v>
      </c>
      <c r="AM308">
        <f t="shared" si="94"/>
        <v>54574.171199999997</v>
      </c>
      <c r="AN308">
        <f>AM308-(AK308*(T308*(1+What_if_Analysis!$B$3)))</f>
        <v>-8616.9743999999992</v>
      </c>
    </row>
    <row r="309" spans="1:40" x14ac:dyDescent="0.3">
      <c r="A309" t="s">
        <v>321</v>
      </c>
      <c r="B309" s="3">
        <v>45795</v>
      </c>
      <c r="C309" s="3" t="str">
        <f t="shared" si="78"/>
        <v>May-2025</v>
      </c>
      <c r="D309" s="3" t="str">
        <f t="shared" si="79"/>
        <v>Q2-2025</v>
      </c>
      <c r="E309" s="3">
        <v>45817</v>
      </c>
      <c r="F309" s="3" t="str">
        <f t="shared" si="80"/>
        <v>Valid</v>
      </c>
      <c r="G309" s="12">
        <f t="shared" si="81"/>
        <v>22</v>
      </c>
      <c r="H309" s="3">
        <f t="shared" si="82"/>
        <v>45817</v>
      </c>
      <c r="I309" t="s">
        <v>648</v>
      </c>
      <c r="J309" t="str">
        <f t="shared" si="83"/>
        <v>Americas → USA → New York</v>
      </c>
      <c r="K309" s="3" t="str">
        <f t="shared" si="84"/>
        <v>USA-2025-05</v>
      </c>
      <c r="L309" t="s">
        <v>660</v>
      </c>
      <c r="M309" t="s">
        <v>700</v>
      </c>
      <c r="N309" t="s">
        <v>704</v>
      </c>
      <c r="O309" t="s">
        <v>707</v>
      </c>
      <c r="P309" t="s">
        <v>722</v>
      </c>
      <c r="Q309" t="s">
        <v>729</v>
      </c>
      <c r="R309" t="s">
        <v>1041</v>
      </c>
      <c r="S309" s="5">
        <v>382.96</v>
      </c>
      <c r="T309" s="5">
        <v>552.84</v>
      </c>
      <c r="U309" s="5" t="str">
        <f t="shared" si="85"/>
        <v>Valid</v>
      </c>
      <c r="V309" s="5">
        <f t="shared" si="76"/>
        <v>552.84</v>
      </c>
      <c r="W309" s="5" t="str">
        <f t="shared" si="86"/>
        <v>Low</v>
      </c>
      <c r="X309" s="5">
        <v>0.17599999999999999</v>
      </c>
      <c r="Y309" s="5" t="str">
        <f t="shared" si="87"/>
        <v>Valid</v>
      </c>
      <c r="Z309" s="5">
        <f t="shared" si="88"/>
        <v>0.17599999999999999</v>
      </c>
      <c r="AA309" s="5">
        <v>8</v>
      </c>
      <c r="AB309">
        <f t="shared" si="89"/>
        <v>3644.3212800000006</v>
      </c>
      <c r="AC309">
        <f t="shared" si="77"/>
        <v>3063.68</v>
      </c>
      <c r="AD309">
        <f t="shared" si="90"/>
        <v>580.64128000000073</v>
      </c>
      <c r="AE309">
        <f t="shared" si="91"/>
        <v>0.15932768693763483</v>
      </c>
      <c r="AF309">
        <f t="shared" si="92"/>
        <v>0</v>
      </c>
      <c r="AG309">
        <f t="shared" si="93"/>
        <v>0</v>
      </c>
      <c r="AK309">
        <f>AA309*(1+What_if_Analysis!$B$4)</f>
        <v>9.6</v>
      </c>
      <c r="AL309" s="5">
        <f>MIN(Z309,What_if_Analysis!$B$2)</f>
        <v>0.05</v>
      </c>
      <c r="AM309">
        <f t="shared" si="94"/>
        <v>5041.9007999999994</v>
      </c>
      <c r="AN309">
        <f>AM309-(AK309*(T309*(1+What_if_Analysis!$B$3)))</f>
        <v>-796.08960000000206</v>
      </c>
    </row>
    <row r="310" spans="1:40" x14ac:dyDescent="0.3">
      <c r="A310" t="s">
        <v>322</v>
      </c>
      <c r="B310" s="3">
        <v>45679</v>
      </c>
      <c r="C310" s="3" t="str">
        <f t="shared" si="78"/>
        <v>Jan-2025</v>
      </c>
      <c r="D310" s="3" t="str">
        <f t="shared" si="79"/>
        <v>Q1-2025</v>
      </c>
      <c r="E310" s="3">
        <v>45692</v>
      </c>
      <c r="F310" s="3" t="str">
        <f t="shared" si="80"/>
        <v>Valid</v>
      </c>
      <c r="G310" s="12">
        <f t="shared" si="81"/>
        <v>13</v>
      </c>
      <c r="H310" s="3">
        <f t="shared" si="82"/>
        <v>45692</v>
      </c>
      <c r="I310" t="s">
        <v>647</v>
      </c>
      <c r="J310" t="str">
        <f t="shared" si="83"/>
        <v>Asia → Japan → Tokyo</v>
      </c>
      <c r="K310" s="3" t="str">
        <f t="shared" si="84"/>
        <v>Japan-2025-01</v>
      </c>
      <c r="L310" t="s">
        <v>652</v>
      </c>
      <c r="M310" t="s">
        <v>689</v>
      </c>
      <c r="N310" t="s">
        <v>705</v>
      </c>
      <c r="O310" t="s">
        <v>710</v>
      </c>
      <c r="P310" t="s">
        <v>716</v>
      </c>
      <c r="Q310" t="s">
        <v>728</v>
      </c>
      <c r="R310" t="s">
        <v>1042</v>
      </c>
      <c r="S310" s="5">
        <v>122.29</v>
      </c>
      <c r="T310" s="5">
        <v>224.95</v>
      </c>
      <c r="U310" s="5" t="str">
        <f t="shared" si="85"/>
        <v>Valid</v>
      </c>
      <c r="V310" s="5">
        <f t="shared" si="76"/>
        <v>224.95</v>
      </c>
      <c r="W310" s="5" t="str">
        <f t="shared" si="86"/>
        <v>Low</v>
      </c>
      <c r="X310" s="5">
        <v>0.153</v>
      </c>
      <c r="Y310" s="5" t="str">
        <f t="shared" si="87"/>
        <v>Valid</v>
      </c>
      <c r="Z310" s="5">
        <f t="shared" si="88"/>
        <v>0.153</v>
      </c>
      <c r="AA310" s="5">
        <v>28</v>
      </c>
      <c r="AB310">
        <f t="shared" si="89"/>
        <v>5334.9141999999993</v>
      </c>
      <c r="AC310">
        <f t="shared" si="77"/>
        <v>3424.1200000000003</v>
      </c>
      <c r="AD310">
        <f t="shared" si="90"/>
        <v>1910.7941999999989</v>
      </c>
      <c r="AE310">
        <f t="shared" si="91"/>
        <v>0.3581677471026618</v>
      </c>
      <c r="AF310">
        <f t="shared" si="92"/>
        <v>0</v>
      </c>
      <c r="AG310">
        <f t="shared" si="93"/>
        <v>0</v>
      </c>
      <c r="AK310">
        <f>AA310*(1+What_if_Analysis!$B$4)</f>
        <v>33.6</v>
      </c>
      <c r="AL310" s="5">
        <f>MIN(Z310,What_if_Analysis!$B$2)</f>
        <v>0.05</v>
      </c>
      <c r="AM310">
        <f t="shared" si="94"/>
        <v>7180.4039999999995</v>
      </c>
      <c r="AN310">
        <f>AM310-(AK310*(T310*(1+What_if_Analysis!$B$3)))</f>
        <v>-1133.7480000000023</v>
      </c>
    </row>
    <row r="311" spans="1:40" x14ac:dyDescent="0.3">
      <c r="A311" t="s">
        <v>323</v>
      </c>
      <c r="B311" s="3">
        <v>44936</v>
      </c>
      <c r="C311" s="3" t="str">
        <f t="shared" si="78"/>
        <v>Jan-2023</v>
      </c>
      <c r="D311" s="3" t="str">
        <f t="shared" si="79"/>
        <v>Q1-2023</v>
      </c>
      <c r="E311" s="3">
        <v>44955</v>
      </c>
      <c r="F311" s="3" t="str">
        <f t="shared" si="80"/>
        <v>Valid</v>
      </c>
      <c r="G311" s="12">
        <f t="shared" si="81"/>
        <v>19</v>
      </c>
      <c r="H311" s="3">
        <f t="shared" si="82"/>
        <v>44955</v>
      </c>
      <c r="I311" t="s">
        <v>649</v>
      </c>
      <c r="J311" t="str">
        <f t="shared" si="83"/>
        <v>Europe → France → Lyon</v>
      </c>
      <c r="K311" s="3" t="str">
        <f t="shared" si="84"/>
        <v>France-2023-01</v>
      </c>
      <c r="L311" t="s">
        <v>657</v>
      </c>
      <c r="M311" t="s">
        <v>679</v>
      </c>
      <c r="N311" t="s">
        <v>703</v>
      </c>
      <c r="O311" t="s">
        <v>711</v>
      </c>
      <c r="P311" t="s">
        <v>726</v>
      </c>
      <c r="Q311" t="s">
        <v>731</v>
      </c>
      <c r="R311" t="s">
        <v>1043</v>
      </c>
      <c r="S311" s="5">
        <v>401.66</v>
      </c>
      <c r="T311" s="5">
        <v>772.09</v>
      </c>
      <c r="U311" s="5" t="str">
        <f t="shared" si="85"/>
        <v>Valid</v>
      </c>
      <c r="V311" s="5">
        <f t="shared" si="76"/>
        <v>772.09</v>
      </c>
      <c r="W311" s="5" t="str">
        <f t="shared" si="86"/>
        <v>Medium</v>
      </c>
      <c r="X311" s="5">
        <v>8.8999999999999996E-2</v>
      </c>
      <c r="Y311" s="5" t="str">
        <f t="shared" si="87"/>
        <v>Valid</v>
      </c>
      <c r="Z311" s="5">
        <f t="shared" si="88"/>
        <v>8.8999999999999996E-2</v>
      </c>
      <c r="AA311" s="5">
        <v>14</v>
      </c>
      <c r="AB311">
        <f t="shared" si="89"/>
        <v>9847.2358600000007</v>
      </c>
      <c r="AC311">
        <f t="shared" si="77"/>
        <v>5623.2400000000007</v>
      </c>
      <c r="AD311">
        <f t="shared" si="90"/>
        <v>4223.99586</v>
      </c>
      <c r="AE311">
        <f t="shared" si="91"/>
        <v>0.42895244107619046</v>
      </c>
      <c r="AF311">
        <f t="shared" si="92"/>
        <v>0</v>
      </c>
      <c r="AG311">
        <f t="shared" si="93"/>
        <v>0</v>
      </c>
      <c r="AK311">
        <f>AA311*(1+What_if_Analysis!$B$4)</f>
        <v>16.8</v>
      </c>
      <c r="AL311" s="5">
        <f>MIN(Z311,What_if_Analysis!$B$2)</f>
        <v>0.05</v>
      </c>
      <c r="AM311">
        <f t="shared" si="94"/>
        <v>12322.556399999999</v>
      </c>
      <c r="AN311">
        <f>AM311-(AK311*(T311*(1+What_if_Analysis!$B$3)))</f>
        <v>-1945.6668000000027</v>
      </c>
    </row>
    <row r="312" spans="1:40" x14ac:dyDescent="0.3">
      <c r="A312" t="s">
        <v>324</v>
      </c>
      <c r="B312" s="3">
        <v>45655</v>
      </c>
      <c r="C312" s="3" t="str">
        <f t="shared" si="78"/>
        <v>Dec-2024</v>
      </c>
      <c r="D312" s="3" t="str">
        <f t="shared" si="79"/>
        <v>Q4-2024</v>
      </c>
      <c r="E312" s="3">
        <v>45669</v>
      </c>
      <c r="F312" s="3" t="str">
        <f t="shared" si="80"/>
        <v>Valid</v>
      </c>
      <c r="G312" s="12">
        <f t="shared" si="81"/>
        <v>14</v>
      </c>
      <c r="H312" s="3">
        <f t="shared" si="82"/>
        <v>45669</v>
      </c>
      <c r="I312" t="s">
        <v>649</v>
      </c>
      <c r="J312" t="str">
        <f t="shared" si="83"/>
        <v>Europe → United Kingdom → Manchester</v>
      </c>
      <c r="K312" s="3" t="str">
        <f t="shared" si="84"/>
        <v>United Kingdom-2024-12</v>
      </c>
      <c r="L312" t="s">
        <v>658</v>
      </c>
      <c r="M312" t="s">
        <v>693</v>
      </c>
      <c r="N312" t="s">
        <v>701</v>
      </c>
      <c r="O312" t="s">
        <v>711</v>
      </c>
      <c r="P312" t="s">
        <v>717</v>
      </c>
      <c r="Q312" t="s">
        <v>732</v>
      </c>
      <c r="R312" t="s">
        <v>1044</v>
      </c>
      <c r="S312" s="5">
        <v>1399.72</v>
      </c>
      <c r="T312" s="5">
        <v>3149.21</v>
      </c>
      <c r="U312" s="5" t="str">
        <f t="shared" si="85"/>
        <v>Valid</v>
      </c>
      <c r="V312" s="5">
        <f t="shared" si="76"/>
        <v>3149.21</v>
      </c>
      <c r="W312" s="5" t="str">
        <f t="shared" si="86"/>
        <v>High</v>
      </c>
      <c r="X312" s="5">
        <v>0.185</v>
      </c>
      <c r="Y312" s="5" t="str">
        <f t="shared" si="87"/>
        <v>Valid</v>
      </c>
      <c r="Z312" s="5">
        <f t="shared" si="88"/>
        <v>0.185</v>
      </c>
      <c r="AA312" s="5">
        <v>12</v>
      </c>
      <c r="AB312">
        <f t="shared" si="89"/>
        <v>30799.273800000003</v>
      </c>
      <c r="AC312">
        <f t="shared" si="77"/>
        <v>16796.64</v>
      </c>
      <c r="AD312">
        <f t="shared" si="90"/>
        <v>14002.633800000003</v>
      </c>
      <c r="AE312">
        <f t="shared" si="91"/>
        <v>0.45464168703873797</v>
      </c>
      <c r="AF312">
        <f t="shared" si="92"/>
        <v>0</v>
      </c>
      <c r="AG312">
        <f t="shared" si="93"/>
        <v>0</v>
      </c>
      <c r="AK312">
        <f>AA312*(1+What_if_Analysis!$B$4)</f>
        <v>14.399999999999999</v>
      </c>
      <c r="AL312" s="5">
        <f>MIN(Z312,What_if_Analysis!$B$2)</f>
        <v>0.05</v>
      </c>
      <c r="AM312">
        <f t="shared" si="94"/>
        <v>43081.192799999997</v>
      </c>
      <c r="AN312">
        <f>AM312-(AK312*(T312*(1+What_if_Analysis!$B$3)))</f>
        <v>-6802.2936000000045</v>
      </c>
    </row>
    <row r="313" spans="1:40" x14ac:dyDescent="0.3">
      <c r="A313" t="s">
        <v>325</v>
      </c>
      <c r="B313" s="3">
        <v>45435</v>
      </c>
      <c r="C313" s="3" t="str">
        <f t="shared" si="78"/>
        <v>May-2024</v>
      </c>
      <c r="D313" s="3" t="str">
        <f t="shared" si="79"/>
        <v>Q2-2024</v>
      </c>
      <c r="E313" s="3">
        <v>45449</v>
      </c>
      <c r="F313" s="3" t="str">
        <f t="shared" si="80"/>
        <v>Valid</v>
      </c>
      <c r="G313" s="12">
        <f t="shared" si="81"/>
        <v>14</v>
      </c>
      <c r="H313" s="3">
        <f t="shared" si="82"/>
        <v>45449</v>
      </c>
      <c r="I313" t="s">
        <v>648</v>
      </c>
      <c r="J313" t="str">
        <f t="shared" si="83"/>
        <v>Americas → Brazil → Rio de Janeiro</v>
      </c>
      <c r="K313" s="3" t="str">
        <f t="shared" si="84"/>
        <v>Brazil-2024-05</v>
      </c>
      <c r="L313" t="s">
        <v>655</v>
      </c>
      <c r="M313" t="s">
        <v>692</v>
      </c>
      <c r="N313" t="s">
        <v>703</v>
      </c>
      <c r="O313" t="s">
        <v>708</v>
      </c>
      <c r="P313" t="s">
        <v>714</v>
      </c>
      <c r="Q313" t="s">
        <v>729</v>
      </c>
      <c r="R313" t="s">
        <v>1045</v>
      </c>
      <c r="S313" s="5">
        <v>51.13</v>
      </c>
      <c r="T313" s="5">
        <v>57.53</v>
      </c>
      <c r="U313" s="5" t="str">
        <f t="shared" si="85"/>
        <v>Valid</v>
      </c>
      <c r="V313" s="5">
        <f t="shared" si="76"/>
        <v>57.53</v>
      </c>
      <c r="W313" s="5" t="str">
        <f t="shared" si="86"/>
        <v>Low</v>
      </c>
      <c r="X313" s="5">
        <v>4.4999999999999998E-2</v>
      </c>
      <c r="Y313" s="5" t="str">
        <f t="shared" si="87"/>
        <v>Valid</v>
      </c>
      <c r="Z313" s="5">
        <f t="shared" si="88"/>
        <v>4.4999999999999998E-2</v>
      </c>
      <c r="AA313" s="5">
        <v>16</v>
      </c>
      <c r="AB313">
        <f t="shared" si="89"/>
        <v>879.05840000000001</v>
      </c>
      <c r="AC313">
        <f t="shared" si="77"/>
        <v>818.08</v>
      </c>
      <c r="AD313">
        <f t="shared" si="90"/>
        <v>60.978399999999965</v>
      </c>
      <c r="AE313">
        <f t="shared" si="91"/>
        <v>6.9367859973808302E-2</v>
      </c>
      <c r="AF313">
        <f t="shared" si="92"/>
        <v>0</v>
      </c>
      <c r="AG313">
        <f t="shared" si="93"/>
        <v>0</v>
      </c>
      <c r="AK313">
        <f>AA313*(1+What_if_Analysis!$B$4)</f>
        <v>19.2</v>
      </c>
      <c r="AL313" s="5">
        <f>MIN(Z313,What_if_Analysis!$B$2)</f>
        <v>4.4999999999999998E-2</v>
      </c>
      <c r="AM313">
        <f t="shared" si="94"/>
        <v>1054.8700799999999</v>
      </c>
      <c r="AN313">
        <f>AM313-(AK313*(T313*(1+What_if_Analysis!$B$3)))</f>
        <v>-160.16352000000029</v>
      </c>
    </row>
    <row r="314" spans="1:40" x14ac:dyDescent="0.3">
      <c r="A314" t="s">
        <v>326</v>
      </c>
      <c r="B314" s="3">
        <v>45101</v>
      </c>
      <c r="C314" s="3" t="str">
        <f t="shared" si="78"/>
        <v>Jun-2023</v>
      </c>
      <c r="D314" s="3" t="str">
        <f t="shared" si="79"/>
        <v>Q2-2023</v>
      </c>
      <c r="E314" s="3">
        <v>45099</v>
      </c>
      <c r="F314" s="3" t="str">
        <f t="shared" si="80"/>
        <v>Invalid RequiredDate</v>
      </c>
      <c r="G314" s="12">
        <f t="shared" si="81"/>
        <v>-2</v>
      </c>
      <c r="H314" s="3">
        <f t="shared" si="82"/>
        <v>45127</v>
      </c>
      <c r="I314" t="s">
        <v>648</v>
      </c>
      <c r="J314" t="str">
        <f t="shared" si="83"/>
        <v>Americas → Canada → Toronto</v>
      </c>
      <c r="K314" s="3" t="str">
        <f t="shared" si="84"/>
        <v>Canada-2023-06</v>
      </c>
      <c r="L314" t="s">
        <v>653</v>
      </c>
      <c r="M314" t="s">
        <v>667</v>
      </c>
      <c r="N314" t="s">
        <v>703</v>
      </c>
      <c r="O314" t="s">
        <v>707</v>
      </c>
      <c r="P314" t="s">
        <v>724</v>
      </c>
      <c r="Q314" t="s">
        <v>733</v>
      </c>
      <c r="R314" t="s">
        <v>1046</v>
      </c>
      <c r="S314" s="5">
        <v>471.42</v>
      </c>
      <c r="T314" s="5">
        <v>824.81</v>
      </c>
      <c r="U314" s="5" t="str">
        <f t="shared" si="85"/>
        <v>Valid</v>
      </c>
      <c r="V314" s="5">
        <f t="shared" si="76"/>
        <v>824.81</v>
      </c>
      <c r="W314" s="5" t="str">
        <f t="shared" si="86"/>
        <v>Medium</v>
      </c>
      <c r="X314" s="5">
        <v>8.7999999999999995E-2</v>
      </c>
      <c r="Y314" s="5" t="str">
        <f t="shared" si="87"/>
        <v>Valid</v>
      </c>
      <c r="Z314" s="5">
        <f t="shared" si="88"/>
        <v>8.7999999999999995E-2</v>
      </c>
      <c r="AA314" s="5">
        <v>15</v>
      </c>
      <c r="AB314">
        <f t="shared" si="89"/>
        <v>11283.400799999999</v>
      </c>
      <c r="AC314">
        <f t="shared" si="77"/>
        <v>7071.3</v>
      </c>
      <c r="AD314">
        <f t="shared" si="90"/>
        <v>4212.1007999999993</v>
      </c>
      <c r="AE314">
        <f t="shared" si="91"/>
        <v>0.37330064531608231</v>
      </c>
      <c r="AF314">
        <f t="shared" si="92"/>
        <v>1</v>
      </c>
      <c r="AG314">
        <f t="shared" si="93"/>
        <v>0</v>
      </c>
      <c r="AK314">
        <f>AA314*(1+What_if_Analysis!$B$4)</f>
        <v>18</v>
      </c>
      <c r="AL314" s="5">
        <f>MIN(Z314,What_if_Analysis!$B$2)</f>
        <v>0.05</v>
      </c>
      <c r="AM314">
        <f t="shared" si="94"/>
        <v>14104.250999999998</v>
      </c>
      <c r="AN314">
        <f>AM314-(AK314*(T314*(1+What_if_Analysis!$B$3)))</f>
        <v>-2226.9870000000028</v>
      </c>
    </row>
    <row r="315" spans="1:40" x14ac:dyDescent="0.3">
      <c r="A315" t="s">
        <v>327</v>
      </c>
      <c r="B315" s="3">
        <v>45600</v>
      </c>
      <c r="C315" s="3" t="str">
        <f t="shared" si="78"/>
        <v>Nov-2024</v>
      </c>
      <c r="D315" s="3" t="str">
        <f t="shared" si="79"/>
        <v>Q4-2024</v>
      </c>
      <c r="E315" s="3">
        <v>45601</v>
      </c>
      <c r="F315" s="3" t="str">
        <f t="shared" si="80"/>
        <v>Valid</v>
      </c>
      <c r="G315" s="12">
        <f t="shared" si="81"/>
        <v>1</v>
      </c>
      <c r="H315" s="3">
        <f t="shared" si="82"/>
        <v>45601</v>
      </c>
      <c r="I315" t="s">
        <v>649</v>
      </c>
      <c r="J315" t="str">
        <f t="shared" si="83"/>
        <v>Europe → United Kingdom → London</v>
      </c>
      <c r="K315" s="3" t="str">
        <f t="shared" si="84"/>
        <v>United Kingdom-2024-11</v>
      </c>
      <c r="L315" t="s">
        <v>658</v>
      </c>
      <c r="M315" t="s">
        <v>683</v>
      </c>
      <c r="N315" t="s">
        <v>701</v>
      </c>
      <c r="O315" t="s">
        <v>707</v>
      </c>
      <c r="P315" t="s">
        <v>724</v>
      </c>
      <c r="Q315" t="s">
        <v>728</v>
      </c>
      <c r="R315" t="s">
        <v>1047</v>
      </c>
      <c r="S315" s="5">
        <v>840.68</v>
      </c>
      <c r="T315" s="5">
        <v>1493.53</v>
      </c>
      <c r="U315" s="5" t="str">
        <f t="shared" si="85"/>
        <v>Valid</v>
      </c>
      <c r="V315" s="5">
        <f t="shared" si="76"/>
        <v>1493.53</v>
      </c>
      <c r="W315" s="5" t="str">
        <f t="shared" si="86"/>
        <v>Medium</v>
      </c>
      <c r="X315" s="5">
        <v>0</v>
      </c>
      <c r="Y315" s="5" t="str">
        <f t="shared" si="87"/>
        <v>Valid</v>
      </c>
      <c r="Z315" s="5">
        <f t="shared" si="88"/>
        <v>0</v>
      </c>
      <c r="AA315" s="5">
        <v>27</v>
      </c>
      <c r="AB315">
        <f t="shared" si="89"/>
        <v>40325.31</v>
      </c>
      <c r="AC315">
        <f t="shared" si="77"/>
        <v>22698.359999999997</v>
      </c>
      <c r="AD315">
        <f t="shared" si="90"/>
        <v>17626.95</v>
      </c>
      <c r="AE315">
        <f t="shared" si="91"/>
        <v>0.43711877230454027</v>
      </c>
      <c r="AF315">
        <f t="shared" si="92"/>
        <v>1</v>
      </c>
      <c r="AG315">
        <f t="shared" si="93"/>
        <v>0</v>
      </c>
      <c r="AK315">
        <f>AA315*(1+What_if_Analysis!$B$4)</f>
        <v>32.4</v>
      </c>
      <c r="AL315" s="5">
        <f>MIN(Z315,What_if_Analysis!$B$2)</f>
        <v>0</v>
      </c>
      <c r="AM315">
        <f t="shared" si="94"/>
        <v>48390.371999999996</v>
      </c>
      <c r="AN315">
        <f>AM315-(AK315*(T315*(1+What_if_Analysis!$B$3)))</f>
        <v>-4839.0372000000061</v>
      </c>
    </row>
    <row r="316" spans="1:40" x14ac:dyDescent="0.3">
      <c r="A316" t="s">
        <v>328</v>
      </c>
      <c r="B316" s="3">
        <v>45451</v>
      </c>
      <c r="C316" s="3" t="str">
        <f t="shared" si="78"/>
        <v>Jun-2024</v>
      </c>
      <c r="D316" s="3" t="str">
        <f t="shared" si="79"/>
        <v>Q2-2024</v>
      </c>
      <c r="E316" s="3">
        <v>45467</v>
      </c>
      <c r="F316" s="3" t="str">
        <f t="shared" si="80"/>
        <v>Valid</v>
      </c>
      <c r="G316" s="12">
        <f t="shared" si="81"/>
        <v>16</v>
      </c>
      <c r="H316" s="3">
        <f t="shared" si="82"/>
        <v>45467</v>
      </c>
      <c r="I316" t="s">
        <v>646</v>
      </c>
      <c r="J316" t="str">
        <f t="shared" si="83"/>
        <v>Africa → South Africa → Durban</v>
      </c>
      <c r="K316" s="3" t="str">
        <f t="shared" si="84"/>
        <v>South Africa-2024-06</v>
      </c>
      <c r="L316" t="s">
        <v>661</v>
      </c>
      <c r="M316" t="s">
        <v>687</v>
      </c>
      <c r="N316" t="s">
        <v>702</v>
      </c>
      <c r="O316" t="s">
        <v>710</v>
      </c>
      <c r="P316" t="s">
        <v>722</v>
      </c>
      <c r="Q316" t="s">
        <v>732</v>
      </c>
      <c r="R316" t="s">
        <v>1048</v>
      </c>
      <c r="S316" s="5">
        <v>597.85</v>
      </c>
      <c r="T316" s="5">
        <v>741.92</v>
      </c>
      <c r="U316" s="5" t="str">
        <f t="shared" si="85"/>
        <v>Valid</v>
      </c>
      <c r="V316" s="5">
        <f t="shared" si="76"/>
        <v>741.92</v>
      </c>
      <c r="W316" s="5" t="str">
        <f t="shared" si="86"/>
        <v>Medium</v>
      </c>
      <c r="X316" s="5">
        <v>3.1E-2</v>
      </c>
      <c r="Y316" s="5" t="str">
        <f t="shared" si="87"/>
        <v>Valid</v>
      </c>
      <c r="Z316" s="5">
        <f t="shared" si="88"/>
        <v>3.1E-2</v>
      </c>
      <c r="AA316" s="5">
        <v>7</v>
      </c>
      <c r="AB316">
        <f t="shared" si="89"/>
        <v>5032.4433599999993</v>
      </c>
      <c r="AC316">
        <f t="shared" si="77"/>
        <v>4184.95</v>
      </c>
      <c r="AD316">
        <f t="shared" si="90"/>
        <v>847.49335999999948</v>
      </c>
      <c r="AE316">
        <f t="shared" si="91"/>
        <v>0.16840594108544515</v>
      </c>
      <c r="AF316">
        <f t="shared" si="92"/>
        <v>0</v>
      </c>
      <c r="AG316">
        <f t="shared" si="93"/>
        <v>0</v>
      </c>
      <c r="AK316">
        <f>AA316*(1+What_if_Analysis!$B$4)</f>
        <v>8.4</v>
      </c>
      <c r="AL316" s="5">
        <f>MIN(Z316,What_if_Analysis!$B$2)</f>
        <v>3.1E-2</v>
      </c>
      <c r="AM316">
        <f t="shared" si="94"/>
        <v>6038.9320319999997</v>
      </c>
      <c r="AN316">
        <f>AM316-(AK316*(T316*(1+What_if_Analysis!$B$3)))</f>
        <v>-816.40876800000024</v>
      </c>
    </row>
    <row r="317" spans="1:40" x14ac:dyDescent="0.3">
      <c r="A317" t="s">
        <v>329</v>
      </c>
      <c r="B317" s="3">
        <v>45809</v>
      </c>
      <c r="C317" s="3" t="str">
        <f t="shared" si="78"/>
        <v>Jun-2025</v>
      </c>
      <c r="D317" s="3" t="str">
        <f t="shared" si="79"/>
        <v>Q2-2025</v>
      </c>
      <c r="E317" s="3">
        <v>45814</v>
      </c>
      <c r="F317" s="3" t="str">
        <f t="shared" si="80"/>
        <v>Valid</v>
      </c>
      <c r="G317" s="12">
        <f t="shared" si="81"/>
        <v>5</v>
      </c>
      <c r="H317" s="3">
        <f t="shared" si="82"/>
        <v>45814</v>
      </c>
      <c r="I317" t="s">
        <v>649</v>
      </c>
      <c r="J317" t="str">
        <f t="shared" si="83"/>
        <v>Europe → France → Paris</v>
      </c>
      <c r="K317" s="3" t="str">
        <f t="shared" si="84"/>
        <v>France-2025-06</v>
      </c>
      <c r="L317" t="s">
        <v>657</v>
      </c>
      <c r="M317" t="s">
        <v>690</v>
      </c>
      <c r="N317" t="s">
        <v>704</v>
      </c>
      <c r="O317" t="s">
        <v>710</v>
      </c>
      <c r="P317" t="s">
        <v>715</v>
      </c>
      <c r="Q317" t="s">
        <v>727</v>
      </c>
      <c r="R317" t="s">
        <v>1049</v>
      </c>
      <c r="S317" s="5">
        <v>379.45</v>
      </c>
      <c r="T317" s="5">
        <v>742.23</v>
      </c>
      <c r="U317" s="5" t="str">
        <f t="shared" si="85"/>
        <v>Valid</v>
      </c>
      <c r="V317" s="5">
        <f t="shared" si="76"/>
        <v>742.23</v>
      </c>
      <c r="W317" s="5" t="str">
        <f t="shared" si="86"/>
        <v>Medium</v>
      </c>
      <c r="X317" s="5">
        <v>0.09</v>
      </c>
      <c r="Y317" s="5" t="str">
        <f t="shared" si="87"/>
        <v>Valid</v>
      </c>
      <c r="Z317" s="5">
        <f t="shared" si="88"/>
        <v>0.09</v>
      </c>
      <c r="AA317" s="5">
        <v>13</v>
      </c>
      <c r="AB317">
        <f t="shared" si="89"/>
        <v>8780.5809000000008</v>
      </c>
      <c r="AC317">
        <f t="shared" si="77"/>
        <v>4932.8499999999995</v>
      </c>
      <c r="AD317">
        <f t="shared" si="90"/>
        <v>3847.7309000000014</v>
      </c>
      <c r="AE317">
        <f t="shared" si="91"/>
        <v>0.43820915083192286</v>
      </c>
      <c r="AF317">
        <f t="shared" si="92"/>
        <v>1</v>
      </c>
      <c r="AG317">
        <f t="shared" si="93"/>
        <v>0</v>
      </c>
      <c r="AK317">
        <f>AA317*(1+What_if_Analysis!$B$4)</f>
        <v>15.6</v>
      </c>
      <c r="AL317" s="5">
        <f>MIN(Z317,What_if_Analysis!$B$2)</f>
        <v>0.05</v>
      </c>
      <c r="AM317">
        <f t="shared" si="94"/>
        <v>10999.848599999999</v>
      </c>
      <c r="AN317">
        <f>AM317-(AK317*(T317*(1+What_if_Analysis!$B$3)))</f>
        <v>-1736.8182000000015</v>
      </c>
    </row>
    <row r="318" spans="1:40" x14ac:dyDescent="0.3">
      <c r="A318" t="s">
        <v>330</v>
      </c>
      <c r="B318" s="3">
        <v>45052</v>
      </c>
      <c r="C318" s="3" t="str">
        <f t="shared" si="78"/>
        <v>May-2023</v>
      </c>
      <c r="D318" s="3" t="str">
        <f t="shared" si="79"/>
        <v>Q2-2023</v>
      </c>
      <c r="E318" s="3">
        <v>45060</v>
      </c>
      <c r="F318" s="3" t="str">
        <f t="shared" si="80"/>
        <v>Valid</v>
      </c>
      <c r="G318" s="12">
        <f t="shared" si="81"/>
        <v>8</v>
      </c>
      <c r="H318" s="3">
        <f t="shared" si="82"/>
        <v>45060</v>
      </c>
      <c r="I318" t="s">
        <v>647</v>
      </c>
      <c r="J318" t="str">
        <f t="shared" si="83"/>
        <v>Asia → Japan → Osaka</v>
      </c>
      <c r="K318" s="3" t="str">
        <f t="shared" si="84"/>
        <v>Japan-2023-05</v>
      </c>
      <c r="L318" t="s">
        <v>652</v>
      </c>
      <c r="M318" t="s">
        <v>666</v>
      </c>
      <c r="N318" t="s">
        <v>706</v>
      </c>
      <c r="O318" t="s">
        <v>709</v>
      </c>
      <c r="P318" t="s">
        <v>717</v>
      </c>
      <c r="Q318" t="s">
        <v>730</v>
      </c>
      <c r="R318" t="s">
        <v>1050</v>
      </c>
      <c r="S318" s="5">
        <v>291.18</v>
      </c>
      <c r="T318" s="5">
        <v>479.54</v>
      </c>
      <c r="U318" s="5" t="str">
        <f t="shared" si="85"/>
        <v>Valid</v>
      </c>
      <c r="V318" s="5">
        <f t="shared" si="76"/>
        <v>479.54</v>
      </c>
      <c r="W318" s="5" t="str">
        <f t="shared" si="86"/>
        <v>Low</v>
      </c>
      <c r="X318" s="5">
        <v>0.14099999999999999</v>
      </c>
      <c r="Y318" s="5" t="str">
        <f t="shared" si="87"/>
        <v>Valid</v>
      </c>
      <c r="Z318" s="5">
        <f t="shared" si="88"/>
        <v>0.14099999999999999</v>
      </c>
      <c r="AA318" s="5">
        <v>22</v>
      </c>
      <c r="AB318">
        <f t="shared" si="89"/>
        <v>9062.34692</v>
      </c>
      <c r="AC318">
        <f t="shared" si="77"/>
        <v>6405.96</v>
      </c>
      <c r="AD318">
        <f t="shared" si="90"/>
        <v>2656.3869199999999</v>
      </c>
      <c r="AE318">
        <f t="shared" si="91"/>
        <v>0.29312350801066001</v>
      </c>
      <c r="AF318">
        <f t="shared" si="92"/>
        <v>0</v>
      </c>
      <c r="AG318">
        <f t="shared" si="93"/>
        <v>0</v>
      </c>
      <c r="AK318">
        <f>AA318*(1+What_if_Analysis!$B$4)</f>
        <v>26.4</v>
      </c>
      <c r="AL318" s="5">
        <f>MIN(Z318,What_if_Analysis!$B$2)</f>
        <v>0.05</v>
      </c>
      <c r="AM318">
        <f t="shared" si="94"/>
        <v>12026.8632</v>
      </c>
      <c r="AN318">
        <f>AM318-(AK318*(T318*(1+What_if_Analysis!$B$3)))</f>
        <v>-1898.9784</v>
      </c>
    </row>
    <row r="319" spans="1:40" x14ac:dyDescent="0.3">
      <c r="A319" t="s">
        <v>331</v>
      </c>
      <c r="B319" s="3">
        <v>45244</v>
      </c>
      <c r="C319" s="3" t="str">
        <f t="shared" si="78"/>
        <v>Nov-2023</v>
      </c>
      <c r="D319" s="3" t="str">
        <f t="shared" si="79"/>
        <v>Q4-2023</v>
      </c>
      <c r="E319" s="3">
        <v>45260</v>
      </c>
      <c r="F319" s="3" t="str">
        <f t="shared" si="80"/>
        <v>Valid</v>
      </c>
      <c r="G319" s="12">
        <f t="shared" si="81"/>
        <v>16</v>
      </c>
      <c r="H319" s="3">
        <f t="shared" si="82"/>
        <v>45260</v>
      </c>
      <c r="I319" t="s">
        <v>648</v>
      </c>
      <c r="J319" t="str">
        <f t="shared" si="83"/>
        <v>Americas → Brazil → São Paulo</v>
      </c>
      <c r="K319" s="3" t="str">
        <f t="shared" si="84"/>
        <v>Brazil-2023-11</v>
      </c>
      <c r="L319" t="s">
        <v>655</v>
      </c>
      <c r="M319" t="s">
        <v>670</v>
      </c>
      <c r="N319" t="s">
        <v>706</v>
      </c>
      <c r="O319" t="s">
        <v>711</v>
      </c>
      <c r="P319" t="s">
        <v>723</v>
      </c>
      <c r="Q319" t="s">
        <v>729</v>
      </c>
      <c r="R319" t="s">
        <v>1051</v>
      </c>
      <c r="S319" s="5">
        <v>1017.92</v>
      </c>
      <c r="T319" s="5">
        <v>1175.25</v>
      </c>
      <c r="U319" s="5" t="str">
        <f t="shared" si="85"/>
        <v>Valid</v>
      </c>
      <c r="V319" s="5">
        <f t="shared" si="76"/>
        <v>1175.25</v>
      </c>
      <c r="W319" s="5" t="str">
        <f t="shared" si="86"/>
        <v>Medium</v>
      </c>
      <c r="X319" s="5">
        <v>7.4999999999999997E-2</v>
      </c>
      <c r="Y319" s="5" t="str">
        <f t="shared" si="87"/>
        <v>Valid</v>
      </c>
      <c r="Z319" s="5">
        <f t="shared" si="88"/>
        <v>7.4999999999999997E-2</v>
      </c>
      <c r="AA319" s="5">
        <v>15</v>
      </c>
      <c r="AB319">
        <f t="shared" si="89"/>
        <v>16306.59375</v>
      </c>
      <c r="AC319">
        <f t="shared" si="77"/>
        <v>15268.8</v>
      </c>
      <c r="AD319">
        <f t="shared" si="90"/>
        <v>1037.7937500000007</v>
      </c>
      <c r="AE319">
        <f t="shared" si="91"/>
        <v>6.3642583234159542E-2</v>
      </c>
      <c r="AF319">
        <f t="shared" si="92"/>
        <v>0</v>
      </c>
      <c r="AG319">
        <f t="shared" si="93"/>
        <v>0</v>
      </c>
      <c r="AK319">
        <f>AA319*(1+What_if_Analysis!$B$4)</f>
        <v>18</v>
      </c>
      <c r="AL319" s="5">
        <f>MIN(Z319,What_if_Analysis!$B$2)</f>
        <v>0.05</v>
      </c>
      <c r="AM319">
        <f t="shared" si="94"/>
        <v>20096.774999999998</v>
      </c>
      <c r="AN319">
        <f>AM319-(AK319*(T319*(1+What_if_Analysis!$B$3)))</f>
        <v>-3173.1750000000029</v>
      </c>
    </row>
    <row r="320" spans="1:40" x14ac:dyDescent="0.3">
      <c r="A320" t="s">
        <v>332</v>
      </c>
      <c r="B320" s="3">
        <v>45748</v>
      </c>
      <c r="C320" s="3" t="str">
        <f t="shared" si="78"/>
        <v>Apr-2025</v>
      </c>
      <c r="D320" s="3" t="str">
        <f t="shared" si="79"/>
        <v>Q2-2025</v>
      </c>
      <c r="E320" s="3">
        <v>45774</v>
      </c>
      <c r="F320" s="3" t="str">
        <f t="shared" si="80"/>
        <v>Valid</v>
      </c>
      <c r="G320" s="12">
        <f t="shared" si="81"/>
        <v>26</v>
      </c>
      <c r="H320" s="3">
        <f t="shared" si="82"/>
        <v>45774</v>
      </c>
      <c r="I320" t="s">
        <v>648</v>
      </c>
      <c r="J320" t="str">
        <f t="shared" si="83"/>
        <v>Americas → USA → San Francisco</v>
      </c>
      <c r="K320" s="3" t="str">
        <f t="shared" si="84"/>
        <v>USA-2025-04</v>
      </c>
      <c r="L320" t="s">
        <v>660</v>
      </c>
      <c r="M320" t="s">
        <v>686</v>
      </c>
      <c r="N320" t="s">
        <v>701</v>
      </c>
      <c r="O320" t="s">
        <v>711</v>
      </c>
      <c r="P320" t="s">
        <v>714</v>
      </c>
      <c r="Q320" t="s">
        <v>732</v>
      </c>
      <c r="R320" t="s">
        <v>1052</v>
      </c>
      <c r="S320" s="5">
        <v>156.55000000000001</v>
      </c>
      <c r="T320" s="5">
        <v>227.45</v>
      </c>
      <c r="U320" s="5" t="str">
        <f t="shared" si="85"/>
        <v>Valid</v>
      </c>
      <c r="V320" s="5">
        <f t="shared" si="76"/>
        <v>227.45</v>
      </c>
      <c r="W320" s="5" t="str">
        <f t="shared" si="86"/>
        <v>Low</v>
      </c>
      <c r="X320" s="5">
        <v>1.4E-2</v>
      </c>
      <c r="Y320" s="5" t="str">
        <f t="shared" si="87"/>
        <v>Valid</v>
      </c>
      <c r="Z320" s="5">
        <f t="shared" si="88"/>
        <v>1.4E-2</v>
      </c>
      <c r="AA320" s="5">
        <v>13</v>
      </c>
      <c r="AB320">
        <f t="shared" si="89"/>
        <v>2915.4540999999999</v>
      </c>
      <c r="AC320">
        <f t="shared" si="77"/>
        <v>2035.15</v>
      </c>
      <c r="AD320">
        <f t="shared" si="90"/>
        <v>880.30409999999983</v>
      </c>
      <c r="AE320">
        <f t="shared" si="91"/>
        <v>0.3019440779396938</v>
      </c>
      <c r="AF320">
        <f t="shared" si="92"/>
        <v>0</v>
      </c>
      <c r="AG320">
        <f t="shared" si="93"/>
        <v>0</v>
      </c>
      <c r="AK320">
        <f>AA320*(1+What_if_Analysis!$B$4)</f>
        <v>15.6</v>
      </c>
      <c r="AL320" s="5">
        <f>MIN(Z320,What_if_Analysis!$B$2)</f>
        <v>1.4E-2</v>
      </c>
      <c r="AM320">
        <f t="shared" si="94"/>
        <v>3498.5449199999998</v>
      </c>
      <c r="AN320">
        <f>AM320-(AK320*(T320*(1+What_if_Analysis!$B$3)))</f>
        <v>-404.49708000000055</v>
      </c>
    </row>
    <row r="321" spans="1:40" x14ac:dyDescent="0.3">
      <c r="A321" t="s">
        <v>333</v>
      </c>
      <c r="B321" s="3">
        <v>45008</v>
      </c>
      <c r="C321" s="3" t="str">
        <f t="shared" si="78"/>
        <v>Mar-2023</v>
      </c>
      <c r="D321" s="3" t="str">
        <f t="shared" si="79"/>
        <v>Q1-2023</v>
      </c>
      <c r="E321" s="3">
        <v>45031</v>
      </c>
      <c r="F321" s="3" t="str">
        <f t="shared" si="80"/>
        <v>Valid</v>
      </c>
      <c r="G321" s="12">
        <f t="shared" si="81"/>
        <v>23</v>
      </c>
      <c r="H321" s="3">
        <f t="shared" si="82"/>
        <v>45031</v>
      </c>
      <c r="I321" t="s">
        <v>646</v>
      </c>
      <c r="J321" t="str">
        <f t="shared" si="83"/>
        <v>Africa → Kenya → Mombasa</v>
      </c>
      <c r="K321" s="3" t="str">
        <f t="shared" si="84"/>
        <v>Kenya-2023-03</v>
      </c>
      <c r="L321" t="s">
        <v>650</v>
      </c>
      <c r="M321" t="s">
        <v>675</v>
      </c>
      <c r="N321" t="s">
        <v>705</v>
      </c>
      <c r="O321" t="s">
        <v>707</v>
      </c>
      <c r="P321" t="s">
        <v>712</v>
      </c>
      <c r="Q321" t="s">
        <v>733</v>
      </c>
      <c r="R321" t="s">
        <v>1053</v>
      </c>
      <c r="S321" s="5">
        <v>875.36</v>
      </c>
      <c r="T321" s="5">
        <v>1178.6199999999999</v>
      </c>
      <c r="U321" s="5" t="str">
        <f t="shared" si="85"/>
        <v>Valid</v>
      </c>
      <c r="V321" s="5">
        <f t="shared" si="76"/>
        <v>1178.6199999999999</v>
      </c>
      <c r="W321" s="5" t="str">
        <f t="shared" si="86"/>
        <v>Medium</v>
      </c>
      <c r="X321" s="5">
        <v>0.151</v>
      </c>
      <c r="Y321" s="5" t="str">
        <f t="shared" si="87"/>
        <v>Valid</v>
      </c>
      <c r="Z321" s="5">
        <f t="shared" si="88"/>
        <v>0.151</v>
      </c>
      <c r="AA321" s="5">
        <v>53</v>
      </c>
      <c r="AB321">
        <f t="shared" si="89"/>
        <v>53034.364139999991</v>
      </c>
      <c r="AC321">
        <f t="shared" si="77"/>
        <v>46394.080000000002</v>
      </c>
      <c r="AD321">
        <f t="shared" si="90"/>
        <v>6640.2841399999888</v>
      </c>
      <c r="AE321">
        <f t="shared" si="91"/>
        <v>0.12520719815685888</v>
      </c>
      <c r="AF321">
        <f t="shared" si="92"/>
        <v>0</v>
      </c>
      <c r="AG321">
        <f t="shared" si="93"/>
        <v>0</v>
      </c>
      <c r="AK321">
        <f>AA321*(1+What_if_Analysis!$B$4)</f>
        <v>63.599999999999994</v>
      </c>
      <c r="AL321" s="5">
        <f>MIN(Z321,What_if_Analysis!$B$2)</f>
        <v>0.05</v>
      </c>
      <c r="AM321">
        <f t="shared" si="94"/>
        <v>71212.220399999991</v>
      </c>
      <c r="AN321">
        <f>AM321-(AK321*(T321*(1+What_if_Analysis!$B$3)))</f>
        <v>-11244.034799999994</v>
      </c>
    </row>
    <row r="322" spans="1:40" x14ac:dyDescent="0.3">
      <c r="A322" t="s">
        <v>334</v>
      </c>
      <c r="B322" s="3">
        <v>45440</v>
      </c>
      <c r="C322" s="3" t="str">
        <f t="shared" si="78"/>
        <v>May-2024</v>
      </c>
      <c r="D322" s="3" t="str">
        <f t="shared" si="79"/>
        <v>Q2-2024</v>
      </c>
      <c r="E322" s="3">
        <v>45461</v>
      </c>
      <c r="F322" s="3" t="str">
        <f t="shared" si="80"/>
        <v>Valid</v>
      </c>
      <c r="G322" s="12">
        <f t="shared" si="81"/>
        <v>21</v>
      </c>
      <c r="H322" s="3">
        <f t="shared" si="82"/>
        <v>45461</v>
      </c>
      <c r="I322" t="s">
        <v>649</v>
      </c>
      <c r="J322" t="str">
        <f t="shared" si="83"/>
        <v>Europe → Germany → Frankfurt</v>
      </c>
      <c r="K322" s="3" t="str">
        <f t="shared" si="84"/>
        <v>Germany-2024-05</v>
      </c>
      <c r="L322" t="s">
        <v>656</v>
      </c>
      <c r="M322" t="s">
        <v>698</v>
      </c>
      <c r="N322" t="s">
        <v>705</v>
      </c>
      <c r="O322" t="s">
        <v>708</v>
      </c>
      <c r="P322" t="s">
        <v>718</v>
      </c>
      <c r="Q322" t="s">
        <v>730</v>
      </c>
      <c r="R322" t="s">
        <v>1054</v>
      </c>
      <c r="S322" s="5">
        <v>986.85</v>
      </c>
      <c r="T322" s="5">
        <v>2422.1</v>
      </c>
      <c r="U322" s="5" t="str">
        <f t="shared" si="85"/>
        <v>Valid</v>
      </c>
      <c r="V322" s="5">
        <f t="shared" ref="V322:V385" si="95">IF(T322&lt;0,AVERAGEIF($Q$2:$Q$633,Q322,$T$2:$T$633),T322)</f>
        <v>2422.1</v>
      </c>
      <c r="W322" s="5" t="str">
        <f t="shared" si="86"/>
        <v>High</v>
      </c>
      <c r="X322" s="5">
        <v>7.5999999999999998E-2</v>
      </c>
      <c r="Y322" s="5" t="str">
        <f t="shared" si="87"/>
        <v>Valid</v>
      </c>
      <c r="Z322" s="5">
        <f t="shared" si="88"/>
        <v>7.5999999999999998E-2</v>
      </c>
      <c r="AA322" s="5">
        <v>10</v>
      </c>
      <c r="AB322">
        <f t="shared" si="89"/>
        <v>22380.204000000002</v>
      </c>
      <c r="AC322">
        <f t="shared" ref="AC322:AC385" si="96">S322*AA322</f>
        <v>9868.5</v>
      </c>
      <c r="AD322">
        <f t="shared" si="90"/>
        <v>12511.704000000002</v>
      </c>
      <c r="AE322">
        <f t="shared" si="91"/>
        <v>0.55905227673527913</v>
      </c>
      <c r="AF322">
        <f t="shared" si="92"/>
        <v>0</v>
      </c>
      <c r="AG322">
        <f t="shared" si="93"/>
        <v>0</v>
      </c>
      <c r="AK322">
        <f>AA322*(1+What_if_Analysis!$B$4)</f>
        <v>12</v>
      </c>
      <c r="AL322" s="5">
        <f>MIN(Z322,What_if_Analysis!$B$2)</f>
        <v>0.05</v>
      </c>
      <c r="AM322">
        <f t="shared" si="94"/>
        <v>27611.939999999995</v>
      </c>
      <c r="AN322">
        <f>AM322-(AK322*(T322*(1+What_if_Analysis!$B$3)))</f>
        <v>-4359.7800000000061</v>
      </c>
    </row>
    <row r="323" spans="1:40" x14ac:dyDescent="0.3">
      <c r="A323" t="s">
        <v>335</v>
      </c>
      <c r="B323" s="3">
        <v>45293</v>
      </c>
      <c r="C323" s="3" t="str">
        <f t="shared" ref="C323:C386" si="97">TEXT(B323,"mmm-yyyy")</f>
        <v>Jan-2024</v>
      </c>
      <c r="D323" s="3" t="str">
        <f t="shared" ref="D323:D386" si="98">"Q" &amp; ROUNDUP(MONTH(B323)/3,0) &amp; "-" &amp; YEAR(B323)</f>
        <v>Q1-2024</v>
      </c>
      <c r="E323" s="3">
        <v>45292</v>
      </c>
      <c r="F323" s="3" t="str">
        <f t="shared" ref="F323:F386" si="99">IF(E323&lt;B323,"Invalid RequiredDate","Valid")</f>
        <v>Invalid RequiredDate</v>
      </c>
      <c r="G323" s="12">
        <f t="shared" ref="G323:G386" si="100">MEDIAN($E$2:$E$633-$B$2:$B$633)</f>
        <v>-1</v>
      </c>
      <c r="H323" s="3">
        <f t="shared" ref="H323:H386" si="101">IF(E323&lt;B323,B323+$G$2,E323)</f>
        <v>45319</v>
      </c>
      <c r="I323" t="s">
        <v>648</v>
      </c>
      <c r="J323" t="str">
        <f t="shared" ref="J323:J386" si="102">I323 &amp; " → " &amp; L323 &amp; " → " &amp; M323</f>
        <v>Americas → USA → Chicago</v>
      </c>
      <c r="K323" s="3" t="str">
        <f t="shared" ref="K323:K386" si="103">L323 &amp; "-" &amp; TEXT(C323,"YYYY-MM")</f>
        <v>USA-2024-01</v>
      </c>
      <c r="L323" t="s">
        <v>660</v>
      </c>
      <c r="M323" t="s">
        <v>677</v>
      </c>
      <c r="N323" t="s">
        <v>702</v>
      </c>
      <c r="O323" t="s">
        <v>709</v>
      </c>
      <c r="P323" t="s">
        <v>717</v>
      </c>
      <c r="Q323" t="s">
        <v>729</v>
      </c>
      <c r="R323" t="s">
        <v>1055</v>
      </c>
      <c r="S323" s="5">
        <v>404.77</v>
      </c>
      <c r="T323" s="5">
        <v>433.88</v>
      </c>
      <c r="U323" s="5" t="str">
        <f t="shared" ref="U323:U386" si="104">IF(T323&lt;0,"Invalid Price","Valid")</f>
        <v>Valid</v>
      </c>
      <c r="V323" s="5">
        <f t="shared" si="95"/>
        <v>433.88</v>
      </c>
      <c r="W323" s="5" t="str">
        <f t="shared" ref="W323:W386" si="105">IF(V323&lt;=616.86,"Low",IF(V323&lt;1912.05,"Medium","High"))</f>
        <v>Low</v>
      </c>
      <c r="X323" s="5">
        <v>0.215</v>
      </c>
      <c r="Y323" s="5" t="str">
        <f t="shared" ref="Y323:Y386" si="106">IF(X323&gt;30%,"High Discount","Valid")</f>
        <v>Valid</v>
      </c>
      <c r="Z323" s="5">
        <f t="shared" ref="Z323:Z386" si="107">IF(X323&gt;30%,30%,X323)</f>
        <v>0.215</v>
      </c>
      <c r="AA323" s="5">
        <v>22</v>
      </c>
      <c r="AB323">
        <f t="shared" ref="AB323:AB386" si="108">V323 * AA323 * (1 - Z323)</f>
        <v>7493.1076000000012</v>
      </c>
      <c r="AC323">
        <f t="shared" si="96"/>
        <v>8904.9399999999987</v>
      </c>
      <c r="AD323">
        <f t="shared" ref="AD323:AD386" si="109">AB323-AC323</f>
        <v>-1411.8323999999975</v>
      </c>
      <c r="AE323">
        <f t="shared" ref="AE323:AE386" si="110">IF(AB323=0, 0, AD323 / AB323)</f>
        <v>-0.18841747314558746</v>
      </c>
      <c r="AF323">
        <f t="shared" ref="AF323:AF386" si="111">IF(G323&lt;=7,1,0)</f>
        <v>1</v>
      </c>
      <c r="AG323">
        <f t="shared" ref="AG323:AG386" si="112">IF(Z323&gt;20%,1,0)</f>
        <v>1</v>
      </c>
      <c r="AK323">
        <f>AA323*(1+What_if_Analysis!$B$4)</f>
        <v>26.4</v>
      </c>
      <c r="AL323" s="5">
        <f>MIN(Z323,What_if_Analysis!$B$2)</f>
        <v>0.05</v>
      </c>
      <c r="AM323">
        <f t="shared" ref="AM323:AM386" si="113">AK323*V323*(1-AL323)</f>
        <v>10881.710399999998</v>
      </c>
      <c r="AN323">
        <f>AM323-(AK323*(T323*(1+What_if_Analysis!$B$3)))</f>
        <v>-1718.1648000000023</v>
      </c>
    </row>
    <row r="324" spans="1:40" x14ac:dyDescent="0.3">
      <c r="A324" t="s">
        <v>336</v>
      </c>
      <c r="B324" s="3">
        <v>44985</v>
      </c>
      <c r="C324" s="3" t="str">
        <f t="shared" si="97"/>
        <v>Feb-2023</v>
      </c>
      <c r="D324" s="3" t="str">
        <f t="shared" si="98"/>
        <v>Q1-2023</v>
      </c>
      <c r="E324" s="3">
        <v>44984</v>
      </c>
      <c r="F324" s="3" t="str">
        <f t="shared" si="99"/>
        <v>Invalid RequiredDate</v>
      </c>
      <c r="G324" s="12">
        <f t="shared" si="100"/>
        <v>-1</v>
      </c>
      <c r="H324" s="3">
        <f t="shared" si="101"/>
        <v>45011</v>
      </c>
      <c r="I324" t="s">
        <v>649</v>
      </c>
      <c r="J324" t="str">
        <f t="shared" si="102"/>
        <v>Europe → France → Marseille</v>
      </c>
      <c r="K324" s="3" t="str">
        <f t="shared" si="103"/>
        <v>France-2023-02</v>
      </c>
      <c r="L324" t="s">
        <v>657</v>
      </c>
      <c r="M324" t="s">
        <v>673</v>
      </c>
      <c r="N324" t="s">
        <v>701</v>
      </c>
      <c r="O324" t="s">
        <v>707</v>
      </c>
      <c r="P324" t="s">
        <v>723</v>
      </c>
      <c r="Q324" t="s">
        <v>729</v>
      </c>
      <c r="R324" t="s">
        <v>1056</v>
      </c>
      <c r="S324" s="5">
        <v>1299.81</v>
      </c>
      <c r="T324" s="5">
        <v>3149.13</v>
      </c>
      <c r="U324" s="5" t="str">
        <f t="shared" si="104"/>
        <v>Valid</v>
      </c>
      <c r="V324" s="5">
        <f t="shared" si="95"/>
        <v>3149.13</v>
      </c>
      <c r="W324" s="5" t="str">
        <f t="shared" si="105"/>
        <v>High</v>
      </c>
      <c r="X324" s="5">
        <v>0.10299999999999999</v>
      </c>
      <c r="Y324" s="5" t="str">
        <f t="shared" si="106"/>
        <v>Valid</v>
      </c>
      <c r="Z324" s="5">
        <f t="shared" si="107"/>
        <v>0.10299999999999999</v>
      </c>
      <c r="AA324" s="5">
        <v>14</v>
      </c>
      <c r="AB324">
        <f t="shared" si="108"/>
        <v>39546.774539999999</v>
      </c>
      <c r="AC324">
        <f t="shared" si="96"/>
        <v>18197.34</v>
      </c>
      <c r="AD324">
        <f t="shared" si="109"/>
        <v>21349.434539999998</v>
      </c>
      <c r="AE324">
        <f t="shared" si="110"/>
        <v>0.53985273864511729</v>
      </c>
      <c r="AF324">
        <f t="shared" si="111"/>
        <v>1</v>
      </c>
      <c r="AG324">
        <f t="shared" si="112"/>
        <v>0</v>
      </c>
      <c r="AK324">
        <f>AA324*(1+What_if_Analysis!$B$4)</f>
        <v>16.8</v>
      </c>
      <c r="AL324" s="5">
        <f>MIN(Z324,What_if_Analysis!$B$2)</f>
        <v>0.05</v>
      </c>
      <c r="AM324">
        <f t="shared" si="113"/>
        <v>50260.114800000003</v>
      </c>
      <c r="AN324">
        <f>AM324-(AK324*(T324*(1+What_if_Analysis!$B$3)))</f>
        <v>-7935.8076000000074</v>
      </c>
    </row>
    <row r="325" spans="1:40" x14ac:dyDescent="0.3">
      <c r="A325" t="s">
        <v>337</v>
      </c>
      <c r="B325" s="3">
        <v>45340</v>
      </c>
      <c r="C325" s="3" t="str">
        <f t="shared" si="97"/>
        <v>Feb-2024</v>
      </c>
      <c r="D325" s="3" t="str">
        <f t="shared" si="98"/>
        <v>Q1-2024</v>
      </c>
      <c r="E325" s="3">
        <v>45362</v>
      </c>
      <c r="F325" s="3" t="str">
        <f t="shared" si="99"/>
        <v>Valid</v>
      </c>
      <c r="G325" s="12">
        <f t="shared" si="100"/>
        <v>22</v>
      </c>
      <c r="H325" s="3">
        <f t="shared" si="101"/>
        <v>45362</v>
      </c>
      <c r="I325" t="s">
        <v>648</v>
      </c>
      <c r="J325" t="str">
        <f t="shared" si="102"/>
        <v>Americas → Brazil → São Paulo</v>
      </c>
      <c r="K325" s="3" t="str">
        <f t="shared" si="103"/>
        <v>Brazil-2024-02</v>
      </c>
      <c r="L325" t="s">
        <v>655</v>
      </c>
      <c r="M325" t="s">
        <v>670</v>
      </c>
      <c r="N325" t="s">
        <v>704</v>
      </c>
      <c r="O325" t="s">
        <v>708</v>
      </c>
      <c r="P325" t="s">
        <v>720</v>
      </c>
      <c r="Q325" t="s">
        <v>727</v>
      </c>
      <c r="R325" t="s">
        <v>1057</v>
      </c>
      <c r="S325" s="5">
        <v>80.48</v>
      </c>
      <c r="T325" s="5">
        <v>65.650000000000006</v>
      </c>
      <c r="U325" s="5" t="str">
        <f t="shared" si="104"/>
        <v>Valid</v>
      </c>
      <c r="V325" s="5">
        <f t="shared" si="95"/>
        <v>65.650000000000006</v>
      </c>
      <c r="W325" s="5" t="str">
        <f t="shared" si="105"/>
        <v>Low</v>
      </c>
      <c r="X325" s="5">
        <v>0.17599999999999999</v>
      </c>
      <c r="Y325" s="5" t="str">
        <f t="shared" si="106"/>
        <v>Valid</v>
      </c>
      <c r="Z325" s="5">
        <f t="shared" si="107"/>
        <v>0.17599999999999999</v>
      </c>
      <c r="AA325" s="5">
        <v>13</v>
      </c>
      <c r="AB325">
        <f t="shared" si="108"/>
        <v>703.2428000000001</v>
      </c>
      <c r="AC325">
        <f t="shared" si="96"/>
        <v>1046.24</v>
      </c>
      <c r="AD325">
        <f t="shared" si="109"/>
        <v>-342.99719999999991</v>
      </c>
      <c r="AE325">
        <f t="shared" si="110"/>
        <v>-0.48773652570634191</v>
      </c>
      <c r="AF325">
        <f t="shared" si="111"/>
        <v>0</v>
      </c>
      <c r="AG325">
        <f t="shared" si="112"/>
        <v>0</v>
      </c>
      <c r="AK325">
        <f>AA325*(1+What_if_Analysis!$B$4)</f>
        <v>15.6</v>
      </c>
      <c r="AL325" s="5">
        <f>MIN(Z325,What_if_Analysis!$B$2)</f>
        <v>0.05</v>
      </c>
      <c r="AM325">
        <f t="shared" si="113"/>
        <v>972.93299999999999</v>
      </c>
      <c r="AN325">
        <f>AM325-(AK325*(T325*(1+What_if_Analysis!$B$3)))</f>
        <v>-153.62100000000032</v>
      </c>
    </row>
    <row r="326" spans="1:40" x14ac:dyDescent="0.3">
      <c r="A326" t="s">
        <v>338</v>
      </c>
      <c r="B326" s="3">
        <v>45544</v>
      </c>
      <c r="C326" s="3" t="str">
        <f t="shared" si="97"/>
        <v>Sept-2024</v>
      </c>
      <c r="D326" s="3" t="str">
        <f t="shared" si="98"/>
        <v>Q3-2024</v>
      </c>
      <c r="E326" s="3">
        <v>45573</v>
      </c>
      <c r="F326" s="3" t="str">
        <f t="shared" si="99"/>
        <v>Valid</v>
      </c>
      <c r="G326" s="12">
        <f t="shared" si="100"/>
        <v>29</v>
      </c>
      <c r="H326" s="3">
        <f t="shared" si="101"/>
        <v>45573</v>
      </c>
      <c r="I326" t="s">
        <v>648</v>
      </c>
      <c r="J326" t="str">
        <f t="shared" si="102"/>
        <v>Americas → Brazil → São Paulo</v>
      </c>
      <c r="K326" s="3" t="str">
        <f t="shared" si="103"/>
        <v>Brazil-2024-09</v>
      </c>
      <c r="L326" t="s">
        <v>655</v>
      </c>
      <c r="M326" t="s">
        <v>670</v>
      </c>
      <c r="N326" t="s">
        <v>702</v>
      </c>
      <c r="O326" t="s">
        <v>711</v>
      </c>
      <c r="P326" t="s">
        <v>713</v>
      </c>
      <c r="Q326" t="s">
        <v>727</v>
      </c>
      <c r="R326" t="s">
        <v>1058</v>
      </c>
      <c r="S326" s="5">
        <v>1010.33</v>
      </c>
      <c r="T326" s="5">
        <v>2492.14</v>
      </c>
      <c r="U326" s="5" t="str">
        <f t="shared" si="104"/>
        <v>Valid</v>
      </c>
      <c r="V326" s="5">
        <f t="shared" si="95"/>
        <v>2492.14</v>
      </c>
      <c r="W326" s="5" t="str">
        <f t="shared" si="105"/>
        <v>High</v>
      </c>
      <c r="X326" s="5">
        <v>5.0999999999999997E-2</v>
      </c>
      <c r="Y326" s="5" t="str">
        <f t="shared" si="106"/>
        <v>Valid</v>
      </c>
      <c r="Z326" s="5">
        <f t="shared" si="107"/>
        <v>5.0999999999999997E-2</v>
      </c>
      <c r="AA326" s="5">
        <v>11</v>
      </c>
      <c r="AB326">
        <f t="shared" si="108"/>
        <v>26015.449459999996</v>
      </c>
      <c r="AC326">
        <f t="shared" si="96"/>
        <v>11113.630000000001</v>
      </c>
      <c r="AD326">
        <f t="shared" si="109"/>
        <v>14901.819459999995</v>
      </c>
      <c r="AE326">
        <f t="shared" si="110"/>
        <v>0.57280653493656752</v>
      </c>
      <c r="AF326">
        <f t="shared" si="111"/>
        <v>0</v>
      </c>
      <c r="AG326">
        <f t="shared" si="112"/>
        <v>0</v>
      </c>
      <c r="AK326">
        <f>AA326*(1+What_if_Analysis!$B$4)</f>
        <v>13.2</v>
      </c>
      <c r="AL326" s="5">
        <f>MIN(Z326,What_if_Analysis!$B$2)</f>
        <v>0.05</v>
      </c>
      <c r="AM326">
        <f t="shared" si="113"/>
        <v>31251.435599999997</v>
      </c>
      <c r="AN326">
        <f>AM326-(AK326*(T326*(1+What_if_Analysis!$B$3)))</f>
        <v>-4934.4372000000076</v>
      </c>
    </row>
    <row r="327" spans="1:40" x14ac:dyDescent="0.3">
      <c r="A327" t="s">
        <v>339</v>
      </c>
      <c r="B327" s="3">
        <v>45053</v>
      </c>
      <c r="C327" s="3" t="str">
        <f t="shared" si="97"/>
        <v>May-2023</v>
      </c>
      <c r="D327" s="3" t="str">
        <f t="shared" si="98"/>
        <v>Q2-2023</v>
      </c>
      <c r="E327" s="3">
        <v>45075</v>
      </c>
      <c r="F327" s="3" t="str">
        <f t="shared" si="99"/>
        <v>Valid</v>
      </c>
      <c r="G327" s="12">
        <f t="shared" si="100"/>
        <v>22</v>
      </c>
      <c r="H327" s="3">
        <f t="shared" si="101"/>
        <v>45075</v>
      </c>
      <c r="I327" t="s">
        <v>646</v>
      </c>
      <c r="J327" t="str">
        <f t="shared" si="102"/>
        <v>Africa → South Africa → Durban</v>
      </c>
      <c r="K327" s="3" t="str">
        <f t="shared" si="103"/>
        <v>South Africa-2023-05</v>
      </c>
      <c r="L327" t="s">
        <v>661</v>
      </c>
      <c r="M327" t="s">
        <v>687</v>
      </c>
      <c r="N327" t="s">
        <v>702</v>
      </c>
      <c r="O327" t="s">
        <v>710</v>
      </c>
      <c r="P327" t="s">
        <v>723</v>
      </c>
      <c r="Q327" t="s">
        <v>733</v>
      </c>
      <c r="R327" t="s">
        <v>1059</v>
      </c>
      <c r="S327" s="5">
        <v>653.86</v>
      </c>
      <c r="T327" s="5">
        <v>931.84</v>
      </c>
      <c r="U327" s="5" t="str">
        <f t="shared" si="104"/>
        <v>Valid</v>
      </c>
      <c r="V327" s="5">
        <f t="shared" si="95"/>
        <v>931.84</v>
      </c>
      <c r="W327" s="5" t="str">
        <f t="shared" si="105"/>
        <v>Medium</v>
      </c>
      <c r="X327" s="5">
        <v>0.121</v>
      </c>
      <c r="Y327" s="5" t="str">
        <f t="shared" si="106"/>
        <v>Valid</v>
      </c>
      <c r="Z327" s="5">
        <f t="shared" si="107"/>
        <v>0.121</v>
      </c>
      <c r="AA327" s="5">
        <v>12</v>
      </c>
      <c r="AB327">
        <f t="shared" si="108"/>
        <v>9829.0483199999999</v>
      </c>
      <c r="AC327">
        <f t="shared" si="96"/>
        <v>7846.32</v>
      </c>
      <c r="AD327">
        <f t="shared" si="109"/>
        <v>1982.7283200000002</v>
      </c>
      <c r="AE327">
        <f t="shared" si="110"/>
        <v>0.20172129136506273</v>
      </c>
      <c r="AF327">
        <f t="shared" si="111"/>
        <v>0</v>
      </c>
      <c r="AG327">
        <f t="shared" si="112"/>
        <v>0</v>
      </c>
      <c r="AK327">
        <f>AA327*(1+What_if_Analysis!$B$4)</f>
        <v>14.399999999999999</v>
      </c>
      <c r="AL327" s="5">
        <f>MIN(Z327,What_if_Analysis!$B$2)</f>
        <v>0.05</v>
      </c>
      <c r="AM327">
        <f t="shared" si="113"/>
        <v>12747.571199999998</v>
      </c>
      <c r="AN327">
        <f>AM327-(AK327*(T327*(1+What_if_Analysis!$B$3)))</f>
        <v>-2012.7744000000021</v>
      </c>
    </row>
    <row r="328" spans="1:40" x14ac:dyDescent="0.3">
      <c r="A328" t="s">
        <v>340</v>
      </c>
      <c r="B328" s="3">
        <v>45303</v>
      </c>
      <c r="C328" s="3" t="str">
        <f t="shared" si="97"/>
        <v>Jan-2024</v>
      </c>
      <c r="D328" s="3" t="str">
        <f t="shared" si="98"/>
        <v>Q1-2024</v>
      </c>
      <c r="E328" s="3">
        <v>45320</v>
      </c>
      <c r="F328" s="3" t="str">
        <f t="shared" si="99"/>
        <v>Valid</v>
      </c>
      <c r="G328" s="12">
        <f t="shared" si="100"/>
        <v>17</v>
      </c>
      <c r="H328" s="3">
        <f t="shared" si="101"/>
        <v>45320</v>
      </c>
      <c r="I328" t="s">
        <v>647</v>
      </c>
      <c r="J328" t="str">
        <f t="shared" si="102"/>
        <v>Asia → India → Hyderabad</v>
      </c>
      <c r="K328" s="3" t="str">
        <f t="shared" si="103"/>
        <v>India-2024-01</v>
      </c>
      <c r="L328" t="s">
        <v>654</v>
      </c>
      <c r="M328" t="s">
        <v>696</v>
      </c>
      <c r="N328" t="s">
        <v>705</v>
      </c>
      <c r="O328" t="s">
        <v>711</v>
      </c>
      <c r="P328" t="s">
        <v>717</v>
      </c>
      <c r="Q328" t="s">
        <v>727</v>
      </c>
      <c r="R328" t="s">
        <v>1060</v>
      </c>
      <c r="S328" s="5">
        <v>310.02</v>
      </c>
      <c r="T328" s="5">
        <v>619.51</v>
      </c>
      <c r="U328" s="5" t="str">
        <f t="shared" si="104"/>
        <v>Valid</v>
      </c>
      <c r="V328" s="5">
        <f t="shared" si="95"/>
        <v>619.51</v>
      </c>
      <c r="W328" s="5" t="str">
        <f t="shared" si="105"/>
        <v>Medium</v>
      </c>
      <c r="X328" s="5">
        <v>4.2000000000000003E-2</v>
      </c>
      <c r="Y328" s="5" t="str">
        <f t="shared" si="106"/>
        <v>Valid</v>
      </c>
      <c r="Z328" s="5">
        <f t="shared" si="107"/>
        <v>4.2000000000000003E-2</v>
      </c>
      <c r="AA328" s="5">
        <v>4</v>
      </c>
      <c r="AB328">
        <f t="shared" si="108"/>
        <v>2373.9623200000001</v>
      </c>
      <c r="AC328">
        <f t="shared" si="96"/>
        <v>1240.08</v>
      </c>
      <c r="AD328">
        <f t="shared" si="109"/>
        <v>1133.8823200000002</v>
      </c>
      <c r="AE328">
        <f t="shared" si="110"/>
        <v>0.47763282106347843</v>
      </c>
      <c r="AF328">
        <f t="shared" si="111"/>
        <v>0</v>
      </c>
      <c r="AG328">
        <f t="shared" si="112"/>
        <v>0</v>
      </c>
      <c r="AK328">
        <f>AA328*(1+What_if_Analysis!$B$4)</f>
        <v>4.8</v>
      </c>
      <c r="AL328" s="5">
        <f>MIN(Z328,What_if_Analysis!$B$2)</f>
        <v>4.2000000000000003E-2</v>
      </c>
      <c r="AM328">
        <f t="shared" si="113"/>
        <v>2848.7547839999997</v>
      </c>
      <c r="AN328">
        <f>AM328-(AK328*(T328*(1+What_if_Analysis!$B$3)))</f>
        <v>-422.25801600000023</v>
      </c>
    </row>
    <row r="329" spans="1:40" x14ac:dyDescent="0.3">
      <c r="A329" t="s">
        <v>341</v>
      </c>
      <c r="B329" s="3">
        <v>45087</v>
      </c>
      <c r="C329" s="3" t="str">
        <f t="shared" si="97"/>
        <v>Jun-2023</v>
      </c>
      <c r="D329" s="3" t="str">
        <f t="shared" si="98"/>
        <v>Q2-2023</v>
      </c>
      <c r="E329" s="3">
        <v>45095</v>
      </c>
      <c r="F329" s="3" t="str">
        <f t="shared" si="99"/>
        <v>Valid</v>
      </c>
      <c r="G329" s="12">
        <f t="shared" si="100"/>
        <v>8</v>
      </c>
      <c r="H329" s="3">
        <f t="shared" si="101"/>
        <v>45095</v>
      </c>
      <c r="I329" t="s">
        <v>646</v>
      </c>
      <c r="J329" t="str">
        <f t="shared" si="102"/>
        <v>Africa → Kenya → Nakuru</v>
      </c>
      <c r="K329" s="3" t="str">
        <f t="shared" si="103"/>
        <v>Kenya-2023-06</v>
      </c>
      <c r="L329" t="s">
        <v>650</v>
      </c>
      <c r="M329" t="s">
        <v>678</v>
      </c>
      <c r="N329" t="s">
        <v>706</v>
      </c>
      <c r="O329" t="s">
        <v>711</v>
      </c>
      <c r="P329" t="s">
        <v>722</v>
      </c>
      <c r="Q329" t="s">
        <v>730</v>
      </c>
      <c r="R329" t="s">
        <v>1061</v>
      </c>
      <c r="S329" s="5">
        <v>894.23</v>
      </c>
      <c r="T329" s="5">
        <v>1421.55</v>
      </c>
      <c r="U329" s="5" t="str">
        <f t="shared" si="104"/>
        <v>Valid</v>
      </c>
      <c r="V329" s="5">
        <f t="shared" si="95"/>
        <v>1421.55</v>
      </c>
      <c r="W329" s="5" t="str">
        <f t="shared" si="105"/>
        <v>Medium</v>
      </c>
      <c r="X329" s="5">
        <v>0.109</v>
      </c>
      <c r="Y329" s="5" t="str">
        <f t="shared" si="106"/>
        <v>Valid</v>
      </c>
      <c r="Z329" s="5">
        <f t="shared" si="107"/>
        <v>0.109</v>
      </c>
      <c r="AA329" s="5">
        <v>3</v>
      </c>
      <c r="AB329">
        <f t="shared" si="108"/>
        <v>3799.8031499999997</v>
      </c>
      <c r="AC329">
        <f t="shared" si="96"/>
        <v>2682.69</v>
      </c>
      <c r="AD329">
        <f t="shared" si="109"/>
        <v>1117.1131499999997</v>
      </c>
      <c r="AE329">
        <f t="shared" si="110"/>
        <v>0.29399237431549574</v>
      </c>
      <c r="AF329">
        <f t="shared" si="111"/>
        <v>0</v>
      </c>
      <c r="AG329">
        <f t="shared" si="112"/>
        <v>0</v>
      </c>
      <c r="AK329">
        <f>AA329*(1+What_if_Analysis!$B$4)</f>
        <v>3.5999999999999996</v>
      </c>
      <c r="AL329" s="5">
        <f>MIN(Z329,What_if_Analysis!$B$2)</f>
        <v>0.05</v>
      </c>
      <c r="AM329">
        <f t="shared" si="113"/>
        <v>4861.7009999999991</v>
      </c>
      <c r="AN329">
        <f>AM329-(AK329*(T329*(1+What_if_Analysis!$B$3)))</f>
        <v>-767.63700000000063</v>
      </c>
    </row>
    <row r="330" spans="1:40" x14ac:dyDescent="0.3">
      <c r="A330" t="s">
        <v>342</v>
      </c>
      <c r="B330" s="3">
        <v>45796</v>
      </c>
      <c r="C330" s="3" t="str">
        <f t="shared" si="97"/>
        <v>May-2025</v>
      </c>
      <c r="D330" s="3" t="str">
        <f t="shared" si="98"/>
        <v>Q2-2025</v>
      </c>
      <c r="E330" s="3">
        <v>45794</v>
      </c>
      <c r="F330" s="3" t="str">
        <f t="shared" si="99"/>
        <v>Invalid RequiredDate</v>
      </c>
      <c r="G330" s="12">
        <f t="shared" si="100"/>
        <v>-2</v>
      </c>
      <c r="H330" s="3">
        <f t="shared" si="101"/>
        <v>45822</v>
      </c>
      <c r="I330" t="s">
        <v>648</v>
      </c>
      <c r="J330" t="str">
        <f t="shared" si="102"/>
        <v>Americas → Brazil → São Paulo</v>
      </c>
      <c r="K330" s="3" t="str">
        <f t="shared" si="103"/>
        <v>Brazil-2025-05</v>
      </c>
      <c r="L330" t="s">
        <v>655</v>
      </c>
      <c r="M330" t="s">
        <v>670</v>
      </c>
      <c r="N330" t="s">
        <v>705</v>
      </c>
      <c r="O330" t="s">
        <v>710</v>
      </c>
      <c r="P330" t="s">
        <v>716</v>
      </c>
      <c r="Q330" t="s">
        <v>732</v>
      </c>
      <c r="R330" t="s">
        <v>1062</v>
      </c>
      <c r="S330" s="5">
        <v>383.77</v>
      </c>
      <c r="T330" s="5">
        <v>952.56</v>
      </c>
      <c r="U330" s="5" t="str">
        <f t="shared" si="104"/>
        <v>Valid</v>
      </c>
      <c r="V330" s="5">
        <f t="shared" si="95"/>
        <v>952.56</v>
      </c>
      <c r="W330" s="5" t="str">
        <f t="shared" si="105"/>
        <v>Medium</v>
      </c>
      <c r="X330" s="5">
        <v>0.34599999999999997</v>
      </c>
      <c r="Y330" s="5" t="str">
        <f t="shared" si="106"/>
        <v>High Discount</v>
      </c>
      <c r="Z330" s="5">
        <f t="shared" si="107"/>
        <v>0.3</v>
      </c>
      <c r="AA330" s="5">
        <v>10</v>
      </c>
      <c r="AB330">
        <f t="shared" si="108"/>
        <v>6667.9199999999983</v>
      </c>
      <c r="AC330">
        <f t="shared" si="96"/>
        <v>3837.7</v>
      </c>
      <c r="AD330">
        <f t="shared" si="109"/>
        <v>2830.2199999999984</v>
      </c>
      <c r="AE330">
        <f t="shared" si="110"/>
        <v>0.42445320279787385</v>
      </c>
      <c r="AF330">
        <f t="shared" si="111"/>
        <v>1</v>
      </c>
      <c r="AG330">
        <f t="shared" si="112"/>
        <v>1</v>
      </c>
      <c r="AK330">
        <f>AA330*(1+What_if_Analysis!$B$4)</f>
        <v>12</v>
      </c>
      <c r="AL330" s="5">
        <f>MIN(Z330,What_if_Analysis!$B$2)</f>
        <v>0.05</v>
      </c>
      <c r="AM330">
        <f t="shared" si="113"/>
        <v>10859.183999999999</v>
      </c>
      <c r="AN330">
        <f>AM330-(AK330*(T330*(1+What_if_Analysis!$B$3)))</f>
        <v>-1714.608000000002</v>
      </c>
    </row>
    <row r="331" spans="1:40" x14ac:dyDescent="0.3">
      <c r="A331" t="s">
        <v>343</v>
      </c>
      <c r="B331" s="3">
        <v>45221</v>
      </c>
      <c r="C331" s="3" t="str">
        <f t="shared" si="97"/>
        <v>Oct-2023</v>
      </c>
      <c r="D331" s="3" t="str">
        <f t="shared" si="98"/>
        <v>Q4-2023</v>
      </c>
      <c r="E331" s="3">
        <v>45246</v>
      </c>
      <c r="F331" s="3" t="str">
        <f t="shared" si="99"/>
        <v>Valid</v>
      </c>
      <c r="G331" s="12">
        <f t="shared" si="100"/>
        <v>25</v>
      </c>
      <c r="H331" s="3">
        <f t="shared" si="101"/>
        <v>45246</v>
      </c>
      <c r="I331" t="s">
        <v>648</v>
      </c>
      <c r="J331" t="str">
        <f t="shared" si="102"/>
        <v>Americas → Canada → Toronto</v>
      </c>
      <c r="K331" s="3" t="str">
        <f t="shared" si="103"/>
        <v>Canada-2023-10</v>
      </c>
      <c r="L331" t="s">
        <v>653</v>
      </c>
      <c r="M331" t="s">
        <v>667</v>
      </c>
      <c r="N331" t="s">
        <v>705</v>
      </c>
      <c r="O331" t="s">
        <v>709</v>
      </c>
      <c r="P331" t="s">
        <v>714</v>
      </c>
      <c r="Q331" t="s">
        <v>731</v>
      </c>
      <c r="R331" t="s">
        <v>1063</v>
      </c>
      <c r="S331" s="5">
        <v>1373.31</v>
      </c>
      <c r="T331" s="5">
        <v>3154.14</v>
      </c>
      <c r="U331" s="5" t="str">
        <f t="shared" si="104"/>
        <v>Valid</v>
      </c>
      <c r="V331" s="5">
        <f t="shared" si="95"/>
        <v>3154.14</v>
      </c>
      <c r="W331" s="5" t="str">
        <f t="shared" si="105"/>
        <v>High</v>
      </c>
      <c r="X331" s="5">
        <v>0.2</v>
      </c>
      <c r="Y331" s="5" t="str">
        <f t="shared" si="106"/>
        <v>Valid</v>
      </c>
      <c r="Z331" s="5">
        <f t="shared" si="107"/>
        <v>0.2</v>
      </c>
      <c r="AA331" s="5">
        <v>11</v>
      </c>
      <c r="AB331">
        <f t="shared" si="108"/>
        <v>27756.432000000001</v>
      </c>
      <c r="AC331">
        <f t="shared" si="96"/>
        <v>15106.41</v>
      </c>
      <c r="AD331">
        <f t="shared" si="109"/>
        <v>12650.022000000001</v>
      </c>
      <c r="AE331">
        <f t="shared" si="110"/>
        <v>0.45575101295440279</v>
      </c>
      <c r="AF331">
        <f t="shared" si="111"/>
        <v>0</v>
      </c>
      <c r="AG331">
        <f t="shared" si="112"/>
        <v>0</v>
      </c>
      <c r="AK331">
        <f>AA331*(1+What_if_Analysis!$B$4)</f>
        <v>13.2</v>
      </c>
      <c r="AL331" s="5">
        <f>MIN(Z331,What_if_Analysis!$B$2)</f>
        <v>0.05</v>
      </c>
      <c r="AM331">
        <f t="shared" si="113"/>
        <v>39552.915599999993</v>
      </c>
      <c r="AN331">
        <f>AM331-(AK331*(T331*(1+What_if_Analysis!$B$3)))</f>
        <v>-6245.1972000000023</v>
      </c>
    </row>
    <row r="332" spans="1:40" x14ac:dyDescent="0.3">
      <c r="A332" t="s">
        <v>344</v>
      </c>
      <c r="B332" s="3">
        <v>45668</v>
      </c>
      <c r="C332" s="3" t="str">
        <f t="shared" si="97"/>
        <v>Jan-2025</v>
      </c>
      <c r="D332" s="3" t="str">
        <f t="shared" si="98"/>
        <v>Q1-2025</v>
      </c>
      <c r="E332" s="3">
        <v>45680</v>
      </c>
      <c r="F332" s="3" t="str">
        <f t="shared" si="99"/>
        <v>Valid</v>
      </c>
      <c r="G332" s="12">
        <f t="shared" si="100"/>
        <v>12</v>
      </c>
      <c r="H332" s="3">
        <f t="shared" si="101"/>
        <v>45680</v>
      </c>
      <c r="I332" t="s">
        <v>648</v>
      </c>
      <c r="J332" t="str">
        <f t="shared" si="102"/>
        <v>Americas → USA → Austin</v>
      </c>
      <c r="K332" s="3" t="str">
        <f t="shared" si="103"/>
        <v>USA-2025-01</v>
      </c>
      <c r="L332" t="s">
        <v>660</v>
      </c>
      <c r="M332" t="s">
        <v>697</v>
      </c>
      <c r="N332" t="s">
        <v>704</v>
      </c>
      <c r="O332" t="s">
        <v>710</v>
      </c>
      <c r="P332" t="s">
        <v>722</v>
      </c>
      <c r="Q332" t="s">
        <v>730</v>
      </c>
      <c r="R332" t="s">
        <v>1064</v>
      </c>
      <c r="S332" s="5">
        <v>100.69</v>
      </c>
      <c r="T332" s="5">
        <v>226.14</v>
      </c>
      <c r="U332" s="5" t="str">
        <f t="shared" si="104"/>
        <v>Valid</v>
      </c>
      <c r="V332" s="5">
        <f t="shared" si="95"/>
        <v>226.14</v>
      </c>
      <c r="W332" s="5" t="str">
        <f t="shared" si="105"/>
        <v>Low</v>
      </c>
      <c r="X332" s="5">
        <v>6.5000000000000002E-2</v>
      </c>
      <c r="Y332" s="5" t="str">
        <f t="shared" si="106"/>
        <v>Valid</v>
      </c>
      <c r="Z332" s="5">
        <f t="shared" si="107"/>
        <v>6.5000000000000002E-2</v>
      </c>
      <c r="AA332" s="5">
        <v>12</v>
      </c>
      <c r="AB332">
        <f t="shared" si="108"/>
        <v>2537.2908000000002</v>
      </c>
      <c r="AC332">
        <f t="shared" si="96"/>
        <v>1208.28</v>
      </c>
      <c r="AD332">
        <f t="shared" si="109"/>
        <v>1329.0108000000002</v>
      </c>
      <c r="AE332">
        <f t="shared" si="110"/>
        <v>0.52379128162999689</v>
      </c>
      <c r="AF332">
        <f t="shared" si="111"/>
        <v>0</v>
      </c>
      <c r="AG332">
        <f t="shared" si="112"/>
        <v>0</v>
      </c>
      <c r="AK332">
        <f>AA332*(1+What_if_Analysis!$B$4)</f>
        <v>14.399999999999999</v>
      </c>
      <c r="AL332" s="5">
        <f>MIN(Z332,What_if_Analysis!$B$2)</f>
        <v>0.05</v>
      </c>
      <c r="AM332">
        <f t="shared" si="113"/>
        <v>3093.5951999999993</v>
      </c>
      <c r="AN332">
        <f>AM332-(AK332*(T332*(1+What_if_Analysis!$B$3)))</f>
        <v>-488.4624000000008</v>
      </c>
    </row>
    <row r="333" spans="1:40" x14ac:dyDescent="0.3">
      <c r="A333" t="s">
        <v>345</v>
      </c>
      <c r="B333" s="3">
        <v>45914</v>
      </c>
      <c r="C333" s="3" t="str">
        <f t="shared" si="97"/>
        <v>Sept-2025</v>
      </c>
      <c r="D333" s="3" t="str">
        <f t="shared" si="98"/>
        <v>Q3-2025</v>
      </c>
      <c r="E333" s="3">
        <v>45926</v>
      </c>
      <c r="F333" s="3" t="str">
        <f t="shared" si="99"/>
        <v>Valid</v>
      </c>
      <c r="G333" s="12">
        <f t="shared" si="100"/>
        <v>12</v>
      </c>
      <c r="H333" s="3">
        <f t="shared" si="101"/>
        <v>45926</v>
      </c>
      <c r="I333" t="s">
        <v>649</v>
      </c>
      <c r="J333" t="str">
        <f t="shared" si="102"/>
        <v>Europe → United Kingdom → London</v>
      </c>
      <c r="K333" s="3" t="str">
        <f t="shared" si="103"/>
        <v>United Kingdom-2025-09</v>
      </c>
      <c r="L333" t="s">
        <v>658</v>
      </c>
      <c r="M333" t="s">
        <v>683</v>
      </c>
      <c r="N333" t="s">
        <v>705</v>
      </c>
      <c r="O333" t="s">
        <v>711</v>
      </c>
      <c r="P333" t="s">
        <v>725</v>
      </c>
      <c r="Q333" t="s">
        <v>729</v>
      </c>
      <c r="R333" t="s">
        <v>1065</v>
      </c>
      <c r="S333" s="5">
        <v>425.15</v>
      </c>
      <c r="T333" s="5">
        <v>885.92</v>
      </c>
      <c r="U333" s="5" t="str">
        <f t="shared" si="104"/>
        <v>Valid</v>
      </c>
      <c r="V333" s="5">
        <f t="shared" si="95"/>
        <v>885.92</v>
      </c>
      <c r="W333" s="5" t="str">
        <f t="shared" si="105"/>
        <v>Medium</v>
      </c>
      <c r="X333" s="5">
        <v>0.23899999999999999</v>
      </c>
      <c r="Y333" s="5" t="str">
        <f t="shared" si="106"/>
        <v>Valid</v>
      </c>
      <c r="Z333" s="5">
        <f t="shared" si="107"/>
        <v>0.23899999999999999</v>
      </c>
      <c r="AA333" s="5">
        <v>13</v>
      </c>
      <c r="AB333">
        <f t="shared" si="108"/>
        <v>8764.4065599999994</v>
      </c>
      <c r="AC333">
        <f t="shared" si="96"/>
        <v>5526.95</v>
      </c>
      <c r="AD333">
        <f t="shared" si="109"/>
        <v>3237.4565599999996</v>
      </c>
      <c r="AE333">
        <f t="shared" si="110"/>
        <v>0.3693868532725848</v>
      </c>
      <c r="AF333">
        <f t="shared" si="111"/>
        <v>0</v>
      </c>
      <c r="AG333">
        <f t="shared" si="112"/>
        <v>1</v>
      </c>
      <c r="AK333">
        <f>AA333*(1+What_if_Analysis!$B$4)</f>
        <v>15.6</v>
      </c>
      <c r="AL333" s="5">
        <f>MIN(Z333,What_if_Analysis!$B$2)</f>
        <v>0.05</v>
      </c>
      <c r="AM333">
        <f t="shared" si="113"/>
        <v>13129.334399999998</v>
      </c>
      <c r="AN333">
        <f>AM333-(AK333*(T333*(1+What_if_Analysis!$B$3)))</f>
        <v>-2073.0528000000031</v>
      </c>
    </row>
    <row r="334" spans="1:40" x14ac:dyDescent="0.3">
      <c r="A334" t="s">
        <v>346</v>
      </c>
      <c r="B334" s="3">
        <v>45168</v>
      </c>
      <c r="C334" s="3" t="str">
        <f t="shared" si="97"/>
        <v>Aug-2023</v>
      </c>
      <c r="D334" s="3" t="str">
        <f t="shared" si="98"/>
        <v>Q3-2023</v>
      </c>
      <c r="E334" s="3">
        <v>45172</v>
      </c>
      <c r="F334" s="3" t="str">
        <f t="shared" si="99"/>
        <v>Valid</v>
      </c>
      <c r="G334" s="12">
        <f t="shared" si="100"/>
        <v>4</v>
      </c>
      <c r="H334" s="3">
        <f t="shared" si="101"/>
        <v>45172</v>
      </c>
      <c r="I334" t="s">
        <v>647</v>
      </c>
      <c r="J334" t="str">
        <f t="shared" si="102"/>
        <v>Asia → India → Delhi</v>
      </c>
      <c r="K334" s="3" t="str">
        <f t="shared" si="103"/>
        <v>India-2023-08</v>
      </c>
      <c r="L334" t="s">
        <v>654</v>
      </c>
      <c r="M334" t="s">
        <v>680</v>
      </c>
      <c r="N334" t="s">
        <v>705</v>
      </c>
      <c r="O334" t="s">
        <v>709</v>
      </c>
      <c r="P334" t="s">
        <v>716</v>
      </c>
      <c r="Q334" t="s">
        <v>733</v>
      </c>
      <c r="R334" t="s">
        <v>1066</v>
      </c>
      <c r="S334" s="5">
        <v>1082.25</v>
      </c>
      <c r="T334" s="5">
        <v>2433.34</v>
      </c>
      <c r="U334" s="5" t="str">
        <f t="shared" si="104"/>
        <v>Valid</v>
      </c>
      <c r="V334" s="5">
        <f t="shared" si="95"/>
        <v>2433.34</v>
      </c>
      <c r="W334" s="5" t="str">
        <f t="shared" si="105"/>
        <v>High</v>
      </c>
      <c r="X334" s="5">
        <v>0.27</v>
      </c>
      <c r="Y334" s="5" t="str">
        <f t="shared" si="106"/>
        <v>Valid</v>
      </c>
      <c r="Z334" s="5">
        <f t="shared" si="107"/>
        <v>0.27</v>
      </c>
      <c r="AA334" s="5">
        <v>4</v>
      </c>
      <c r="AB334">
        <f t="shared" si="108"/>
        <v>7105.3528000000006</v>
      </c>
      <c r="AC334">
        <f t="shared" si="96"/>
        <v>4329</v>
      </c>
      <c r="AD334">
        <f t="shared" si="109"/>
        <v>2776.3528000000006</v>
      </c>
      <c r="AE334">
        <f t="shared" si="110"/>
        <v>0.3907410199251472</v>
      </c>
      <c r="AF334">
        <f t="shared" si="111"/>
        <v>1</v>
      </c>
      <c r="AG334">
        <f t="shared" si="112"/>
        <v>1</v>
      </c>
      <c r="AK334">
        <f>AA334*(1+What_if_Analysis!$B$4)</f>
        <v>4.8</v>
      </c>
      <c r="AL334" s="5">
        <f>MIN(Z334,What_if_Analysis!$B$2)</f>
        <v>0.05</v>
      </c>
      <c r="AM334">
        <f t="shared" si="113"/>
        <v>11096.0304</v>
      </c>
      <c r="AN334">
        <f>AM334-(AK334*(T334*(1+What_if_Analysis!$B$3)))</f>
        <v>-1752.0048000000024</v>
      </c>
    </row>
    <row r="335" spans="1:40" x14ac:dyDescent="0.3">
      <c r="A335" t="s">
        <v>347</v>
      </c>
      <c r="B335" s="3">
        <v>45245</v>
      </c>
      <c r="C335" s="3" t="str">
        <f t="shared" si="97"/>
        <v>Nov-2023</v>
      </c>
      <c r="D335" s="3" t="str">
        <f t="shared" si="98"/>
        <v>Q4-2023</v>
      </c>
      <c r="E335" s="3">
        <v>45266</v>
      </c>
      <c r="F335" s="3" t="str">
        <f t="shared" si="99"/>
        <v>Valid</v>
      </c>
      <c r="G335" s="12">
        <f t="shared" si="100"/>
        <v>21</v>
      </c>
      <c r="H335" s="3">
        <f t="shared" si="101"/>
        <v>45266</v>
      </c>
      <c r="I335" t="s">
        <v>649</v>
      </c>
      <c r="J335" t="str">
        <f t="shared" si="102"/>
        <v>Europe → United Kingdom → Manchester</v>
      </c>
      <c r="K335" s="3" t="str">
        <f t="shared" si="103"/>
        <v>United Kingdom-2023-11</v>
      </c>
      <c r="L335" t="s">
        <v>658</v>
      </c>
      <c r="M335" t="s">
        <v>693</v>
      </c>
      <c r="N335" t="s">
        <v>702</v>
      </c>
      <c r="O335" t="s">
        <v>711</v>
      </c>
      <c r="P335" t="s">
        <v>722</v>
      </c>
      <c r="Q335" t="s">
        <v>733</v>
      </c>
      <c r="R335" t="s">
        <v>1067</v>
      </c>
      <c r="S335" s="5">
        <v>1184.99</v>
      </c>
      <c r="T335" s="5">
        <v>1154.3399999999999</v>
      </c>
      <c r="U335" s="5" t="str">
        <f t="shared" si="104"/>
        <v>Valid</v>
      </c>
      <c r="V335" s="5">
        <f t="shared" si="95"/>
        <v>1154.3399999999999</v>
      </c>
      <c r="W335" s="5" t="str">
        <f t="shared" si="105"/>
        <v>Medium</v>
      </c>
      <c r="X335" s="5">
        <v>2.8000000000000001E-2</v>
      </c>
      <c r="Y335" s="5" t="str">
        <f t="shared" si="106"/>
        <v>Valid</v>
      </c>
      <c r="Z335" s="5">
        <f t="shared" si="107"/>
        <v>2.8000000000000001E-2</v>
      </c>
      <c r="AA335" s="5">
        <v>5</v>
      </c>
      <c r="AB335">
        <f t="shared" si="108"/>
        <v>5610.0923999999995</v>
      </c>
      <c r="AC335">
        <f t="shared" si="96"/>
        <v>5924.95</v>
      </c>
      <c r="AD335">
        <f t="shared" si="109"/>
        <v>-314.85760000000028</v>
      </c>
      <c r="AE335">
        <f t="shared" si="110"/>
        <v>-5.6123424990290764E-2</v>
      </c>
      <c r="AF335">
        <f t="shared" si="111"/>
        <v>0</v>
      </c>
      <c r="AG335">
        <f t="shared" si="112"/>
        <v>0</v>
      </c>
      <c r="AK335">
        <f>AA335*(1+What_if_Analysis!$B$4)</f>
        <v>6</v>
      </c>
      <c r="AL335" s="5">
        <f>MIN(Z335,What_if_Analysis!$B$2)</f>
        <v>2.8000000000000001E-2</v>
      </c>
      <c r="AM335">
        <f t="shared" si="113"/>
        <v>6732.1108799999993</v>
      </c>
      <c r="AN335">
        <f>AM335-(AK335*(T335*(1+What_if_Analysis!$B$3)))</f>
        <v>-886.53312000000096</v>
      </c>
    </row>
    <row r="336" spans="1:40" x14ac:dyDescent="0.3">
      <c r="A336" t="s">
        <v>348</v>
      </c>
      <c r="B336" s="3">
        <v>45774</v>
      </c>
      <c r="C336" s="3" t="str">
        <f t="shared" si="97"/>
        <v>Apr-2025</v>
      </c>
      <c r="D336" s="3" t="str">
        <f t="shared" si="98"/>
        <v>Q2-2025</v>
      </c>
      <c r="E336" s="3">
        <v>45804</v>
      </c>
      <c r="F336" s="3" t="str">
        <f t="shared" si="99"/>
        <v>Valid</v>
      </c>
      <c r="G336" s="12">
        <f t="shared" si="100"/>
        <v>30</v>
      </c>
      <c r="H336" s="3">
        <f t="shared" si="101"/>
        <v>45804</v>
      </c>
      <c r="I336" t="s">
        <v>647</v>
      </c>
      <c r="J336" t="str">
        <f t="shared" si="102"/>
        <v>Asia → India → unknown</v>
      </c>
      <c r="K336" s="3" t="str">
        <f t="shared" si="103"/>
        <v>India-2025-04</v>
      </c>
      <c r="L336" t="s">
        <v>654</v>
      </c>
      <c r="M336" t="s">
        <v>1422</v>
      </c>
      <c r="N336" t="s">
        <v>706</v>
      </c>
      <c r="O336" t="s">
        <v>709</v>
      </c>
      <c r="P336" t="s">
        <v>722</v>
      </c>
      <c r="Q336" t="s">
        <v>730</v>
      </c>
      <c r="R336" t="s">
        <v>1068</v>
      </c>
      <c r="S336" s="5">
        <v>481.32</v>
      </c>
      <c r="T336" s="5">
        <v>1135.99</v>
      </c>
      <c r="U336" s="5" t="str">
        <f t="shared" si="104"/>
        <v>Valid</v>
      </c>
      <c r="V336" s="5">
        <f t="shared" si="95"/>
        <v>1135.99</v>
      </c>
      <c r="W336" s="5" t="str">
        <f t="shared" si="105"/>
        <v>Medium</v>
      </c>
      <c r="X336" s="5">
        <v>0.14499999999999999</v>
      </c>
      <c r="Y336" s="5" t="str">
        <f t="shared" si="106"/>
        <v>Valid</v>
      </c>
      <c r="Z336" s="5">
        <f t="shared" si="107"/>
        <v>0.14499999999999999</v>
      </c>
      <c r="AA336" s="5">
        <v>5</v>
      </c>
      <c r="AB336">
        <f t="shared" si="108"/>
        <v>4856.35725</v>
      </c>
      <c r="AC336">
        <f t="shared" si="96"/>
        <v>2406.6</v>
      </c>
      <c r="AD336">
        <f t="shared" si="109"/>
        <v>2449.7572500000001</v>
      </c>
      <c r="AE336">
        <f t="shared" si="110"/>
        <v>0.50444337677175621</v>
      </c>
      <c r="AF336">
        <f t="shared" si="111"/>
        <v>0</v>
      </c>
      <c r="AG336">
        <f t="shared" si="112"/>
        <v>0</v>
      </c>
      <c r="AK336">
        <f>AA336*(1+What_if_Analysis!$B$4)</f>
        <v>6</v>
      </c>
      <c r="AL336" s="5">
        <f>MIN(Z336,What_if_Analysis!$B$2)</f>
        <v>0.05</v>
      </c>
      <c r="AM336">
        <f t="shared" si="113"/>
        <v>6475.143</v>
      </c>
      <c r="AN336">
        <f>AM336-(AK336*(T336*(1+What_if_Analysis!$B$3)))</f>
        <v>-1022.3910000000014</v>
      </c>
    </row>
    <row r="337" spans="1:40" x14ac:dyDescent="0.3">
      <c r="A337" t="s">
        <v>349</v>
      </c>
      <c r="B337" s="3">
        <v>45391</v>
      </c>
      <c r="C337" s="3" t="str">
        <f t="shared" si="97"/>
        <v>Apr-2024</v>
      </c>
      <c r="D337" s="3" t="str">
        <f t="shared" si="98"/>
        <v>Q2-2024</v>
      </c>
      <c r="E337" s="3">
        <v>45400</v>
      </c>
      <c r="F337" s="3" t="str">
        <f t="shared" si="99"/>
        <v>Valid</v>
      </c>
      <c r="G337" s="12">
        <f t="shared" si="100"/>
        <v>9</v>
      </c>
      <c r="H337" s="3">
        <f t="shared" si="101"/>
        <v>45400</v>
      </c>
      <c r="I337" t="s">
        <v>649</v>
      </c>
      <c r="J337" t="str">
        <f t="shared" si="102"/>
        <v>Europe → France → Lyon</v>
      </c>
      <c r="K337" s="3" t="str">
        <f t="shared" si="103"/>
        <v>France-2024-04</v>
      </c>
      <c r="L337" t="s">
        <v>657</v>
      </c>
      <c r="M337" t="s">
        <v>679</v>
      </c>
      <c r="N337" t="s">
        <v>704</v>
      </c>
      <c r="O337" t="s">
        <v>708</v>
      </c>
      <c r="P337" t="s">
        <v>718</v>
      </c>
      <c r="Q337" t="s">
        <v>728</v>
      </c>
      <c r="R337" t="s">
        <v>1069</v>
      </c>
      <c r="S337" s="5">
        <v>1288.8499999999999</v>
      </c>
      <c r="T337" s="5">
        <v>2751.84</v>
      </c>
      <c r="U337" s="5" t="str">
        <f t="shared" si="104"/>
        <v>Valid</v>
      </c>
      <c r="V337" s="5">
        <f t="shared" si="95"/>
        <v>2751.84</v>
      </c>
      <c r="W337" s="5" t="str">
        <f t="shared" si="105"/>
        <v>High</v>
      </c>
      <c r="X337" s="5">
        <v>0.158</v>
      </c>
      <c r="Y337" s="5" t="str">
        <f t="shared" si="106"/>
        <v>Valid</v>
      </c>
      <c r="Z337" s="5">
        <f t="shared" si="107"/>
        <v>0.158</v>
      </c>
      <c r="AA337" s="5">
        <v>7</v>
      </c>
      <c r="AB337">
        <f t="shared" si="108"/>
        <v>16219.34496</v>
      </c>
      <c r="AC337">
        <f t="shared" si="96"/>
        <v>9021.9499999999989</v>
      </c>
      <c r="AD337">
        <f t="shared" si="109"/>
        <v>7197.3949600000014</v>
      </c>
      <c r="AE337">
        <f t="shared" si="110"/>
        <v>0.44375373837538756</v>
      </c>
      <c r="AF337">
        <f t="shared" si="111"/>
        <v>0</v>
      </c>
      <c r="AG337">
        <f t="shared" si="112"/>
        <v>0</v>
      </c>
      <c r="AK337">
        <f>AA337*(1+What_if_Analysis!$B$4)</f>
        <v>8.4</v>
      </c>
      <c r="AL337" s="5">
        <f>MIN(Z337,What_if_Analysis!$B$2)</f>
        <v>0.05</v>
      </c>
      <c r="AM337">
        <f t="shared" si="113"/>
        <v>21959.683199999999</v>
      </c>
      <c r="AN337">
        <f>AM337-(AK337*(T337*(1+What_if_Analysis!$B$3)))</f>
        <v>-3467.3184000000037</v>
      </c>
    </row>
    <row r="338" spans="1:40" x14ac:dyDescent="0.3">
      <c r="A338" t="s">
        <v>350</v>
      </c>
      <c r="B338" s="3">
        <v>45484</v>
      </c>
      <c r="C338" s="3" t="str">
        <f t="shared" si="97"/>
        <v>Jul-2024</v>
      </c>
      <c r="D338" s="3" t="str">
        <f t="shared" si="98"/>
        <v>Q3-2024</v>
      </c>
      <c r="E338" s="3">
        <v>45504</v>
      </c>
      <c r="F338" s="3" t="str">
        <f t="shared" si="99"/>
        <v>Valid</v>
      </c>
      <c r="G338" s="12">
        <f t="shared" si="100"/>
        <v>20</v>
      </c>
      <c r="H338" s="3">
        <f t="shared" si="101"/>
        <v>45504</v>
      </c>
      <c r="I338" t="s">
        <v>647</v>
      </c>
      <c r="J338" t="str">
        <f t="shared" si="102"/>
        <v>Asia → China → Shenzhen</v>
      </c>
      <c r="K338" s="3" t="str">
        <f t="shared" si="103"/>
        <v>China-2024-07</v>
      </c>
      <c r="L338" t="s">
        <v>659</v>
      </c>
      <c r="M338" t="s">
        <v>676</v>
      </c>
      <c r="N338" t="s">
        <v>704</v>
      </c>
      <c r="O338" t="s">
        <v>708</v>
      </c>
      <c r="P338" t="s">
        <v>715</v>
      </c>
      <c r="Q338" t="s">
        <v>730</v>
      </c>
      <c r="R338" t="s">
        <v>1070</v>
      </c>
      <c r="S338" s="5">
        <v>647.26</v>
      </c>
      <c r="T338" s="5">
        <v>1374.72</v>
      </c>
      <c r="U338" s="5" t="str">
        <f t="shared" si="104"/>
        <v>Valid</v>
      </c>
      <c r="V338" s="5">
        <f t="shared" si="95"/>
        <v>1374.72</v>
      </c>
      <c r="W338" s="5" t="str">
        <f t="shared" si="105"/>
        <v>Medium</v>
      </c>
      <c r="X338" s="5">
        <v>6.6000000000000003E-2</v>
      </c>
      <c r="Y338" s="5" t="str">
        <f t="shared" si="106"/>
        <v>Valid</v>
      </c>
      <c r="Z338" s="5">
        <f t="shared" si="107"/>
        <v>6.6000000000000003E-2</v>
      </c>
      <c r="AA338" s="5">
        <v>22</v>
      </c>
      <c r="AB338">
        <f t="shared" si="108"/>
        <v>28247.74656</v>
      </c>
      <c r="AC338">
        <f t="shared" si="96"/>
        <v>14239.72</v>
      </c>
      <c r="AD338">
        <f t="shared" si="109"/>
        <v>14008.02656</v>
      </c>
      <c r="AE338">
        <f t="shared" si="110"/>
        <v>0.49589890401508901</v>
      </c>
      <c r="AF338">
        <f t="shared" si="111"/>
        <v>0</v>
      </c>
      <c r="AG338">
        <f t="shared" si="112"/>
        <v>0</v>
      </c>
      <c r="AK338">
        <f>AA338*(1+What_if_Analysis!$B$4)</f>
        <v>26.4</v>
      </c>
      <c r="AL338" s="5">
        <f>MIN(Z338,What_if_Analysis!$B$2)</f>
        <v>0.05</v>
      </c>
      <c r="AM338">
        <f t="shared" si="113"/>
        <v>34477.977599999998</v>
      </c>
      <c r="AN338">
        <f>AM338-(AK338*(T338*(1+What_if_Analysis!$B$3)))</f>
        <v>-5443.8912000000055</v>
      </c>
    </row>
    <row r="339" spans="1:40" x14ac:dyDescent="0.3">
      <c r="A339" t="s">
        <v>351</v>
      </c>
      <c r="B339" s="3">
        <v>45340</v>
      </c>
      <c r="C339" s="3" t="str">
        <f t="shared" si="97"/>
        <v>Feb-2024</v>
      </c>
      <c r="D339" s="3" t="str">
        <f t="shared" si="98"/>
        <v>Q1-2024</v>
      </c>
      <c r="E339" s="3">
        <v>45354</v>
      </c>
      <c r="F339" s="3" t="str">
        <f t="shared" si="99"/>
        <v>Valid</v>
      </c>
      <c r="G339" s="12">
        <f t="shared" si="100"/>
        <v>14</v>
      </c>
      <c r="H339" s="3">
        <f t="shared" si="101"/>
        <v>45354</v>
      </c>
      <c r="I339" t="s">
        <v>648</v>
      </c>
      <c r="J339" t="str">
        <f t="shared" si="102"/>
        <v>Americas → Brazil → unknown</v>
      </c>
      <c r="K339" s="3" t="str">
        <f t="shared" si="103"/>
        <v>Brazil-2024-02</v>
      </c>
      <c r="L339" t="s">
        <v>655</v>
      </c>
      <c r="M339" t="s">
        <v>1422</v>
      </c>
      <c r="N339" t="s">
        <v>706</v>
      </c>
      <c r="O339" t="s">
        <v>710</v>
      </c>
      <c r="P339" t="s">
        <v>720</v>
      </c>
      <c r="Q339" t="s">
        <v>728</v>
      </c>
      <c r="R339" t="s">
        <v>1071</v>
      </c>
      <c r="S339" s="5">
        <v>624.23</v>
      </c>
      <c r="T339" s="5">
        <v>1318.37</v>
      </c>
      <c r="U339" s="5" t="str">
        <f t="shared" si="104"/>
        <v>Valid</v>
      </c>
      <c r="V339" s="5">
        <f t="shared" si="95"/>
        <v>1318.37</v>
      </c>
      <c r="W339" s="5" t="str">
        <f t="shared" si="105"/>
        <v>Medium</v>
      </c>
      <c r="X339" s="5">
        <v>0.21</v>
      </c>
      <c r="Y339" s="5" t="str">
        <f t="shared" si="106"/>
        <v>Valid</v>
      </c>
      <c r="Z339" s="5">
        <f t="shared" si="107"/>
        <v>0.21</v>
      </c>
      <c r="AA339" s="5">
        <v>37</v>
      </c>
      <c r="AB339">
        <f t="shared" si="108"/>
        <v>38535.955099999999</v>
      </c>
      <c r="AC339">
        <f t="shared" si="96"/>
        <v>23096.510000000002</v>
      </c>
      <c r="AD339">
        <f t="shared" si="109"/>
        <v>15439.445099999997</v>
      </c>
      <c r="AE339">
        <f t="shared" si="110"/>
        <v>0.40065038118128793</v>
      </c>
      <c r="AF339">
        <f t="shared" si="111"/>
        <v>0</v>
      </c>
      <c r="AG339">
        <f t="shared" si="112"/>
        <v>1</v>
      </c>
      <c r="AK339">
        <f>AA339*(1+What_if_Analysis!$B$4)</f>
        <v>44.4</v>
      </c>
      <c r="AL339" s="5">
        <f>MIN(Z339,What_if_Analysis!$B$2)</f>
        <v>0.05</v>
      </c>
      <c r="AM339">
        <f t="shared" si="113"/>
        <v>55608.84659999999</v>
      </c>
      <c r="AN339">
        <f>AM339-(AK339*(T339*(1+What_if_Analysis!$B$3)))</f>
        <v>-8780.3442000000141</v>
      </c>
    </row>
    <row r="340" spans="1:40" x14ac:dyDescent="0.3">
      <c r="A340" t="s">
        <v>352</v>
      </c>
      <c r="B340" s="3">
        <v>45132</v>
      </c>
      <c r="C340" s="3" t="str">
        <f t="shared" si="97"/>
        <v>Jul-2023</v>
      </c>
      <c r="D340" s="3" t="str">
        <f t="shared" si="98"/>
        <v>Q3-2023</v>
      </c>
      <c r="E340" s="3">
        <v>45148</v>
      </c>
      <c r="F340" s="3" t="str">
        <f t="shared" si="99"/>
        <v>Valid</v>
      </c>
      <c r="G340" s="12">
        <f t="shared" si="100"/>
        <v>16</v>
      </c>
      <c r="H340" s="3">
        <f t="shared" si="101"/>
        <v>45148</v>
      </c>
      <c r="I340" t="s">
        <v>646</v>
      </c>
      <c r="J340" t="str">
        <f t="shared" si="102"/>
        <v>Africa → Nigeria → Port Harcourt</v>
      </c>
      <c r="K340" s="3" t="str">
        <f t="shared" si="103"/>
        <v>Nigeria-2023-07</v>
      </c>
      <c r="L340" t="s">
        <v>651</v>
      </c>
      <c r="M340" t="s">
        <v>663</v>
      </c>
      <c r="N340" t="s">
        <v>701</v>
      </c>
      <c r="O340" t="s">
        <v>710</v>
      </c>
      <c r="P340" t="s">
        <v>714</v>
      </c>
      <c r="Q340" t="s">
        <v>733</v>
      </c>
      <c r="R340" t="s">
        <v>1072</v>
      </c>
      <c r="S340" s="5">
        <v>506.83</v>
      </c>
      <c r="T340" s="5">
        <v>441.74</v>
      </c>
      <c r="U340" s="5" t="str">
        <f t="shared" si="104"/>
        <v>Valid</v>
      </c>
      <c r="V340" s="5">
        <f t="shared" si="95"/>
        <v>441.74</v>
      </c>
      <c r="W340" s="5" t="str">
        <f t="shared" si="105"/>
        <v>Low</v>
      </c>
      <c r="X340" s="5">
        <v>0.24</v>
      </c>
      <c r="Y340" s="5" t="str">
        <f t="shared" si="106"/>
        <v>Valid</v>
      </c>
      <c r="Z340" s="5">
        <f t="shared" si="107"/>
        <v>0.24</v>
      </c>
      <c r="AA340" s="5">
        <v>9</v>
      </c>
      <c r="AB340">
        <f t="shared" si="108"/>
        <v>3021.5016000000001</v>
      </c>
      <c r="AC340">
        <f t="shared" si="96"/>
        <v>4561.47</v>
      </c>
      <c r="AD340">
        <f t="shared" si="109"/>
        <v>-1539.9684000000002</v>
      </c>
      <c r="AE340">
        <f t="shared" si="110"/>
        <v>-0.50966989393618067</v>
      </c>
      <c r="AF340">
        <f t="shared" si="111"/>
        <v>0</v>
      </c>
      <c r="AG340">
        <f t="shared" si="112"/>
        <v>1</v>
      </c>
      <c r="AK340">
        <f>AA340*(1+What_if_Analysis!$B$4)</f>
        <v>10.799999999999999</v>
      </c>
      <c r="AL340" s="5">
        <f>MIN(Z340,What_if_Analysis!$B$2)</f>
        <v>0.05</v>
      </c>
      <c r="AM340">
        <f t="shared" si="113"/>
        <v>4532.2523999999994</v>
      </c>
      <c r="AN340">
        <f>AM340-(AK340*(T340*(1+What_if_Analysis!$B$3)))</f>
        <v>-715.61880000000019</v>
      </c>
    </row>
    <row r="341" spans="1:40" x14ac:dyDescent="0.3">
      <c r="A341" t="s">
        <v>353</v>
      </c>
      <c r="B341" s="3">
        <v>45121</v>
      </c>
      <c r="C341" s="3" t="str">
        <f t="shared" si="97"/>
        <v>Jul-2023</v>
      </c>
      <c r="D341" s="3" t="str">
        <f t="shared" si="98"/>
        <v>Q3-2023</v>
      </c>
      <c r="E341" s="3">
        <v>45128</v>
      </c>
      <c r="F341" s="3" t="str">
        <f t="shared" si="99"/>
        <v>Valid</v>
      </c>
      <c r="G341" s="12">
        <f t="shared" si="100"/>
        <v>7</v>
      </c>
      <c r="H341" s="3">
        <f t="shared" si="101"/>
        <v>45128</v>
      </c>
      <c r="I341" t="s">
        <v>646</v>
      </c>
      <c r="J341" t="str">
        <f t="shared" si="102"/>
        <v>Africa → South Africa → Durban</v>
      </c>
      <c r="K341" s="3" t="str">
        <f t="shared" si="103"/>
        <v>South Africa-2023-07</v>
      </c>
      <c r="L341" t="s">
        <v>661</v>
      </c>
      <c r="M341" t="s">
        <v>687</v>
      </c>
      <c r="N341" t="s">
        <v>706</v>
      </c>
      <c r="O341" t="s">
        <v>709</v>
      </c>
      <c r="P341" t="s">
        <v>1423</v>
      </c>
      <c r="Q341" t="s">
        <v>732</v>
      </c>
      <c r="R341" t="s">
        <v>1073</v>
      </c>
      <c r="S341" s="5">
        <v>620.74</v>
      </c>
      <c r="T341" s="5">
        <v>1330.07</v>
      </c>
      <c r="U341" s="5" t="str">
        <f t="shared" si="104"/>
        <v>Valid</v>
      </c>
      <c r="V341" s="5">
        <f t="shared" si="95"/>
        <v>1330.07</v>
      </c>
      <c r="W341" s="5" t="str">
        <f t="shared" si="105"/>
        <v>Medium</v>
      </c>
      <c r="X341" s="5">
        <v>0.29899999999999999</v>
      </c>
      <c r="Y341" s="5" t="str">
        <f t="shared" si="106"/>
        <v>Valid</v>
      </c>
      <c r="Z341" s="5">
        <f t="shared" si="107"/>
        <v>0.29899999999999999</v>
      </c>
      <c r="AA341" s="5">
        <v>28</v>
      </c>
      <c r="AB341">
        <f t="shared" si="108"/>
        <v>26106.613960000002</v>
      </c>
      <c r="AC341">
        <f t="shared" si="96"/>
        <v>17380.72</v>
      </c>
      <c r="AD341">
        <f t="shared" si="109"/>
        <v>8725.8939600000012</v>
      </c>
      <c r="AE341">
        <f t="shared" si="110"/>
        <v>0.33424073965967516</v>
      </c>
      <c r="AF341">
        <f t="shared" si="111"/>
        <v>1</v>
      </c>
      <c r="AG341">
        <f t="shared" si="112"/>
        <v>1</v>
      </c>
      <c r="AK341">
        <f>AA341*(1+What_if_Analysis!$B$4)</f>
        <v>33.6</v>
      </c>
      <c r="AL341" s="5">
        <f>MIN(Z341,What_if_Analysis!$B$2)</f>
        <v>0.05</v>
      </c>
      <c r="AM341">
        <f t="shared" si="113"/>
        <v>42455.8344</v>
      </c>
      <c r="AN341">
        <f>AM341-(AK341*(T341*(1+What_if_Analysis!$B$3)))</f>
        <v>-6703.5528000000049</v>
      </c>
    </row>
    <row r="342" spans="1:40" x14ac:dyDescent="0.3">
      <c r="A342" t="s">
        <v>354</v>
      </c>
      <c r="B342" s="3">
        <v>45131</v>
      </c>
      <c r="C342" s="3" t="str">
        <f t="shared" si="97"/>
        <v>Jul-2023</v>
      </c>
      <c r="D342" s="3" t="str">
        <f t="shared" si="98"/>
        <v>Q3-2023</v>
      </c>
      <c r="E342" s="3">
        <v>45157</v>
      </c>
      <c r="F342" s="3" t="str">
        <f t="shared" si="99"/>
        <v>Valid</v>
      </c>
      <c r="G342" s="12">
        <f t="shared" si="100"/>
        <v>26</v>
      </c>
      <c r="H342" s="3">
        <f t="shared" si="101"/>
        <v>45157</v>
      </c>
      <c r="I342" t="s">
        <v>646</v>
      </c>
      <c r="J342" t="str">
        <f t="shared" si="102"/>
        <v>Africa → Kenya → Nairobi</v>
      </c>
      <c r="K342" s="3" t="str">
        <f t="shared" si="103"/>
        <v>Kenya-2023-07</v>
      </c>
      <c r="L342" t="s">
        <v>650</v>
      </c>
      <c r="M342" t="s">
        <v>664</v>
      </c>
      <c r="N342" t="s">
        <v>706</v>
      </c>
      <c r="O342" t="s">
        <v>710</v>
      </c>
      <c r="P342" t="s">
        <v>724</v>
      </c>
      <c r="Q342" t="s">
        <v>733</v>
      </c>
      <c r="R342" t="s">
        <v>1074</v>
      </c>
      <c r="S342" s="5">
        <v>661.45</v>
      </c>
      <c r="T342" s="5">
        <v>1634.86</v>
      </c>
      <c r="U342" s="5" t="str">
        <f t="shared" si="104"/>
        <v>Valid</v>
      </c>
      <c r="V342" s="5">
        <f t="shared" si="95"/>
        <v>1634.86</v>
      </c>
      <c r="W342" s="5" t="str">
        <f t="shared" si="105"/>
        <v>Medium</v>
      </c>
      <c r="X342" s="5">
        <v>0.56499999999999995</v>
      </c>
      <c r="Y342" s="5" t="str">
        <f t="shared" si="106"/>
        <v>High Discount</v>
      </c>
      <c r="Z342" s="5">
        <f t="shared" si="107"/>
        <v>0.3</v>
      </c>
      <c r="AA342" s="5">
        <v>24</v>
      </c>
      <c r="AB342">
        <f t="shared" si="108"/>
        <v>27465.647999999997</v>
      </c>
      <c r="AC342">
        <f t="shared" si="96"/>
        <v>15874.800000000001</v>
      </c>
      <c r="AD342">
        <f t="shared" si="109"/>
        <v>11590.847999999996</v>
      </c>
      <c r="AE342">
        <f t="shared" si="110"/>
        <v>0.42201254454291404</v>
      </c>
      <c r="AF342">
        <f t="shared" si="111"/>
        <v>0</v>
      </c>
      <c r="AG342">
        <f t="shared" si="112"/>
        <v>1</v>
      </c>
      <c r="AK342">
        <f>AA342*(1+What_if_Analysis!$B$4)</f>
        <v>28.799999999999997</v>
      </c>
      <c r="AL342" s="5">
        <f>MIN(Z342,What_if_Analysis!$B$2)</f>
        <v>0.05</v>
      </c>
      <c r="AM342">
        <f t="shared" si="113"/>
        <v>44729.769599999992</v>
      </c>
      <c r="AN342">
        <f>AM342-(AK342*(T342*(1+What_if_Analysis!$B$3)))</f>
        <v>-7062.5952000000034</v>
      </c>
    </row>
    <row r="343" spans="1:40" x14ac:dyDescent="0.3">
      <c r="A343" t="s">
        <v>355</v>
      </c>
      <c r="B343" s="3">
        <v>45029</v>
      </c>
      <c r="C343" s="3" t="str">
        <f t="shared" si="97"/>
        <v>Apr-2023</v>
      </c>
      <c r="D343" s="3" t="str">
        <f t="shared" si="98"/>
        <v>Q2-2023</v>
      </c>
      <c r="E343" s="3">
        <v>45027</v>
      </c>
      <c r="F343" s="3" t="str">
        <f t="shared" si="99"/>
        <v>Invalid RequiredDate</v>
      </c>
      <c r="G343" s="12">
        <f t="shared" si="100"/>
        <v>-2</v>
      </c>
      <c r="H343" s="3">
        <f t="shared" si="101"/>
        <v>45055</v>
      </c>
      <c r="I343" t="s">
        <v>648</v>
      </c>
      <c r="J343" t="str">
        <f t="shared" si="102"/>
        <v>Americas → USA → San Francisco</v>
      </c>
      <c r="K343" s="3" t="str">
        <f t="shared" si="103"/>
        <v>USA-2023-04</v>
      </c>
      <c r="L343" t="s">
        <v>660</v>
      </c>
      <c r="M343" t="s">
        <v>686</v>
      </c>
      <c r="N343" t="s">
        <v>702</v>
      </c>
      <c r="O343" t="s">
        <v>709</v>
      </c>
      <c r="P343" t="s">
        <v>715</v>
      </c>
      <c r="Q343" t="s">
        <v>729</v>
      </c>
      <c r="R343" t="s">
        <v>1075</v>
      </c>
      <c r="S343" s="5">
        <v>32.1</v>
      </c>
      <c r="T343" s="5">
        <v>70.599999999999994</v>
      </c>
      <c r="U343" s="5" t="str">
        <f t="shared" si="104"/>
        <v>Valid</v>
      </c>
      <c r="V343" s="5">
        <f t="shared" si="95"/>
        <v>70.599999999999994</v>
      </c>
      <c r="W343" s="5" t="str">
        <f t="shared" si="105"/>
        <v>Low</v>
      </c>
      <c r="X343" s="5">
        <v>0.28199999999999997</v>
      </c>
      <c r="Y343" s="5" t="str">
        <f t="shared" si="106"/>
        <v>Valid</v>
      </c>
      <c r="Z343" s="5">
        <f t="shared" si="107"/>
        <v>0.28199999999999997</v>
      </c>
      <c r="AA343" s="5">
        <v>22</v>
      </c>
      <c r="AB343">
        <f t="shared" si="108"/>
        <v>1115.1975999999997</v>
      </c>
      <c r="AC343">
        <f t="shared" si="96"/>
        <v>706.2</v>
      </c>
      <c r="AD343">
        <f t="shared" si="109"/>
        <v>408.99759999999969</v>
      </c>
      <c r="AE343">
        <f t="shared" si="110"/>
        <v>0.36674899587301818</v>
      </c>
      <c r="AF343">
        <f t="shared" si="111"/>
        <v>1</v>
      </c>
      <c r="AG343">
        <f t="shared" si="112"/>
        <v>1</v>
      </c>
      <c r="AK343">
        <f>AA343*(1+What_if_Analysis!$B$4)</f>
        <v>26.4</v>
      </c>
      <c r="AL343" s="5">
        <f>MIN(Z343,What_if_Analysis!$B$2)</f>
        <v>0.05</v>
      </c>
      <c r="AM343">
        <f t="shared" si="113"/>
        <v>1770.6479999999997</v>
      </c>
      <c r="AN343">
        <f>AM343-(AK343*(T343*(1+What_if_Analysis!$B$3)))</f>
        <v>-279.57600000000002</v>
      </c>
    </row>
    <row r="344" spans="1:40" x14ac:dyDescent="0.3">
      <c r="A344" t="s">
        <v>356</v>
      </c>
      <c r="B344" s="3">
        <v>45594</v>
      </c>
      <c r="C344" s="3" t="str">
        <f t="shared" si="97"/>
        <v>Oct-2024</v>
      </c>
      <c r="D344" s="3" t="str">
        <f t="shared" si="98"/>
        <v>Q4-2024</v>
      </c>
      <c r="E344" s="3">
        <v>45600</v>
      </c>
      <c r="F344" s="3" t="str">
        <f t="shared" si="99"/>
        <v>Valid</v>
      </c>
      <c r="G344" s="12">
        <f t="shared" si="100"/>
        <v>6</v>
      </c>
      <c r="H344" s="3">
        <f t="shared" si="101"/>
        <v>45600</v>
      </c>
      <c r="I344" t="s">
        <v>646</v>
      </c>
      <c r="J344" t="str">
        <f t="shared" si="102"/>
        <v>Africa → Kenya → Nairobi</v>
      </c>
      <c r="K344" s="3" t="str">
        <f t="shared" si="103"/>
        <v>Kenya-2024-10</v>
      </c>
      <c r="L344" t="s">
        <v>650</v>
      </c>
      <c r="M344" t="s">
        <v>664</v>
      </c>
      <c r="N344" t="s">
        <v>701</v>
      </c>
      <c r="O344" t="s">
        <v>710</v>
      </c>
      <c r="P344" t="s">
        <v>724</v>
      </c>
      <c r="Q344" t="s">
        <v>728</v>
      </c>
      <c r="R344" t="s">
        <v>1076</v>
      </c>
      <c r="S344" s="5">
        <v>805.81</v>
      </c>
      <c r="T344" s="5">
        <v>1823.04</v>
      </c>
      <c r="U344" s="5" t="str">
        <f t="shared" si="104"/>
        <v>Valid</v>
      </c>
      <c r="V344" s="5">
        <f t="shared" si="95"/>
        <v>1823.04</v>
      </c>
      <c r="W344" s="5" t="str">
        <f t="shared" si="105"/>
        <v>Medium</v>
      </c>
      <c r="X344" s="5">
        <v>0</v>
      </c>
      <c r="Y344" s="5" t="str">
        <f t="shared" si="106"/>
        <v>Valid</v>
      </c>
      <c r="Z344" s="5">
        <f t="shared" si="107"/>
        <v>0</v>
      </c>
      <c r="AA344" s="5">
        <v>11</v>
      </c>
      <c r="AB344">
        <f t="shared" si="108"/>
        <v>20053.439999999999</v>
      </c>
      <c r="AC344">
        <f t="shared" si="96"/>
        <v>8863.91</v>
      </c>
      <c r="AD344">
        <f t="shared" si="109"/>
        <v>11189.529999999999</v>
      </c>
      <c r="AE344">
        <f t="shared" si="110"/>
        <v>0.55798556257679477</v>
      </c>
      <c r="AF344">
        <f t="shared" si="111"/>
        <v>1</v>
      </c>
      <c r="AG344">
        <f t="shared" si="112"/>
        <v>0</v>
      </c>
      <c r="AK344">
        <f>AA344*(1+What_if_Analysis!$B$4)</f>
        <v>13.2</v>
      </c>
      <c r="AL344" s="5">
        <f>MIN(Z344,What_if_Analysis!$B$2)</f>
        <v>0</v>
      </c>
      <c r="AM344">
        <f t="shared" si="113"/>
        <v>24064.127999999997</v>
      </c>
      <c r="AN344">
        <f>AM344-(AK344*(T344*(1+What_if_Analysis!$B$3)))</f>
        <v>-2406.4128000000019</v>
      </c>
    </row>
    <row r="345" spans="1:40" x14ac:dyDescent="0.3">
      <c r="A345" t="s">
        <v>357</v>
      </c>
      <c r="B345" s="3">
        <v>45339</v>
      </c>
      <c r="C345" s="3" t="str">
        <f t="shared" si="97"/>
        <v>Feb-2024</v>
      </c>
      <c r="D345" s="3" t="str">
        <f t="shared" si="98"/>
        <v>Q1-2024</v>
      </c>
      <c r="E345" s="3">
        <v>45355</v>
      </c>
      <c r="F345" s="3" t="str">
        <f t="shared" si="99"/>
        <v>Valid</v>
      </c>
      <c r="G345" s="12">
        <f t="shared" si="100"/>
        <v>16</v>
      </c>
      <c r="H345" s="3">
        <f t="shared" si="101"/>
        <v>45355</v>
      </c>
      <c r="I345" t="s">
        <v>647</v>
      </c>
      <c r="J345" t="str">
        <f t="shared" si="102"/>
        <v>Asia → India → Delhi</v>
      </c>
      <c r="K345" s="3" t="str">
        <f t="shared" si="103"/>
        <v>India-2024-02</v>
      </c>
      <c r="L345" t="s">
        <v>654</v>
      </c>
      <c r="M345" t="s">
        <v>680</v>
      </c>
      <c r="N345" t="s">
        <v>705</v>
      </c>
      <c r="O345" t="s">
        <v>709</v>
      </c>
      <c r="P345" t="s">
        <v>721</v>
      </c>
      <c r="Q345" t="s">
        <v>730</v>
      </c>
      <c r="R345" t="s">
        <v>1077</v>
      </c>
      <c r="S345" s="5">
        <v>1231.8</v>
      </c>
      <c r="T345" s="5">
        <v>2015.99</v>
      </c>
      <c r="U345" s="5" t="str">
        <f t="shared" si="104"/>
        <v>Valid</v>
      </c>
      <c r="V345" s="5">
        <f t="shared" si="95"/>
        <v>2015.99</v>
      </c>
      <c r="W345" s="5" t="str">
        <f t="shared" si="105"/>
        <v>High</v>
      </c>
      <c r="X345" s="5">
        <v>0.26100000000000001</v>
      </c>
      <c r="Y345" s="5" t="str">
        <f t="shared" si="106"/>
        <v>Valid</v>
      </c>
      <c r="Z345" s="5">
        <f t="shared" si="107"/>
        <v>0.26100000000000001</v>
      </c>
      <c r="AA345" s="5">
        <v>6</v>
      </c>
      <c r="AB345">
        <f t="shared" si="108"/>
        <v>8938.8996600000009</v>
      </c>
      <c r="AC345">
        <f t="shared" si="96"/>
        <v>7390.7999999999993</v>
      </c>
      <c r="AD345">
        <f t="shared" si="109"/>
        <v>1548.0996600000017</v>
      </c>
      <c r="AE345">
        <f t="shared" si="110"/>
        <v>0.17318682599464391</v>
      </c>
      <c r="AF345">
        <f t="shared" si="111"/>
        <v>0</v>
      </c>
      <c r="AG345">
        <f t="shared" si="112"/>
        <v>1</v>
      </c>
      <c r="AK345">
        <f>AA345*(1+What_if_Analysis!$B$4)</f>
        <v>7.1999999999999993</v>
      </c>
      <c r="AL345" s="5">
        <f>MIN(Z345,What_if_Analysis!$B$2)</f>
        <v>0.05</v>
      </c>
      <c r="AM345">
        <f t="shared" si="113"/>
        <v>13789.371599999999</v>
      </c>
      <c r="AN345">
        <f>AM345-(AK345*(T345*(1+What_if_Analysis!$B$3)))</f>
        <v>-2177.2692000000025</v>
      </c>
    </row>
    <row r="346" spans="1:40" x14ac:dyDescent="0.3">
      <c r="A346" t="s">
        <v>358</v>
      </c>
      <c r="B346" s="3">
        <v>45486</v>
      </c>
      <c r="C346" s="3" t="str">
        <f t="shared" si="97"/>
        <v>Jul-2024</v>
      </c>
      <c r="D346" s="3" t="str">
        <f t="shared" si="98"/>
        <v>Q3-2024</v>
      </c>
      <c r="E346" s="3">
        <v>45485</v>
      </c>
      <c r="F346" s="3" t="str">
        <f t="shared" si="99"/>
        <v>Invalid RequiredDate</v>
      </c>
      <c r="G346" s="12">
        <f t="shared" si="100"/>
        <v>-1</v>
      </c>
      <c r="H346" s="3">
        <f t="shared" si="101"/>
        <v>45512</v>
      </c>
      <c r="I346" t="s">
        <v>647</v>
      </c>
      <c r="J346" t="str">
        <f t="shared" si="102"/>
        <v>Asia → Japan → Nagoya</v>
      </c>
      <c r="K346" s="3" t="str">
        <f t="shared" si="103"/>
        <v>Japan-2024-07</v>
      </c>
      <c r="L346" t="s">
        <v>652</v>
      </c>
      <c r="M346" t="s">
        <v>694</v>
      </c>
      <c r="N346" t="s">
        <v>705</v>
      </c>
      <c r="O346" t="s">
        <v>709</v>
      </c>
      <c r="P346" t="s">
        <v>721</v>
      </c>
      <c r="Q346" t="s">
        <v>729</v>
      </c>
      <c r="R346" t="s">
        <v>1078</v>
      </c>
      <c r="S346" s="5">
        <v>105.13</v>
      </c>
      <c r="T346" s="5">
        <v>244.13</v>
      </c>
      <c r="U346" s="5" t="str">
        <f t="shared" si="104"/>
        <v>Valid</v>
      </c>
      <c r="V346" s="5">
        <f t="shared" si="95"/>
        <v>244.13</v>
      </c>
      <c r="W346" s="5" t="str">
        <f t="shared" si="105"/>
        <v>Low</v>
      </c>
      <c r="X346" s="5">
        <v>7.0999999999999994E-2</v>
      </c>
      <c r="Y346" s="5" t="str">
        <f t="shared" si="106"/>
        <v>Valid</v>
      </c>
      <c r="Z346" s="5">
        <f t="shared" si="107"/>
        <v>7.0999999999999994E-2</v>
      </c>
      <c r="AA346" s="5">
        <v>14</v>
      </c>
      <c r="AB346">
        <f t="shared" si="108"/>
        <v>3175.1547799999998</v>
      </c>
      <c r="AC346">
        <f t="shared" si="96"/>
        <v>1471.82</v>
      </c>
      <c r="AD346">
        <f t="shared" si="109"/>
        <v>1703.3347799999999</v>
      </c>
      <c r="AE346">
        <f t="shared" si="110"/>
        <v>0.53645724319618837</v>
      </c>
      <c r="AF346">
        <f t="shared" si="111"/>
        <v>1</v>
      </c>
      <c r="AG346">
        <f t="shared" si="112"/>
        <v>0</v>
      </c>
      <c r="AK346">
        <f>AA346*(1+What_if_Analysis!$B$4)</f>
        <v>16.8</v>
      </c>
      <c r="AL346" s="5">
        <f>MIN(Z346,What_if_Analysis!$B$2)</f>
        <v>0.05</v>
      </c>
      <c r="AM346">
        <f t="shared" si="113"/>
        <v>3896.3147999999997</v>
      </c>
      <c r="AN346">
        <f>AM346-(AK346*(T346*(1+What_if_Analysis!$B$3)))</f>
        <v>-615.20760000000109</v>
      </c>
    </row>
    <row r="347" spans="1:40" x14ac:dyDescent="0.3">
      <c r="A347" t="s">
        <v>359</v>
      </c>
      <c r="B347" s="3">
        <v>45261</v>
      </c>
      <c r="C347" s="3" t="str">
        <f t="shared" si="97"/>
        <v>Dec-2023</v>
      </c>
      <c r="D347" s="3" t="str">
        <f t="shared" si="98"/>
        <v>Q4-2023</v>
      </c>
      <c r="E347" s="3">
        <v>45278</v>
      </c>
      <c r="F347" s="3" t="str">
        <f t="shared" si="99"/>
        <v>Valid</v>
      </c>
      <c r="G347" s="12">
        <f t="shared" si="100"/>
        <v>17</v>
      </c>
      <c r="H347" s="3">
        <f t="shared" si="101"/>
        <v>45278</v>
      </c>
      <c r="I347" t="s">
        <v>647</v>
      </c>
      <c r="J347" t="str">
        <f t="shared" si="102"/>
        <v>Asia → Japan → Nagoya</v>
      </c>
      <c r="K347" s="3" t="str">
        <f t="shared" si="103"/>
        <v>Japan-2023-12</v>
      </c>
      <c r="L347" t="s">
        <v>652</v>
      </c>
      <c r="M347" t="s">
        <v>694</v>
      </c>
      <c r="N347" t="s">
        <v>705</v>
      </c>
      <c r="O347" t="s">
        <v>711</v>
      </c>
      <c r="P347" t="s">
        <v>725</v>
      </c>
      <c r="Q347" t="s">
        <v>731</v>
      </c>
      <c r="R347" t="s">
        <v>1079</v>
      </c>
      <c r="S347" s="5">
        <v>1495.79</v>
      </c>
      <c r="T347" s="5">
        <v>2783.12</v>
      </c>
      <c r="U347" s="5" t="str">
        <f t="shared" si="104"/>
        <v>Valid</v>
      </c>
      <c r="V347" s="5">
        <f t="shared" si="95"/>
        <v>2783.12</v>
      </c>
      <c r="W347" s="5" t="str">
        <f t="shared" si="105"/>
        <v>High</v>
      </c>
      <c r="X347" s="5">
        <v>0.02</v>
      </c>
      <c r="Y347" s="5" t="str">
        <f t="shared" si="106"/>
        <v>Valid</v>
      </c>
      <c r="Z347" s="5">
        <f t="shared" si="107"/>
        <v>0.02</v>
      </c>
      <c r="AA347" s="5">
        <v>5</v>
      </c>
      <c r="AB347">
        <f t="shared" si="108"/>
        <v>13637.287999999999</v>
      </c>
      <c r="AC347">
        <f t="shared" si="96"/>
        <v>7478.95</v>
      </c>
      <c r="AD347">
        <f t="shared" si="109"/>
        <v>6158.3379999999988</v>
      </c>
      <c r="AE347">
        <f t="shared" si="110"/>
        <v>0.45158084217331185</v>
      </c>
      <c r="AF347">
        <f t="shared" si="111"/>
        <v>0</v>
      </c>
      <c r="AG347">
        <f t="shared" si="112"/>
        <v>0</v>
      </c>
      <c r="AK347">
        <f>AA347*(1+What_if_Analysis!$B$4)</f>
        <v>6</v>
      </c>
      <c r="AL347" s="5">
        <f>MIN(Z347,What_if_Analysis!$B$2)</f>
        <v>0.02</v>
      </c>
      <c r="AM347">
        <f t="shared" si="113"/>
        <v>16364.7456</v>
      </c>
      <c r="AN347">
        <f>AM347-(AK347*(T347*(1+What_if_Analysis!$B$3)))</f>
        <v>-2003.8464000000004</v>
      </c>
    </row>
    <row r="348" spans="1:40" x14ac:dyDescent="0.3">
      <c r="A348" t="s">
        <v>360</v>
      </c>
      <c r="B348" s="3">
        <v>45498</v>
      </c>
      <c r="C348" s="3" t="str">
        <f t="shared" si="97"/>
        <v>Jul-2024</v>
      </c>
      <c r="D348" s="3" t="str">
        <f t="shared" si="98"/>
        <v>Q3-2024</v>
      </c>
      <c r="E348" s="3">
        <v>45506</v>
      </c>
      <c r="F348" s="3" t="str">
        <f t="shared" si="99"/>
        <v>Valid</v>
      </c>
      <c r="G348" s="12">
        <f t="shared" si="100"/>
        <v>8</v>
      </c>
      <c r="H348" s="3">
        <f t="shared" si="101"/>
        <v>45506</v>
      </c>
      <c r="I348" t="s">
        <v>648</v>
      </c>
      <c r="J348" t="str">
        <f t="shared" si="102"/>
        <v>Americas → Canada → Montreal</v>
      </c>
      <c r="K348" s="3" t="str">
        <f t="shared" si="103"/>
        <v>Canada-2024-07</v>
      </c>
      <c r="L348" t="s">
        <v>653</v>
      </c>
      <c r="M348" t="s">
        <v>681</v>
      </c>
      <c r="N348" t="s">
        <v>704</v>
      </c>
      <c r="O348" t="s">
        <v>711</v>
      </c>
      <c r="P348" t="s">
        <v>713</v>
      </c>
      <c r="Q348" t="s">
        <v>733</v>
      </c>
      <c r="R348" t="s">
        <v>1080</v>
      </c>
      <c r="S348" s="5">
        <v>986.81</v>
      </c>
      <c r="T348" s="5">
        <v>2050.31</v>
      </c>
      <c r="U348" s="5" t="str">
        <f t="shared" si="104"/>
        <v>Valid</v>
      </c>
      <c r="V348" s="5">
        <f t="shared" si="95"/>
        <v>2050.31</v>
      </c>
      <c r="W348" s="5" t="str">
        <f t="shared" si="105"/>
        <v>High</v>
      </c>
      <c r="X348" s="5">
        <v>0.10299999999999999</v>
      </c>
      <c r="Y348" s="5" t="str">
        <f t="shared" si="106"/>
        <v>Valid</v>
      </c>
      <c r="Z348" s="5">
        <f t="shared" si="107"/>
        <v>0.10299999999999999</v>
      </c>
      <c r="AA348" s="5">
        <v>43</v>
      </c>
      <c r="AB348">
        <f t="shared" si="108"/>
        <v>79082.507010000001</v>
      </c>
      <c r="AC348">
        <f t="shared" si="96"/>
        <v>42432.829999999994</v>
      </c>
      <c r="AD348">
        <f t="shared" si="109"/>
        <v>36649.677010000007</v>
      </c>
      <c r="AE348">
        <f t="shared" si="110"/>
        <v>0.46343595310358138</v>
      </c>
      <c r="AF348">
        <f t="shared" si="111"/>
        <v>0</v>
      </c>
      <c r="AG348">
        <f t="shared" si="112"/>
        <v>0</v>
      </c>
      <c r="AK348">
        <f>AA348*(1+What_if_Analysis!$B$4)</f>
        <v>51.6</v>
      </c>
      <c r="AL348" s="5">
        <f>MIN(Z348,What_if_Analysis!$B$2)</f>
        <v>0.05</v>
      </c>
      <c r="AM348">
        <f t="shared" si="113"/>
        <v>100506.19619999999</v>
      </c>
      <c r="AN348">
        <f>AM348-(AK348*(T348*(1+What_if_Analysis!$B$3)))</f>
        <v>-15869.399400000024</v>
      </c>
    </row>
    <row r="349" spans="1:40" x14ac:dyDescent="0.3">
      <c r="A349" t="s">
        <v>361</v>
      </c>
      <c r="B349" s="3">
        <v>45050</v>
      </c>
      <c r="C349" s="3" t="str">
        <f t="shared" si="97"/>
        <v>May-2023</v>
      </c>
      <c r="D349" s="3" t="str">
        <f t="shared" si="98"/>
        <v>Q2-2023</v>
      </c>
      <c r="E349" s="3">
        <v>45062</v>
      </c>
      <c r="F349" s="3" t="str">
        <f t="shared" si="99"/>
        <v>Valid</v>
      </c>
      <c r="G349" s="12">
        <f t="shared" si="100"/>
        <v>12</v>
      </c>
      <c r="H349" s="3">
        <f t="shared" si="101"/>
        <v>45062</v>
      </c>
      <c r="I349" t="s">
        <v>646</v>
      </c>
      <c r="J349" t="str">
        <f t="shared" si="102"/>
        <v>Africa → Nigeria → Abuja</v>
      </c>
      <c r="K349" s="3" t="str">
        <f t="shared" si="103"/>
        <v>Nigeria-2023-05</v>
      </c>
      <c r="L349" t="s">
        <v>651</v>
      </c>
      <c r="M349" t="s">
        <v>669</v>
      </c>
      <c r="N349" t="s">
        <v>705</v>
      </c>
      <c r="O349" t="s">
        <v>709</v>
      </c>
      <c r="P349" t="s">
        <v>713</v>
      </c>
      <c r="Q349" t="s">
        <v>730</v>
      </c>
      <c r="R349" t="s">
        <v>1081</v>
      </c>
      <c r="S349" s="5">
        <v>77.739999999999995</v>
      </c>
      <c r="T349" s="5">
        <v>147.12</v>
      </c>
      <c r="U349" s="5" t="str">
        <f t="shared" si="104"/>
        <v>Valid</v>
      </c>
      <c r="V349" s="5">
        <f t="shared" si="95"/>
        <v>147.12</v>
      </c>
      <c r="W349" s="5" t="str">
        <f t="shared" si="105"/>
        <v>Low</v>
      </c>
      <c r="X349" s="5">
        <v>0</v>
      </c>
      <c r="Y349" s="5" t="str">
        <f t="shared" si="106"/>
        <v>Valid</v>
      </c>
      <c r="Z349" s="5">
        <f t="shared" si="107"/>
        <v>0</v>
      </c>
      <c r="AA349" s="5">
        <v>15</v>
      </c>
      <c r="AB349">
        <f t="shared" si="108"/>
        <v>2206.8000000000002</v>
      </c>
      <c r="AC349">
        <f t="shared" si="96"/>
        <v>1166.0999999999999</v>
      </c>
      <c r="AD349">
        <f t="shared" si="109"/>
        <v>1040.7000000000003</v>
      </c>
      <c r="AE349">
        <f t="shared" si="110"/>
        <v>0.47158781946710177</v>
      </c>
      <c r="AF349">
        <f t="shared" si="111"/>
        <v>0</v>
      </c>
      <c r="AG349">
        <f t="shared" si="112"/>
        <v>0</v>
      </c>
      <c r="AK349">
        <f>AA349*(1+What_if_Analysis!$B$4)</f>
        <v>18</v>
      </c>
      <c r="AL349" s="5">
        <f>MIN(Z349,What_if_Analysis!$B$2)</f>
        <v>0</v>
      </c>
      <c r="AM349">
        <f t="shared" si="113"/>
        <v>2648.16</v>
      </c>
      <c r="AN349">
        <f>AM349-(AK349*(T349*(1+What_if_Analysis!$B$3)))</f>
        <v>-264.81600000000071</v>
      </c>
    </row>
    <row r="350" spans="1:40" x14ac:dyDescent="0.3">
      <c r="A350" t="s">
        <v>362</v>
      </c>
      <c r="B350" s="3">
        <v>45281</v>
      </c>
      <c r="C350" s="3" t="str">
        <f t="shared" si="97"/>
        <v>Dec-2023</v>
      </c>
      <c r="D350" s="3" t="str">
        <f t="shared" si="98"/>
        <v>Q4-2023</v>
      </c>
      <c r="E350" s="3">
        <v>45297</v>
      </c>
      <c r="F350" s="3" t="str">
        <f t="shared" si="99"/>
        <v>Valid</v>
      </c>
      <c r="G350" s="12">
        <f t="shared" si="100"/>
        <v>16</v>
      </c>
      <c r="H350" s="3">
        <f t="shared" si="101"/>
        <v>45297</v>
      </c>
      <c r="I350" t="s">
        <v>646</v>
      </c>
      <c r="J350" t="str">
        <f t="shared" si="102"/>
        <v>Africa → Nigeria → unknown</v>
      </c>
      <c r="K350" s="3" t="str">
        <f t="shared" si="103"/>
        <v>Nigeria-2023-12</v>
      </c>
      <c r="L350" t="s">
        <v>651</v>
      </c>
      <c r="M350" t="s">
        <v>1422</v>
      </c>
      <c r="N350" t="s">
        <v>701</v>
      </c>
      <c r="O350" t="s">
        <v>709</v>
      </c>
      <c r="P350" t="s">
        <v>723</v>
      </c>
      <c r="Q350" t="s">
        <v>727</v>
      </c>
      <c r="R350" t="s">
        <v>1082</v>
      </c>
      <c r="S350" s="5">
        <v>932.61</v>
      </c>
      <c r="T350" s="5">
        <v>1982.98</v>
      </c>
      <c r="U350" s="5" t="str">
        <f t="shared" si="104"/>
        <v>Valid</v>
      </c>
      <c r="V350" s="5">
        <f t="shared" si="95"/>
        <v>1982.98</v>
      </c>
      <c r="W350" s="5" t="str">
        <f t="shared" si="105"/>
        <v>High</v>
      </c>
      <c r="X350" s="5">
        <v>0.14399999999999999</v>
      </c>
      <c r="Y350" s="5" t="str">
        <f t="shared" si="106"/>
        <v>Valid</v>
      </c>
      <c r="Z350" s="5">
        <f t="shared" si="107"/>
        <v>0.14399999999999999</v>
      </c>
      <c r="AA350" s="5">
        <v>16</v>
      </c>
      <c r="AB350">
        <f t="shared" si="108"/>
        <v>27158.894079999998</v>
      </c>
      <c r="AC350">
        <f t="shared" si="96"/>
        <v>14921.76</v>
      </c>
      <c r="AD350">
        <f t="shared" si="109"/>
        <v>12237.134079999998</v>
      </c>
      <c r="AE350">
        <f t="shared" si="110"/>
        <v>0.45057556629345635</v>
      </c>
      <c r="AF350">
        <f t="shared" si="111"/>
        <v>0</v>
      </c>
      <c r="AG350">
        <f t="shared" si="112"/>
        <v>0</v>
      </c>
      <c r="AK350">
        <f>AA350*(1+What_if_Analysis!$B$4)</f>
        <v>19.2</v>
      </c>
      <c r="AL350" s="5">
        <f>MIN(Z350,What_if_Analysis!$B$2)</f>
        <v>0.05</v>
      </c>
      <c r="AM350">
        <f t="shared" si="113"/>
        <v>36169.555199999995</v>
      </c>
      <c r="AN350">
        <f>AM350-(AK350*(T350*(1+What_if_Analysis!$B$3)))</f>
        <v>-5710.9824000000081</v>
      </c>
    </row>
    <row r="351" spans="1:40" x14ac:dyDescent="0.3">
      <c r="A351" t="s">
        <v>363</v>
      </c>
      <c r="B351" s="3">
        <v>45825</v>
      </c>
      <c r="C351" s="3" t="str">
        <f t="shared" si="97"/>
        <v>Jun-2025</v>
      </c>
      <c r="D351" s="3" t="str">
        <f t="shared" si="98"/>
        <v>Q2-2025</v>
      </c>
      <c r="E351" s="3">
        <v>45843</v>
      </c>
      <c r="F351" s="3" t="str">
        <f t="shared" si="99"/>
        <v>Valid</v>
      </c>
      <c r="G351" s="12">
        <f t="shared" si="100"/>
        <v>18</v>
      </c>
      <c r="H351" s="3">
        <f t="shared" si="101"/>
        <v>45843</v>
      </c>
      <c r="I351" t="s">
        <v>647</v>
      </c>
      <c r="J351" t="str">
        <f t="shared" si="102"/>
        <v>Asia → India → Delhi</v>
      </c>
      <c r="K351" s="3" t="str">
        <f t="shared" si="103"/>
        <v>India-2025-06</v>
      </c>
      <c r="L351" t="s">
        <v>654</v>
      </c>
      <c r="M351" t="s">
        <v>680</v>
      </c>
      <c r="N351" t="s">
        <v>704</v>
      </c>
      <c r="O351" t="s">
        <v>709</v>
      </c>
      <c r="P351" t="s">
        <v>716</v>
      </c>
      <c r="Q351" t="s">
        <v>731</v>
      </c>
      <c r="R351" t="s">
        <v>1083</v>
      </c>
      <c r="S351" s="5">
        <v>982.93</v>
      </c>
      <c r="T351" s="5">
        <v>2299.3000000000002</v>
      </c>
      <c r="U351" s="5" t="str">
        <f t="shared" si="104"/>
        <v>Valid</v>
      </c>
      <c r="V351" s="5">
        <f t="shared" si="95"/>
        <v>2299.3000000000002</v>
      </c>
      <c r="W351" s="5" t="str">
        <f t="shared" si="105"/>
        <v>High</v>
      </c>
      <c r="X351" s="5">
        <v>0.113</v>
      </c>
      <c r="Y351" s="5" t="str">
        <f t="shared" si="106"/>
        <v>Valid</v>
      </c>
      <c r="Z351" s="5">
        <f t="shared" si="107"/>
        <v>0.113</v>
      </c>
      <c r="AA351" s="5">
        <v>6</v>
      </c>
      <c r="AB351">
        <f t="shared" si="108"/>
        <v>12236.874600000001</v>
      </c>
      <c r="AC351">
        <f t="shared" si="96"/>
        <v>5897.58</v>
      </c>
      <c r="AD351">
        <f t="shared" si="109"/>
        <v>6339.2946000000011</v>
      </c>
      <c r="AE351">
        <f t="shared" si="110"/>
        <v>0.51804850562087157</v>
      </c>
      <c r="AF351">
        <f t="shared" si="111"/>
        <v>0</v>
      </c>
      <c r="AG351">
        <f t="shared" si="112"/>
        <v>0</v>
      </c>
      <c r="AK351">
        <f>AA351*(1+What_if_Analysis!$B$4)</f>
        <v>7.1999999999999993</v>
      </c>
      <c r="AL351" s="5">
        <f>MIN(Z351,What_if_Analysis!$B$2)</f>
        <v>0.05</v>
      </c>
      <c r="AM351">
        <f t="shared" si="113"/>
        <v>15727.211999999998</v>
      </c>
      <c r="AN351">
        <f>AM351-(AK351*(T351*(1+What_if_Analysis!$B$3)))</f>
        <v>-2483.2440000000042</v>
      </c>
    </row>
    <row r="352" spans="1:40" x14ac:dyDescent="0.3">
      <c r="A352" t="s">
        <v>364</v>
      </c>
      <c r="B352" s="3">
        <v>44980</v>
      </c>
      <c r="C352" s="3" t="str">
        <f t="shared" si="97"/>
        <v>Feb-2023</v>
      </c>
      <c r="D352" s="3" t="str">
        <f t="shared" si="98"/>
        <v>Q1-2023</v>
      </c>
      <c r="E352" s="3">
        <v>44993</v>
      </c>
      <c r="F352" s="3" t="str">
        <f t="shared" si="99"/>
        <v>Valid</v>
      </c>
      <c r="G352" s="12">
        <f t="shared" si="100"/>
        <v>13</v>
      </c>
      <c r="H352" s="3">
        <f t="shared" si="101"/>
        <v>44993</v>
      </c>
      <c r="I352" t="s">
        <v>649</v>
      </c>
      <c r="J352" t="str">
        <f t="shared" si="102"/>
        <v>Europe → United Kingdom → Manchester</v>
      </c>
      <c r="K352" s="3" t="str">
        <f t="shared" si="103"/>
        <v>United Kingdom-2023-02</v>
      </c>
      <c r="L352" t="s">
        <v>658</v>
      </c>
      <c r="M352" t="s">
        <v>693</v>
      </c>
      <c r="N352" t="s">
        <v>705</v>
      </c>
      <c r="O352" t="s">
        <v>711</v>
      </c>
      <c r="P352" t="s">
        <v>712</v>
      </c>
      <c r="Q352" t="s">
        <v>728</v>
      </c>
      <c r="R352" t="s">
        <v>1084</v>
      </c>
      <c r="S352" s="5">
        <v>307.37</v>
      </c>
      <c r="T352" s="5">
        <v>462.61</v>
      </c>
      <c r="U352" s="5" t="str">
        <f t="shared" si="104"/>
        <v>Valid</v>
      </c>
      <c r="V352" s="5">
        <f t="shared" si="95"/>
        <v>462.61</v>
      </c>
      <c r="W352" s="5" t="str">
        <f t="shared" si="105"/>
        <v>Low</v>
      </c>
      <c r="X352" s="5">
        <v>0.188</v>
      </c>
      <c r="Y352" s="5" t="str">
        <f t="shared" si="106"/>
        <v>Valid</v>
      </c>
      <c r="Z352" s="5">
        <f t="shared" si="107"/>
        <v>0.188</v>
      </c>
      <c r="AA352" s="5">
        <v>11</v>
      </c>
      <c r="AB352">
        <f t="shared" si="108"/>
        <v>4132.0325200000007</v>
      </c>
      <c r="AC352">
        <f t="shared" si="96"/>
        <v>3381.07</v>
      </c>
      <c r="AD352">
        <f t="shared" si="109"/>
        <v>750.9625200000005</v>
      </c>
      <c r="AE352">
        <f t="shared" si="110"/>
        <v>0.18174167709599739</v>
      </c>
      <c r="AF352">
        <f t="shared" si="111"/>
        <v>0</v>
      </c>
      <c r="AG352">
        <f t="shared" si="112"/>
        <v>0</v>
      </c>
      <c r="AK352">
        <f>AA352*(1+What_if_Analysis!$B$4)</f>
        <v>13.2</v>
      </c>
      <c r="AL352" s="5">
        <f>MIN(Z352,What_if_Analysis!$B$2)</f>
        <v>0.05</v>
      </c>
      <c r="AM352">
        <f t="shared" si="113"/>
        <v>5801.1293999999998</v>
      </c>
      <c r="AN352">
        <f>AM352-(AK352*(T352*(1+What_if_Analysis!$B$3)))</f>
        <v>-915.96780000000035</v>
      </c>
    </row>
    <row r="353" spans="1:40" x14ac:dyDescent="0.3">
      <c r="A353" t="s">
        <v>365</v>
      </c>
      <c r="B353" s="3">
        <v>45262</v>
      </c>
      <c r="C353" s="3" t="str">
        <f t="shared" si="97"/>
        <v>Dec-2023</v>
      </c>
      <c r="D353" s="3" t="str">
        <f t="shared" si="98"/>
        <v>Q4-2023</v>
      </c>
      <c r="E353" s="3">
        <v>45276</v>
      </c>
      <c r="F353" s="3" t="str">
        <f t="shared" si="99"/>
        <v>Valid</v>
      </c>
      <c r="G353" s="12">
        <f t="shared" si="100"/>
        <v>14</v>
      </c>
      <c r="H353" s="3">
        <f t="shared" si="101"/>
        <v>45276</v>
      </c>
      <c r="I353" t="s">
        <v>649</v>
      </c>
      <c r="J353" t="str">
        <f t="shared" si="102"/>
        <v>Europe → Germany → Frankfurt</v>
      </c>
      <c r="K353" s="3" t="str">
        <f t="shared" si="103"/>
        <v>Germany-2023-12</v>
      </c>
      <c r="L353" t="s">
        <v>656</v>
      </c>
      <c r="M353" t="s">
        <v>698</v>
      </c>
      <c r="N353" t="s">
        <v>702</v>
      </c>
      <c r="O353" t="s">
        <v>711</v>
      </c>
      <c r="P353" t="s">
        <v>725</v>
      </c>
      <c r="Q353" t="s">
        <v>732</v>
      </c>
      <c r="R353" t="s">
        <v>1085</v>
      </c>
      <c r="S353" s="5">
        <v>879.08</v>
      </c>
      <c r="T353" s="5">
        <v>1093.3900000000001</v>
      </c>
      <c r="U353" s="5" t="str">
        <f t="shared" si="104"/>
        <v>Valid</v>
      </c>
      <c r="V353" s="5">
        <f t="shared" si="95"/>
        <v>1093.3900000000001</v>
      </c>
      <c r="W353" s="5" t="str">
        <f t="shared" si="105"/>
        <v>Medium</v>
      </c>
      <c r="X353" s="5">
        <v>0.113</v>
      </c>
      <c r="Y353" s="5" t="str">
        <f t="shared" si="106"/>
        <v>Valid</v>
      </c>
      <c r="Z353" s="5">
        <f t="shared" si="107"/>
        <v>0.113</v>
      </c>
      <c r="AA353" s="5">
        <v>17</v>
      </c>
      <c r="AB353">
        <f t="shared" si="108"/>
        <v>16487.22781</v>
      </c>
      <c r="AC353">
        <f t="shared" si="96"/>
        <v>14944.36</v>
      </c>
      <c r="AD353">
        <f t="shared" si="109"/>
        <v>1542.8678099999997</v>
      </c>
      <c r="AE353">
        <f t="shared" si="110"/>
        <v>9.3579577341935186E-2</v>
      </c>
      <c r="AF353">
        <f t="shared" si="111"/>
        <v>0</v>
      </c>
      <c r="AG353">
        <f t="shared" si="112"/>
        <v>0</v>
      </c>
      <c r="AK353">
        <f>AA353*(1+What_if_Analysis!$B$4)</f>
        <v>20.399999999999999</v>
      </c>
      <c r="AL353" s="5">
        <f>MIN(Z353,What_if_Analysis!$B$2)</f>
        <v>0.05</v>
      </c>
      <c r="AM353">
        <f t="shared" si="113"/>
        <v>21189.8982</v>
      </c>
      <c r="AN353">
        <f>AM353-(AK353*(T353*(1+What_if_Analysis!$B$3)))</f>
        <v>-3345.7734000000055</v>
      </c>
    </row>
    <row r="354" spans="1:40" x14ac:dyDescent="0.3">
      <c r="A354" t="s">
        <v>366</v>
      </c>
      <c r="B354" s="3">
        <v>45121</v>
      </c>
      <c r="C354" s="3" t="str">
        <f t="shared" si="97"/>
        <v>Jul-2023</v>
      </c>
      <c r="D354" s="3" t="str">
        <f t="shared" si="98"/>
        <v>Q3-2023</v>
      </c>
      <c r="E354" s="3">
        <v>45121</v>
      </c>
      <c r="F354" s="3" t="str">
        <f t="shared" si="99"/>
        <v>Valid</v>
      </c>
      <c r="G354" s="12">
        <f t="shared" si="100"/>
        <v>0</v>
      </c>
      <c r="H354" s="3">
        <f t="shared" si="101"/>
        <v>45121</v>
      </c>
      <c r="I354" t="s">
        <v>646</v>
      </c>
      <c r="J354" t="str">
        <f t="shared" si="102"/>
        <v>Africa → Nigeria → Lagos</v>
      </c>
      <c r="K354" s="3" t="str">
        <f t="shared" si="103"/>
        <v>Nigeria-2023-07</v>
      </c>
      <c r="L354" t="s">
        <v>651</v>
      </c>
      <c r="M354" t="s">
        <v>665</v>
      </c>
      <c r="N354" t="s">
        <v>702</v>
      </c>
      <c r="O354" t="s">
        <v>707</v>
      </c>
      <c r="P354" t="s">
        <v>714</v>
      </c>
      <c r="Q354" t="s">
        <v>733</v>
      </c>
      <c r="R354" t="s">
        <v>1086</v>
      </c>
      <c r="S354" s="5">
        <v>956.38</v>
      </c>
      <c r="T354" s="5">
        <v>1454.22</v>
      </c>
      <c r="U354" s="5" t="str">
        <f t="shared" si="104"/>
        <v>Valid</v>
      </c>
      <c r="V354" s="5">
        <f t="shared" si="95"/>
        <v>1454.22</v>
      </c>
      <c r="W354" s="5" t="str">
        <f t="shared" si="105"/>
        <v>Medium</v>
      </c>
      <c r="X354" s="5">
        <v>3.9E-2</v>
      </c>
      <c r="Y354" s="5" t="str">
        <f t="shared" si="106"/>
        <v>Valid</v>
      </c>
      <c r="Z354" s="5">
        <f t="shared" si="107"/>
        <v>3.9E-2</v>
      </c>
      <c r="AA354" s="5">
        <v>19</v>
      </c>
      <c r="AB354">
        <f t="shared" si="108"/>
        <v>26552.60298</v>
      </c>
      <c r="AC354">
        <f t="shared" si="96"/>
        <v>18171.22</v>
      </c>
      <c r="AD354">
        <f t="shared" si="109"/>
        <v>8381.3829799999985</v>
      </c>
      <c r="AE354">
        <f t="shared" si="110"/>
        <v>0.31565202802576603</v>
      </c>
      <c r="AF354">
        <f t="shared" si="111"/>
        <v>1</v>
      </c>
      <c r="AG354">
        <f t="shared" si="112"/>
        <v>0</v>
      </c>
      <c r="AK354">
        <f>AA354*(1+What_if_Analysis!$B$4)</f>
        <v>22.8</v>
      </c>
      <c r="AL354" s="5">
        <f>MIN(Z354,What_if_Analysis!$B$2)</f>
        <v>3.9E-2</v>
      </c>
      <c r="AM354">
        <f t="shared" si="113"/>
        <v>31863.123575999998</v>
      </c>
      <c r="AN354">
        <f>AM354-(AK354*(T354*(1+What_if_Analysis!$B$3)))</f>
        <v>-4608.7140240000008</v>
      </c>
    </row>
    <row r="355" spans="1:40" x14ac:dyDescent="0.3">
      <c r="A355" t="s">
        <v>367</v>
      </c>
      <c r="B355" s="3">
        <v>45512</v>
      </c>
      <c r="C355" s="3" t="str">
        <f t="shared" si="97"/>
        <v>Aug-2024</v>
      </c>
      <c r="D355" s="3" t="str">
        <f t="shared" si="98"/>
        <v>Q3-2024</v>
      </c>
      <c r="E355" s="3">
        <v>45524</v>
      </c>
      <c r="F355" s="3" t="str">
        <f t="shared" si="99"/>
        <v>Valid</v>
      </c>
      <c r="G355" s="12">
        <f t="shared" si="100"/>
        <v>12</v>
      </c>
      <c r="H355" s="3">
        <f t="shared" si="101"/>
        <v>45524</v>
      </c>
      <c r="I355" t="s">
        <v>647</v>
      </c>
      <c r="J355" t="str">
        <f t="shared" si="102"/>
        <v>Asia → Japan → Osaka</v>
      </c>
      <c r="K355" s="3" t="str">
        <f t="shared" si="103"/>
        <v>Japan-2024-08</v>
      </c>
      <c r="L355" t="s">
        <v>652</v>
      </c>
      <c r="M355" t="s">
        <v>666</v>
      </c>
      <c r="N355" t="s">
        <v>705</v>
      </c>
      <c r="O355" t="s">
        <v>707</v>
      </c>
      <c r="P355" t="s">
        <v>722</v>
      </c>
      <c r="Q355" t="s">
        <v>729</v>
      </c>
      <c r="R355" t="s">
        <v>1087</v>
      </c>
      <c r="S355" s="5">
        <v>1233.3599999999999</v>
      </c>
      <c r="T355" s="5">
        <v>2120.4</v>
      </c>
      <c r="U355" s="5" t="str">
        <f t="shared" si="104"/>
        <v>Valid</v>
      </c>
      <c r="V355" s="5">
        <f t="shared" si="95"/>
        <v>2120.4</v>
      </c>
      <c r="W355" s="5" t="str">
        <f t="shared" si="105"/>
        <v>High</v>
      </c>
      <c r="X355" s="5">
        <v>0.17899999999999999</v>
      </c>
      <c r="Y355" s="5" t="str">
        <f t="shared" si="106"/>
        <v>Valid</v>
      </c>
      <c r="Z355" s="5">
        <f t="shared" si="107"/>
        <v>0.17899999999999999</v>
      </c>
      <c r="AA355" s="5">
        <v>20</v>
      </c>
      <c r="AB355">
        <f t="shared" si="108"/>
        <v>34816.968000000001</v>
      </c>
      <c r="AC355">
        <f t="shared" si="96"/>
        <v>24667.199999999997</v>
      </c>
      <c r="AD355">
        <f t="shared" si="109"/>
        <v>10149.768000000004</v>
      </c>
      <c r="AE355">
        <f t="shared" si="110"/>
        <v>0.29151785991244278</v>
      </c>
      <c r="AF355">
        <f t="shared" si="111"/>
        <v>0</v>
      </c>
      <c r="AG355">
        <f t="shared" si="112"/>
        <v>0</v>
      </c>
      <c r="AK355">
        <f>AA355*(1+What_if_Analysis!$B$4)</f>
        <v>24</v>
      </c>
      <c r="AL355" s="5">
        <f>MIN(Z355,What_if_Analysis!$B$2)</f>
        <v>0.05</v>
      </c>
      <c r="AM355">
        <f t="shared" si="113"/>
        <v>48345.120000000003</v>
      </c>
      <c r="AN355">
        <f>AM355-(AK355*(T355*(1+What_if_Analysis!$B$3)))</f>
        <v>-7633.4400000000096</v>
      </c>
    </row>
    <row r="356" spans="1:40" x14ac:dyDescent="0.3">
      <c r="A356" t="s">
        <v>368</v>
      </c>
      <c r="B356" s="3">
        <v>45603</v>
      </c>
      <c r="C356" s="3" t="str">
        <f t="shared" si="97"/>
        <v>Nov-2024</v>
      </c>
      <c r="D356" s="3" t="str">
        <f t="shared" si="98"/>
        <v>Q4-2024</v>
      </c>
      <c r="E356" s="3">
        <v>45622</v>
      </c>
      <c r="F356" s="3" t="str">
        <f t="shared" si="99"/>
        <v>Valid</v>
      </c>
      <c r="G356" s="12">
        <f t="shared" si="100"/>
        <v>19</v>
      </c>
      <c r="H356" s="3">
        <f t="shared" si="101"/>
        <v>45622</v>
      </c>
      <c r="I356" t="s">
        <v>648</v>
      </c>
      <c r="J356" t="str">
        <f t="shared" si="102"/>
        <v>Americas → Brazil → Rio de Janeiro</v>
      </c>
      <c r="K356" s="3" t="str">
        <f t="shared" si="103"/>
        <v>Brazil-2024-11</v>
      </c>
      <c r="L356" t="s">
        <v>655</v>
      </c>
      <c r="M356" t="s">
        <v>692</v>
      </c>
      <c r="N356" t="s">
        <v>703</v>
      </c>
      <c r="O356" t="s">
        <v>710</v>
      </c>
      <c r="P356" t="s">
        <v>713</v>
      </c>
      <c r="Q356" t="s">
        <v>728</v>
      </c>
      <c r="R356" t="s">
        <v>1088</v>
      </c>
      <c r="S356" s="5">
        <v>55.35</v>
      </c>
      <c r="T356" s="5">
        <v>128.68</v>
      </c>
      <c r="U356" s="5" t="str">
        <f t="shared" si="104"/>
        <v>Valid</v>
      </c>
      <c r="V356" s="5">
        <f t="shared" si="95"/>
        <v>128.68</v>
      </c>
      <c r="W356" s="5" t="str">
        <f t="shared" si="105"/>
        <v>Low</v>
      </c>
      <c r="X356" s="5">
        <v>0.128</v>
      </c>
      <c r="Y356" s="5" t="str">
        <f t="shared" si="106"/>
        <v>Valid</v>
      </c>
      <c r="Z356" s="5">
        <f t="shared" si="107"/>
        <v>0.128</v>
      </c>
      <c r="AA356" s="5">
        <v>10</v>
      </c>
      <c r="AB356">
        <f t="shared" si="108"/>
        <v>1122.0896000000002</v>
      </c>
      <c r="AC356">
        <f t="shared" si="96"/>
        <v>553.5</v>
      </c>
      <c r="AD356">
        <f t="shared" si="109"/>
        <v>568.58960000000025</v>
      </c>
      <c r="AE356">
        <f t="shared" si="110"/>
        <v>0.50672388372550647</v>
      </c>
      <c r="AF356">
        <f t="shared" si="111"/>
        <v>0</v>
      </c>
      <c r="AG356">
        <f t="shared" si="112"/>
        <v>0</v>
      </c>
      <c r="AK356">
        <f>AA356*(1+What_if_Analysis!$B$4)</f>
        <v>12</v>
      </c>
      <c r="AL356" s="5">
        <f>MIN(Z356,What_if_Analysis!$B$2)</f>
        <v>0.05</v>
      </c>
      <c r="AM356">
        <f t="shared" si="113"/>
        <v>1466.952</v>
      </c>
      <c r="AN356">
        <f>AM356-(AK356*(T356*(1+What_if_Analysis!$B$3)))</f>
        <v>-231.62400000000048</v>
      </c>
    </row>
    <row r="357" spans="1:40" x14ac:dyDescent="0.3">
      <c r="A357" t="s">
        <v>369</v>
      </c>
      <c r="B357" s="3">
        <v>45292</v>
      </c>
      <c r="C357" s="3" t="str">
        <f t="shared" si="97"/>
        <v>Jan-2024</v>
      </c>
      <c r="D357" s="3" t="str">
        <f t="shared" si="98"/>
        <v>Q1-2024</v>
      </c>
      <c r="E357" s="3">
        <v>45318</v>
      </c>
      <c r="F357" s="3" t="str">
        <f t="shared" si="99"/>
        <v>Valid</v>
      </c>
      <c r="G357" s="12">
        <f t="shared" si="100"/>
        <v>26</v>
      </c>
      <c r="H357" s="3">
        <f t="shared" si="101"/>
        <v>45318</v>
      </c>
      <c r="I357" t="s">
        <v>649</v>
      </c>
      <c r="J357" t="str">
        <f t="shared" si="102"/>
        <v>Europe → United Kingdom → Manchester</v>
      </c>
      <c r="K357" s="3" t="str">
        <f t="shared" si="103"/>
        <v>United Kingdom-2024-01</v>
      </c>
      <c r="L357" t="s">
        <v>658</v>
      </c>
      <c r="M357" t="s">
        <v>693</v>
      </c>
      <c r="N357" t="s">
        <v>702</v>
      </c>
      <c r="O357" t="s">
        <v>710</v>
      </c>
      <c r="P357" t="s">
        <v>726</v>
      </c>
      <c r="Q357" t="s">
        <v>733</v>
      </c>
      <c r="R357" t="s">
        <v>1089</v>
      </c>
      <c r="S357" s="5">
        <v>657.45</v>
      </c>
      <c r="T357" s="5">
        <v>1325.96</v>
      </c>
      <c r="U357" s="5" t="str">
        <f t="shared" si="104"/>
        <v>Valid</v>
      </c>
      <c r="V357" s="5">
        <f t="shared" si="95"/>
        <v>1325.96</v>
      </c>
      <c r="W357" s="5" t="str">
        <f t="shared" si="105"/>
        <v>Medium</v>
      </c>
      <c r="X357" s="5">
        <v>0.16700000000000001</v>
      </c>
      <c r="Y357" s="5" t="str">
        <f t="shared" si="106"/>
        <v>Valid</v>
      </c>
      <c r="Z357" s="5">
        <f t="shared" si="107"/>
        <v>0.16700000000000001</v>
      </c>
      <c r="AA357" s="5">
        <v>21</v>
      </c>
      <c r="AB357">
        <f t="shared" si="108"/>
        <v>23195.01828</v>
      </c>
      <c r="AC357">
        <f t="shared" si="96"/>
        <v>13806.45</v>
      </c>
      <c r="AD357">
        <f t="shared" si="109"/>
        <v>9388.5682799999995</v>
      </c>
      <c r="AE357">
        <f t="shared" si="110"/>
        <v>0.40476658249048808</v>
      </c>
      <c r="AF357">
        <f t="shared" si="111"/>
        <v>0</v>
      </c>
      <c r="AG357">
        <f t="shared" si="112"/>
        <v>0</v>
      </c>
      <c r="AK357">
        <f>AA357*(1+What_if_Analysis!$B$4)</f>
        <v>25.2</v>
      </c>
      <c r="AL357" s="5">
        <f>MIN(Z357,What_if_Analysis!$B$2)</f>
        <v>0.05</v>
      </c>
      <c r="AM357">
        <f t="shared" si="113"/>
        <v>31743.482400000001</v>
      </c>
      <c r="AN357">
        <f>AM357-(AK357*(T357*(1+What_if_Analysis!$B$3)))</f>
        <v>-5012.1288000000059</v>
      </c>
    </row>
    <row r="358" spans="1:40" x14ac:dyDescent="0.3">
      <c r="A358" t="s">
        <v>370</v>
      </c>
      <c r="B358" s="3">
        <v>45883</v>
      </c>
      <c r="C358" s="3" t="str">
        <f t="shared" si="97"/>
        <v>Aug-2025</v>
      </c>
      <c r="D358" s="3" t="str">
        <f t="shared" si="98"/>
        <v>Q3-2025</v>
      </c>
      <c r="E358" s="3">
        <v>45911</v>
      </c>
      <c r="F358" s="3" t="str">
        <f t="shared" si="99"/>
        <v>Valid</v>
      </c>
      <c r="G358" s="12">
        <f t="shared" si="100"/>
        <v>28</v>
      </c>
      <c r="H358" s="3">
        <f t="shared" si="101"/>
        <v>45911</v>
      </c>
      <c r="I358" t="s">
        <v>648</v>
      </c>
      <c r="J358" t="str">
        <f t="shared" si="102"/>
        <v>Americas → Brazil → São Paulo</v>
      </c>
      <c r="K358" s="3" t="str">
        <f t="shared" si="103"/>
        <v>Brazil-2025-08</v>
      </c>
      <c r="L358" t="s">
        <v>655</v>
      </c>
      <c r="M358" t="s">
        <v>670</v>
      </c>
      <c r="N358" t="s">
        <v>703</v>
      </c>
      <c r="O358" t="s">
        <v>711</v>
      </c>
      <c r="P358" t="s">
        <v>721</v>
      </c>
      <c r="Q358" t="s">
        <v>728</v>
      </c>
      <c r="R358" t="s">
        <v>1090</v>
      </c>
      <c r="S358" s="5">
        <v>1203.02</v>
      </c>
      <c r="T358" s="5">
        <v>2439.33</v>
      </c>
      <c r="U358" s="5" t="str">
        <f t="shared" si="104"/>
        <v>Valid</v>
      </c>
      <c r="V358" s="5">
        <f t="shared" si="95"/>
        <v>2439.33</v>
      </c>
      <c r="W358" s="5" t="str">
        <f t="shared" si="105"/>
        <v>High</v>
      </c>
      <c r="X358" s="5">
        <v>0</v>
      </c>
      <c r="Y358" s="5" t="str">
        <f t="shared" si="106"/>
        <v>Valid</v>
      </c>
      <c r="Z358" s="5">
        <f t="shared" si="107"/>
        <v>0</v>
      </c>
      <c r="AA358" s="5">
        <v>18</v>
      </c>
      <c r="AB358">
        <f t="shared" si="108"/>
        <v>43907.94</v>
      </c>
      <c r="AC358">
        <f t="shared" si="96"/>
        <v>21654.36</v>
      </c>
      <c r="AD358">
        <f t="shared" si="109"/>
        <v>22253.58</v>
      </c>
      <c r="AE358">
        <f t="shared" si="110"/>
        <v>0.50682359500354612</v>
      </c>
      <c r="AF358">
        <f t="shared" si="111"/>
        <v>0</v>
      </c>
      <c r="AG358">
        <f t="shared" si="112"/>
        <v>0</v>
      </c>
      <c r="AK358">
        <f>AA358*(1+What_if_Analysis!$B$4)</f>
        <v>21.599999999999998</v>
      </c>
      <c r="AL358" s="5">
        <f>MIN(Z358,What_if_Analysis!$B$2)</f>
        <v>0</v>
      </c>
      <c r="AM358">
        <f t="shared" si="113"/>
        <v>52689.527999999991</v>
      </c>
      <c r="AN358">
        <f>AM358-(AK358*(T358*(1+What_if_Analysis!$B$3)))</f>
        <v>-5268.9527999999991</v>
      </c>
    </row>
    <row r="359" spans="1:40" x14ac:dyDescent="0.3">
      <c r="A359" t="s">
        <v>371</v>
      </c>
      <c r="B359" s="3">
        <v>45385</v>
      </c>
      <c r="C359" s="3" t="str">
        <f t="shared" si="97"/>
        <v>Apr-2024</v>
      </c>
      <c r="D359" s="3" t="str">
        <f t="shared" si="98"/>
        <v>Q2-2024</v>
      </c>
      <c r="E359" s="3">
        <v>45403</v>
      </c>
      <c r="F359" s="3" t="str">
        <f t="shared" si="99"/>
        <v>Valid</v>
      </c>
      <c r="G359" s="12">
        <f t="shared" si="100"/>
        <v>18</v>
      </c>
      <c r="H359" s="3">
        <f t="shared" si="101"/>
        <v>45403</v>
      </c>
      <c r="I359" t="s">
        <v>648</v>
      </c>
      <c r="J359" t="str">
        <f t="shared" si="102"/>
        <v>Americas → Brazil → Brasília</v>
      </c>
      <c r="K359" s="3" t="str">
        <f t="shared" si="103"/>
        <v>Brazil-2024-04</v>
      </c>
      <c r="L359" t="s">
        <v>655</v>
      </c>
      <c r="M359" t="s">
        <v>672</v>
      </c>
      <c r="N359" t="s">
        <v>705</v>
      </c>
      <c r="O359" t="s">
        <v>710</v>
      </c>
      <c r="P359" t="s">
        <v>717</v>
      </c>
      <c r="Q359" t="s">
        <v>729</v>
      </c>
      <c r="R359" t="s">
        <v>1091</v>
      </c>
      <c r="S359" s="5">
        <v>1176.69</v>
      </c>
      <c r="T359" s="5">
        <v>2201.54</v>
      </c>
      <c r="U359" s="5" t="str">
        <f t="shared" si="104"/>
        <v>Valid</v>
      </c>
      <c r="V359" s="5">
        <f t="shared" si="95"/>
        <v>2201.54</v>
      </c>
      <c r="W359" s="5" t="str">
        <f t="shared" si="105"/>
        <v>High</v>
      </c>
      <c r="X359" s="5">
        <v>0.17</v>
      </c>
      <c r="Y359" s="5" t="str">
        <f t="shared" si="106"/>
        <v>Valid</v>
      </c>
      <c r="Z359" s="5">
        <f t="shared" si="107"/>
        <v>0.17</v>
      </c>
      <c r="AA359" s="5">
        <v>27</v>
      </c>
      <c r="AB359">
        <f t="shared" si="108"/>
        <v>49336.511399999996</v>
      </c>
      <c r="AC359">
        <f t="shared" si="96"/>
        <v>31770.63</v>
      </c>
      <c r="AD359">
        <f t="shared" si="109"/>
        <v>17565.881399999995</v>
      </c>
      <c r="AE359">
        <f t="shared" si="110"/>
        <v>0.35604222717701106</v>
      </c>
      <c r="AF359">
        <f t="shared" si="111"/>
        <v>0</v>
      </c>
      <c r="AG359">
        <f t="shared" si="112"/>
        <v>0</v>
      </c>
      <c r="AK359">
        <f>AA359*(1+What_if_Analysis!$B$4)</f>
        <v>32.4</v>
      </c>
      <c r="AL359" s="5">
        <f>MIN(Z359,What_if_Analysis!$B$2)</f>
        <v>0.05</v>
      </c>
      <c r="AM359">
        <f t="shared" si="113"/>
        <v>67763.401199999993</v>
      </c>
      <c r="AN359">
        <f>AM359-(AK359*(T359*(1+What_if_Analysis!$B$3)))</f>
        <v>-10699.484400000001</v>
      </c>
    </row>
    <row r="360" spans="1:40" x14ac:dyDescent="0.3">
      <c r="A360" t="s">
        <v>372</v>
      </c>
      <c r="B360" s="3">
        <v>45621</v>
      </c>
      <c r="C360" s="3" t="str">
        <f t="shared" si="97"/>
        <v>Nov-2024</v>
      </c>
      <c r="D360" s="3" t="str">
        <f t="shared" si="98"/>
        <v>Q4-2024</v>
      </c>
      <c r="E360" s="3">
        <v>45633</v>
      </c>
      <c r="F360" s="3" t="str">
        <f t="shared" si="99"/>
        <v>Valid</v>
      </c>
      <c r="G360" s="12">
        <f t="shared" si="100"/>
        <v>12</v>
      </c>
      <c r="H360" s="3">
        <f t="shared" si="101"/>
        <v>45633</v>
      </c>
      <c r="I360" t="s">
        <v>647</v>
      </c>
      <c r="J360" t="str">
        <f t="shared" si="102"/>
        <v>Asia → China → Shanghai</v>
      </c>
      <c r="K360" s="3" t="str">
        <f t="shared" si="103"/>
        <v>China-2024-11</v>
      </c>
      <c r="L360" t="s">
        <v>659</v>
      </c>
      <c r="M360" t="s">
        <v>685</v>
      </c>
      <c r="N360" t="s">
        <v>701</v>
      </c>
      <c r="O360" t="s">
        <v>710</v>
      </c>
      <c r="P360" t="s">
        <v>720</v>
      </c>
      <c r="Q360" t="s">
        <v>733</v>
      </c>
      <c r="R360" t="s">
        <v>1092</v>
      </c>
      <c r="S360" s="5">
        <v>769.9</v>
      </c>
      <c r="T360" s="5">
        <v>814.36</v>
      </c>
      <c r="U360" s="5" t="str">
        <f t="shared" si="104"/>
        <v>Valid</v>
      </c>
      <c r="V360" s="5">
        <f t="shared" si="95"/>
        <v>814.36</v>
      </c>
      <c r="W360" s="5" t="str">
        <f t="shared" si="105"/>
        <v>Medium</v>
      </c>
      <c r="X360" s="5">
        <v>0</v>
      </c>
      <c r="Y360" s="5" t="str">
        <f t="shared" si="106"/>
        <v>Valid</v>
      </c>
      <c r="Z360" s="5">
        <f t="shared" si="107"/>
        <v>0</v>
      </c>
      <c r="AA360" s="5">
        <v>5</v>
      </c>
      <c r="AB360">
        <f t="shared" si="108"/>
        <v>4071.8</v>
      </c>
      <c r="AC360">
        <f t="shared" si="96"/>
        <v>3849.5</v>
      </c>
      <c r="AD360">
        <f t="shared" si="109"/>
        <v>222.30000000000018</v>
      </c>
      <c r="AE360">
        <f t="shared" si="110"/>
        <v>5.4595019401738831E-2</v>
      </c>
      <c r="AF360">
        <f t="shared" si="111"/>
        <v>0</v>
      </c>
      <c r="AG360">
        <f t="shared" si="112"/>
        <v>0</v>
      </c>
      <c r="AK360">
        <f>AA360*(1+What_if_Analysis!$B$4)</f>
        <v>6</v>
      </c>
      <c r="AL360" s="5">
        <f>MIN(Z360,What_if_Analysis!$B$2)</f>
        <v>0</v>
      </c>
      <c r="AM360">
        <f t="shared" si="113"/>
        <v>4886.16</v>
      </c>
      <c r="AN360">
        <f>AM360-(AK360*(T360*(1+What_if_Analysis!$B$3)))</f>
        <v>-488.61599999999999</v>
      </c>
    </row>
    <row r="361" spans="1:40" x14ac:dyDescent="0.3">
      <c r="A361" t="s">
        <v>373</v>
      </c>
      <c r="B361" s="3">
        <v>45309</v>
      </c>
      <c r="C361" s="3" t="str">
        <f t="shared" si="97"/>
        <v>Jan-2024</v>
      </c>
      <c r="D361" s="3" t="str">
        <f t="shared" si="98"/>
        <v>Q1-2024</v>
      </c>
      <c r="E361" s="3">
        <v>45325</v>
      </c>
      <c r="F361" s="3" t="str">
        <f t="shared" si="99"/>
        <v>Valid</v>
      </c>
      <c r="G361" s="12">
        <f t="shared" si="100"/>
        <v>16</v>
      </c>
      <c r="H361" s="3">
        <f t="shared" si="101"/>
        <v>45325</v>
      </c>
      <c r="I361" t="s">
        <v>646</v>
      </c>
      <c r="J361" t="str">
        <f t="shared" si="102"/>
        <v>Africa → South Africa → Cape Town</v>
      </c>
      <c r="K361" s="3" t="str">
        <f t="shared" si="103"/>
        <v>South Africa-2024-01</v>
      </c>
      <c r="L361" t="s">
        <v>661</v>
      </c>
      <c r="M361" t="s">
        <v>695</v>
      </c>
      <c r="N361" t="s">
        <v>703</v>
      </c>
      <c r="O361" t="s">
        <v>710</v>
      </c>
      <c r="P361" t="s">
        <v>716</v>
      </c>
      <c r="Q361" t="s">
        <v>728</v>
      </c>
      <c r="R361" t="s">
        <v>1093</v>
      </c>
      <c r="S361" s="5">
        <v>666.23</v>
      </c>
      <c r="T361" s="5">
        <v>1382.91</v>
      </c>
      <c r="U361" s="5" t="str">
        <f t="shared" si="104"/>
        <v>Valid</v>
      </c>
      <c r="V361" s="5">
        <f t="shared" si="95"/>
        <v>1382.91</v>
      </c>
      <c r="W361" s="5" t="str">
        <f t="shared" si="105"/>
        <v>Medium</v>
      </c>
      <c r="X361" s="5">
        <v>0.17599999999999999</v>
      </c>
      <c r="Y361" s="5" t="str">
        <f t="shared" si="106"/>
        <v>Valid</v>
      </c>
      <c r="Z361" s="5">
        <f t="shared" si="107"/>
        <v>0.17599999999999999</v>
      </c>
      <c r="AA361" s="5">
        <v>13</v>
      </c>
      <c r="AB361">
        <f t="shared" si="108"/>
        <v>14813.731920000002</v>
      </c>
      <c r="AC361">
        <f t="shared" si="96"/>
        <v>8660.99</v>
      </c>
      <c r="AD361">
        <f t="shared" si="109"/>
        <v>6152.7419200000022</v>
      </c>
      <c r="AE361">
        <f t="shared" si="110"/>
        <v>0.41534043907553048</v>
      </c>
      <c r="AF361">
        <f t="shared" si="111"/>
        <v>0</v>
      </c>
      <c r="AG361">
        <f t="shared" si="112"/>
        <v>0</v>
      </c>
      <c r="AK361">
        <f>AA361*(1+What_if_Analysis!$B$4)</f>
        <v>15.6</v>
      </c>
      <c r="AL361" s="5">
        <f>MIN(Z361,What_if_Analysis!$B$2)</f>
        <v>0.05</v>
      </c>
      <c r="AM361">
        <f t="shared" si="113"/>
        <v>20494.726200000001</v>
      </c>
      <c r="AN361">
        <f>AM361-(AK361*(T361*(1+What_if_Analysis!$B$3)))</f>
        <v>-3236.0094000000026</v>
      </c>
    </row>
    <row r="362" spans="1:40" x14ac:dyDescent="0.3">
      <c r="A362" t="s">
        <v>374</v>
      </c>
      <c r="B362" s="3">
        <v>45466</v>
      </c>
      <c r="C362" s="3" t="str">
        <f t="shared" si="97"/>
        <v>Jun-2024</v>
      </c>
      <c r="D362" s="3" t="str">
        <f t="shared" si="98"/>
        <v>Q2-2024</v>
      </c>
      <c r="E362" s="3">
        <v>45468</v>
      </c>
      <c r="F362" s="3" t="str">
        <f t="shared" si="99"/>
        <v>Valid</v>
      </c>
      <c r="G362" s="12">
        <f t="shared" si="100"/>
        <v>2</v>
      </c>
      <c r="H362" s="3">
        <f t="shared" si="101"/>
        <v>45468</v>
      </c>
      <c r="I362" t="s">
        <v>649</v>
      </c>
      <c r="J362" t="str">
        <f t="shared" si="102"/>
        <v>Europe → United Kingdom → Birmingham</v>
      </c>
      <c r="K362" s="3" t="str">
        <f t="shared" si="103"/>
        <v>United Kingdom-2024-06</v>
      </c>
      <c r="L362" t="s">
        <v>658</v>
      </c>
      <c r="M362" t="s">
        <v>674</v>
      </c>
      <c r="N362" t="s">
        <v>705</v>
      </c>
      <c r="O362" t="s">
        <v>709</v>
      </c>
      <c r="P362" t="s">
        <v>716</v>
      </c>
      <c r="Q362" t="s">
        <v>733</v>
      </c>
      <c r="R362" t="s">
        <v>1094</v>
      </c>
      <c r="S362" s="5">
        <v>951.44</v>
      </c>
      <c r="T362" s="5">
        <v>1646.43</v>
      </c>
      <c r="U362" s="5" t="str">
        <f t="shared" si="104"/>
        <v>Valid</v>
      </c>
      <c r="V362" s="5">
        <f t="shared" si="95"/>
        <v>1646.43</v>
      </c>
      <c r="W362" s="5" t="str">
        <f t="shared" si="105"/>
        <v>Medium</v>
      </c>
      <c r="X362" s="5">
        <v>0.11</v>
      </c>
      <c r="Y362" s="5" t="str">
        <f t="shared" si="106"/>
        <v>Valid</v>
      </c>
      <c r="Z362" s="5">
        <f t="shared" si="107"/>
        <v>0.11</v>
      </c>
      <c r="AA362" s="5">
        <v>24</v>
      </c>
      <c r="AB362">
        <f t="shared" si="108"/>
        <v>35167.7448</v>
      </c>
      <c r="AC362">
        <f t="shared" si="96"/>
        <v>22834.560000000001</v>
      </c>
      <c r="AD362">
        <f t="shared" si="109"/>
        <v>12333.184799999999</v>
      </c>
      <c r="AE362">
        <f t="shared" si="110"/>
        <v>0.35069592520473475</v>
      </c>
      <c r="AF362">
        <f t="shared" si="111"/>
        <v>1</v>
      </c>
      <c r="AG362">
        <f t="shared" si="112"/>
        <v>0</v>
      </c>
      <c r="AK362">
        <f>AA362*(1+What_if_Analysis!$B$4)</f>
        <v>28.799999999999997</v>
      </c>
      <c r="AL362" s="5">
        <f>MIN(Z362,What_if_Analysis!$B$2)</f>
        <v>0.05</v>
      </c>
      <c r="AM362">
        <f t="shared" si="113"/>
        <v>45046.324799999995</v>
      </c>
      <c r="AN362">
        <f>AM362-(AK362*(T362*(1+What_if_Analysis!$B$3)))</f>
        <v>-7112.5776000000114</v>
      </c>
    </row>
    <row r="363" spans="1:40" x14ac:dyDescent="0.3">
      <c r="A363" t="s">
        <v>375</v>
      </c>
      <c r="B363" s="3">
        <v>45833</v>
      </c>
      <c r="C363" s="3" t="str">
        <f t="shared" si="97"/>
        <v>Jun-2025</v>
      </c>
      <c r="D363" s="3" t="str">
        <f t="shared" si="98"/>
        <v>Q2-2025</v>
      </c>
      <c r="E363" s="3">
        <v>45848</v>
      </c>
      <c r="F363" s="3" t="str">
        <f t="shared" si="99"/>
        <v>Valid</v>
      </c>
      <c r="G363" s="12">
        <f t="shared" si="100"/>
        <v>15</v>
      </c>
      <c r="H363" s="3">
        <f t="shared" si="101"/>
        <v>45848</v>
      </c>
      <c r="I363" t="s">
        <v>649</v>
      </c>
      <c r="J363" t="str">
        <f t="shared" si="102"/>
        <v>Europe → United Kingdom → Birmingham</v>
      </c>
      <c r="K363" s="3" t="str">
        <f t="shared" si="103"/>
        <v>United Kingdom-2025-06</v>
      </c>
      <c r="L363" t="s">
        <v>658</v>
      </c>
      <c r="M363" t="s">
        <v>674</v>
      </c>
      <c r="N363" t="s">
        <v>703</v>
      </c>
      <c r="O363" t="s">
        <v>709</v>
      </c>
      <c r="P363" t="s">
        <v>726</v>
      </c>
      <c r="Q363" t="s">
        <v>730</v>
      </c>
      <c r="R363" t="s">
        <v>1095</v>
      </c>
      <c r="S363" s="5">
        <v>546.83000000000004</v>
      </c>
      <c r="T363" s="5">
        <v>400.84</v>
      </c>
      <c r="U363" s="5" t="str">
        <f t="shared" si="104"/>
        <v>Valid</v>
      </c>
      <c r="V363" s="5">
        <f t="shared" si="95"/>
        <v>400.84</v>
      </c>
      <c r="W363" s="5" t="str">
        <f t="shared" si="105"/>
        <v>Low</v>
      </c>
      <c r="X363" s="5">
        <v>7.8E-2</v>
      </c>
      <c r="Y363" s="5" t="str">
        <f t="shared" si="106"/>
        <v>Valid</v>
      </c>
      <c r="Z363" s="5">
        <f t="shared" si="107"/>
        <v>7.8E-2</v>
      </c>
      <c r="AA363" s="5">
        <v>13</v>
      </c>
      <c r="AB363">
        <f t="shared" si="108"/>
        <v>4804.4682400000002</v>
      </c>
      <c r="AC363">
        <f t="shared" si="96"/>
        <v>7108.7900000000009</v>
      </c>
      <c r="AD363">
        <f t="shared" si="109"/>
        <v>-2304.3217600000007</v>
      </c>
      <c r="AE363">
        <f t="shared" si="110"/>
        <v>-0.47962056254533608</v>
      </c>
      <c r="AF363">
        <f t="shared" si="111"/>
        <v>0</v>
      </c>
      <c r="AG363">
        <f t="shared" si="112"/>
        <v>0</v>
      </c>
      <c r="AK363">
        <f>AA363*(1+What_if_Analysis!$B$4)</f>
        <v>15.6</v>
      </c>
      <c r="AL363" s="5">
        <f>MIN(Z363,What_if_Analysis!$B$2)</f>
        <v>0.05</v>
      </c>
      <c r="AM363">
        <f t="shared" si="113"/>
        <v>5940.4487999999992</v>
      </c>
      <c r="AN363">
        <f>AM363-(AK363*(T363*(1+What_if_Analysis!$B$3)))</f>
        <v>-937.96560000000136</v>
      </c>
    </row>
    <row r="364" spans="1:40" x14ac:dyDescent="0.3">
      <c r="A364" t="s">
        <v>376</v>
      </c>
      <c r="B364" s="3">
        <v>45108</v>
      </c>
      <c r="C364" s="3" t="str">
        <f t="shared" si="97"/>
        <v>Jul-2023</v>
      </c>
      <c r="D364" s="3" t="str">
        <f t="shared" si="98"/>
        <v>Q3-2023</v>
      </c>
      <c r="E364" s="3">
        <v>45115</v>
      </c>
      <c r="F364" s="3" t="str">
        <f t="shared" si="99"/>
        <v>Valid</v>
      </c>
      <c r="G364" s="12">
        <f t="shared" si="100"/>
        <v>7</v>
      </c>
      <c r="H364" s="3">
        <f t="shared" si="101"/>
        <v>45115</v>
      </c>
      <c r="I364" t="s">
        <v>646</v>
      </c>
      <c r="J364" t="str">
        <f t="shared" si="102"/>
        <v>Africa → Nigeria → Port Harcourt</v>
      </c>
      <c r="K364" s="3" t="str">
        <f t="shared" si="103"/>
        <v>Nigeria-2023-07</v>
      </c>
      <c r="L364" t="s">
        <v>651</v>
      </c>
      <c r="M364" t="s">
        <v>663</v>
      </c>
      <c r="N364" t="s">
        <v>701</v>
      </c>
      <c r="O364" t="s">
        <v>707</v>
      </c>
      <c r="P364" t="s">
        <v>720</v>
      </c>
      <c r="Q364" t="s">
        <v>731</v>
      </c>
      <c r="R364" t="s">
        <v>1096</v>
      </c>
      <c r="S364" s="5">
        <v>834.26</v>
      </c>
      <c r="T364" s="5">
        <v>1780.56</v>
      </c>
      <c r="U364" s="5" t="str">
        <f t="shared" si="104"/>
        <v>Valid</v>
      </c>
      <c r="V364" s="5">
        <f t="shared" si="95"/>
        <v>1780.56</v>
      </c>
      <c r="W364" s="5" t="str">
        <f t="shared" si="105"/>
        <v>Medium</v>
      </c>
      <c r="X364" s="5">
        <v>1.4E-2</v>
      </c>
      <c r="Y364" s="5" t="str">
        <f t="shared" si="106"/>
        <v>Valid</v>
      </c>
      <c r="Z364" s="5">
        <f t="shared" si="107"/>
        <v>1.4E-2</v>
      </c>
      <c r="AA364" s="5">
        <v>47</v>
      </c>
      <c r="AB364">
        <f t="shared" si="108"/>
        <v>82514.711519999997</v>
      </c>
      <c r="AC364">
        <f t="shared" si="96"/>
        <v>39210.22</v>
      </c>
      <c r="AD364">
        <f t="shared" si="109"/>
        <v>43304.491519999996</v>
      </c>
      <c r="AE364">
        <f t="shared" si="110"/>
        <v>0.5248093427497933</v>
      </c>
      <c r="AF364">
        <f t="shared" si="111"/>
        <v>1</v>
      </c>
      <c r="AG364">
        <f t="shared" si="112"/>
        <v>0</v>
      </c>
      <c r="AK364">
        <f>AA364*(1+What_if_Analysis!$B$4)</f>
        <v>56.4</v>
      </c>
      <c r="AL364" s="5">
        <f>MIN(Z364,What_if_Analysis!$B$2)</f>
        <v>1.4E-2</v>
      </c>
      <c r="AM364">
        <f t="shared" si="113"/>
        <v>99017.653823999994</v>
      </c>
      <c r="AN364">
        <f>AM364-(AK364*(T364*(1+What_if_Analysis!$B$3)))</f>
        <v>-11448.288576000006</v>
      </c>
    </row>
    <row r="365" spans="1:40" x14ac:dyDescent="0.3">
      <c r="A365" t="s">
        <v>377</v>
      </c>
      <c r="B365" s="3">
        <v>45360</v>
      </c>
      <c r="C365" s="3" t="str">
        <f t="shared" si="97"/>
        <v>Mar-2024</v>
      </c>
      <c r="D365" s="3" t="str">
        <f t="shared" si="98"/>
        <v>Q1-2024</v>
      </c>
      <c r="E365" s="3">
        <v>45377</v>
      </c>
      <c r="F365" s="3" t="str">
        <f t="shared" si="99"/>
        <v>Valid</v>
      </c>
      <c r="G365" s="12">
        <f t="shared" si="100"/>
        <v>17</v>
      </c>
      <c r="H365" s="3">
        <f t="shared" si="101"/>
        <v>45377</v>
      </c>
      <c r="I365" t="s">
        <v>647</v>
      </c>
      <c r="J365" t="str">
        <f t="shared" si="102"/>
        <v>Asia → China → Shenzhen</v>
      </c>
      <c r="K365" s="3" t="str">
        <f t="shared" si="103"/>
        <v>China-2024-03</v>
      </c>
      <c r="L365" t="s">
        <v>659</v>
      </c>
      <c r="M365" t="s">
        <v>676</v>
      </c>
      <c r="N365" t="s">
        <v>706</v>
      </c>
      <c r="O365" t="s">
        <v>708</v>
      </c>
      <c r="P365" t="s">
        <v>723</v>
      </c>
      <c r="Q365" t="s">
        <v>732</v>
      </c>
      <c r="R365" t="s">
        <v>1097</v>
      </c>
      <c r="S365" s="5">
        <v>1029.67</v>
      </c>
      <c r="T365" s="5">
        <v>1118.43</v>
      </c>
      <c r="U365" s="5" t="str">
        <f t="shared" si="104"/>
        <v>Valid</v>
      </c>
      <c r="V365" s="5">
        <f t="shared" si="95"/>
        <v>1118.43</v>
      </c>
      <c r="W365" s="5" t="str">
        <f t="shared" si="105"/>
        <v>Medium</v>
      </c>
      <c r="X365" s="5">
        <v>0.27200000000000002</v>
      </c>
      <c r="Y365" s="5" t="str">
        <f t="shared" si="106"/>
        <v>Valid</v>
      </c>
      <c r="Z365" s="5">
        <f t="shared" si="107"/>
        <v>0.27200000000000002</v>
      </c>
      <c r="AA365" s="5">
        <v>9</v>
      </c>
      <c r="AB365">
        <f t="shared" si="108"/>
        <v>7327.9533600000004</v>
      </c>
      <c r="AC365">
        <f t="shared" si="96"/>
        <v>9267.0300000000007</v>
      </c>
      <c r="AD365">
        <f t="shared" si="109"/>
        <v>-1939.0766400000002</v>
      </c>
      <c r="AE365">
        <f t="shared" si="110"/>
        <v>-0.26461367106736061</v>
      </c>
      <c r="AF365">
        <f t="shared" si="111"/>
        <v>0</v>
      </c>
      <c r="AG365">
        <f t="shared" si="112"/>
        <v>1</v>
      </c>
      <c r="AK365">
        <f>AA365*(1+What_if_Analysis!$B$4)</f>
        <v>10.799999999999999</v>
      </c>
      <c r="AL365" s="5">
        <f>MIN(Z365,What_if_Analysis!$B$2)</f>
        <v>0.05</v>
      </c>
      <c r="AM365">
        <f t="shared" si="113"/>
        <v>11475.0918</v>
      </c>
      <c r="AN365">
        <f>AM365-(AK365*(T365*(1+What_if_Analysis!$B$3)))</f>
        <v>-1811.8565999999992</v>
      </c>
    </row>
    <row r="366" spans="1:40" x14ac:dyDescent="0.3">
      <c r="A366" t="s">
        <v>378</v>
      </c>
      <c r="B366" s="3">
        <v>45082</v>
      </c>
      <c r="C366" s="3" t="str">
        <f t="shared" si="97"/>
        <v>Jun-2023</v>
      </c>
      <c r="D366" s="3" t="str">
        <f t="shared" si="98"/>
        <v>Q2-2023</v>
      </c>
      <c r="E366" s="3">
        <v>45105</v>
      </c>
      <c r="F366" s="3" t="str">
        <f t="shared" si="99"/>
        <v>Valid</v>
      </c>
      <c r="G366" s="12">
        <f t="shared" si="100"/>
        <v>23</v>
      </c>
      <c r="H366" s="3">
        <f t="shared" si="101"/>
        <v>45105</v>
      </c>
      <c r="I366" t="s">
        <v>649</v>
      </c>
      <c r="J366" t="str">
        <f t="shared" si="102"/>
        <v>Europe → United Kingdom → Birmingham</v>
      </c>
      <c r="K366" s="3" t="str">
        <f t="shared" si="103"/>
        <v>United Kingdom-2023-06</v>
      </c>
      <c r="L366" t="s">
        <v>658</v>
      </c>
      <c r="M366" t="s">
        <v>674</v>
      </c>
      <c r="N366" t="s">
        <v>701</v>
      </c>
      <c r="O366" t="s">
        <v>711</v>
      </c>
      <c r="P366" t="s">
        <v>723</v>
      </c>
      <c r="Q366" t="s">
        <v>728</v>
      </c>
      <c r="R366" t="s">
        <v>1098</v>
      </c>
      <c r="S366" s="5">
        <v>605.82000000000005</v>
      </c>
      <c r="T366" s="5">
        <v>771.12</v>
      </c>
      <c r="U366" s="5" t="str">
        <f t="shared" si="104"/>
        <v>Valid</v>
      </c>
      <c r="V366" s="5">
        <f t="shared" si="95"/>
        <v>771.12</v>
      </c>
      <c r="W366" s="5" t="str">
        <f t="shared" si="105"/>
        <v>Medium</v>
      </c>
      <c r="X366" s="5">
        <v>0.13200000000000001</v>
      </c>
      <c r="Y366" s="5" t="str">
        <f t="shared" si="106"/>
        <v>Valid</v>
      </c>
      <c r="Z366" s="5">
        <f t="shared" si="107"/>
        <v>0.13200000000000001</v>
      </c>
      <c r="AA366" s="5">
        <v>19</v>
      </c>
      <c r="AB366">
        <f t="shared" si="108"/>
        <v>12717.311040000001</v>
      </c>
      <c r="AC366">
        <f t="shared" si="96"/>
        <v>11510.580000000002</v>
      </c>
      <c r="AD366">
        <f t="shared" si="109"/>
        <v>1206.7310399999988</v>
      </c>
      <c r="AE366">
        <f t="shared" si="110"/>
        <v>9.4888851597986767E-2</v>
      </c>
      <c r="AF366">
        <f t="shared" si="111"/>
        <v>0</v>
      </c>
      <c r="AG366">
        <f t="shared" si="112"/>
        <v>0</v>
      </c>
      <c r="AK366">
        <f>AA366*(1+What_if_Analysis!$B$4)</f>
        <v>22.8</v>
      </c>
      <c r="AL366" s="5">
        <f>MIN(Z366,What_if_Analysis!$B$2)</f>
        <v>0.05</v>
      </c>
      <c r="AM366">
        <f t="shared" si="113"/>
        <v>16702.459199999998</v>
      </c>
      <c r="AN366">
        <f>AM366-(AK366*(T366*(1+What_if_Analysis!$B$3)))</f>
        <v>-2637.230400000004</v>
      </c>
    </row>
    <row r="367" spans="1:40" x14ac:dyDescent="0.3">
      <c r="A367" t="s">
        <v>379</v>
      </c>
      <c r="B367" s="3">
        <v>45737</v>
      </c>
      <c r="C367" s="3" t="str">
        <f t="shared" si="97"/>
        <v>Mar-2025</v>
      </c>
      <c r="D367" s="3" t="str">
        <f t="shared" si="98"/>
        <v>Q1-2025</v>
      </c>
      <c r="E367" s="3">
        <v>45756</v>
      </c>
      <c r="F367" s="3" t="str">
        <f t="shared" si="99"/>
        <v>Valid</v>
      </c>
      <c r="G367" s="12">
        <f t="shared" si="100"/>
        <v>19</v>
      </c>
      <c r="H367" s="3">
        <f t="shared" si="101"/>
        <v>45756</v>
      </c>
      <c r="I367" t="s">
        <v>647</v>
      </c>
      <c r="J367" t="str">
        <f t="shared" si="102"/>
        <v>Asia → Japan → Tokyo</v>
      </c>
      <c r="K367" s="3" t="str">
        <f t="shared" si="103"/>
        <v>Japan-2025-03</v>
      </c>
      <c r="L367" t="s">
        <v>652</v>
      </c>
      <c r="M367" t="s">
        <v>689</v>
      </c>
      <c r="N367" t="s">
        <v>705</v>
      </c>
      <c r="O367" t="s">
        <v>710</v>
      </c>
      <c r="P367" t="s">
        <v>718</v>
      </c>
      <c r="Q367" t="s">
        <v>727</v>
      </c>
      <c r="R367" t="s">
        <v>1099</v>
      </c>
      <c r="S367" s="5">
        <v>1055.45</v>
      </c>
      <c r="T367" s="5">
        <v>1210.04</v>
      </c>
      <c r="U367" s="5" t="str">
        <f t="shared" si="104"/>
        <v>Valid</v>
      </c>
      <c r="V367" s="5">
        <f t="shared" si="95"/>
        <v>1210.04</v>
      </c>
      <c r="W367" s="5" t="str">
        <f t="shared" si="105"/>
        <v>Medium</v>
      </c>
      <c r="X367" s="5">
        <v>8.9999999999999993E-3</v>
      </c>
      <c r="Y367" s="5" t="str">
        <f t="shared" si="106"/>
        <v>Valid</v>
      </c>
      <c r="Z367" s="5">
        <f t="shared" si="107"/>
        <v>8.9999999999999993E-3</v>
      </c>
      <c r="AA367" s="5">
        <v>18</v>
      </c>
      <c r="AB367">
        <f t="shared" si="108"/>
        <v>21584.693520000001</v>
      </c>
      <c r="AC367">
        <f t="shared" si="96"/>
        <v>18998.100000000002</v>
      </c>
      <c r="AD367">
        <f t="shared" si="109"/>
        <v>2586.5935199999985</v>
      </c>
      <c r="AE367">
        <f t="shared" si="110"/>
        <v>0.1198346188053727</v>
      </c>
      <c r="AF367">
        <f t="shared" si="111"/>
        <v>0</v>
      </c>
      <c r="AG367">
        <f t="shared" si="112"/>
        <v>0</v>
      </c>
      <c r="AK367">
        <f>AA367*(1+What_if_Analysis!$B$4)</f>
        <v>21.599999999999998</v>
      </c>
      <c r="AL367" s="5">
        <f>MIN(Z367,What_if_Analysis!$B$2)</f>
        <v>8.9999999999999993E-3</v>
      </c>
      <c r="AM367">
        <f t="shared" si="113"/>
        <v>25901.632223999997</v>
      </c>
      <c r="AN367">
        <f>AM367-(AK367*(T367*(1+What_if_Analysis!$B$3)))</f>
        <v>-2848.9181760000029</v>
      </c>
    </row>
    <row r="368" spans="1:40" x14ac:dyDescent="0.3">
      <c r="A368" t="s">
        <v>380</v>
      </c>
      <c r="B368" s="3">
        <v>45445</v>
      </c>
      <c r="C368" s="3" t="str">
        <f t="shared" si="97"/>
        <v>Jun-2024</v>
      </c>
      <c r="D368" s="3" t="str">
        <f t="shared" si="98"/>
        <v>Q2-2024</v>
      </c>
      <c r="E368" s="3">
        <v>45458</v>
      </c>
      <c r="F368" s="3" t="str">
        <f t="shared" si="99"/>
        <v>Valid</v>
      </c>
      <c r="G368" s="12">
        <f t="shared" si="100"/>
        <v>13</v>
      </c>
      <c r="H368" s="3">
        <f t="shared" si="101"/>
        <v>45458</v>
      </c>
      <c r="I368" t="s">
        <v>646</v>
      </c>
      <c r="J368" t="str">
        <f t="shared" si="102"/>
        <v>Africa → Kenya → Mombasa</v>
      </c>
      <c r="K368" s="3" t="str">
        <f t="shared" si="103"/>
        <v>Kenya-2024-06</v>
      </c>
      <c r="L368" t="s">
        <v>650</v>
      </c>
      <c r="M368" t="s">
        <v>675</v>
      </c>
      <c r="N368" t="s">
        <v>702</v>
      </c>
      <c r="O368" t="s">
        <v>708</v>
      </c>
      <c r="P368" t="s">
        <v>719</v>
      </c>
      <c r="Q368" t="s">
        <v>730</v>
      </c>
      <c r="R368" t="s">
        <v>1100</v>
      </c>
      <c r="S368" s="5">
        <v>1295.18</v>
      </c>
      <c r="T368" s="5">
        <v>3024.03</v>
      </c>
      <c r="U368" s="5" t="str">
        <f t="shared" si="104"/>
        <v>Valid</v>
      </c>
      <c r="V368" s="5">
        <f t="shared" si="95"/>
        <v>3024.03</v>
      </c>
      <c r="W368" s="5" t="str">
        <f t="shared" si="105"/>
        <v>High</v>
      </c>
      <c r="X368" s="5">
        <v>0.192</v>
      </c>
      <c r="Y368" s="5" t="str">
        <f t="shared" si="106"/>
        <v>Valid</v>
      </c>
      <c r="Z368" s="5">
        <f t="shared" si="107"/>
        <v>0.192</v>
      </c>
      <c r="AA368" s="5">
        <v>8</v>
      </c>
      <c r="AB368">
        <f t="shared" si="108"/>
        <v>19547.329920000004</v>
      </c>
      <c r="AC368">
        <f t="shared" si="96"/>
        <v>10361.44</v>
      </c>
      <c r="AD368">
        <f t="shared" si="109"/>
        <v>9185.8899200000033</v>
      </c>
      <c r="AE368">
        <f t="shared" si="110"/>
        <v>0.46993067378483178</v>
      </c>
      <c r="AF368">
        <f t="shared" si="111"/>
        <v>0</v>
      </c>
      <c r="AG368">
        <f t="shared" si="112"/>
        <v>0</v>
      </c>
      <c r="AK368">
        <f>AA368*(1+What_if_Analysis!$B$4)</f>
        <v>9.6</v>
      </c>
      <c r="AL368" s="5">
        <f>MIN(Z368,What_if_Analysis!$B$2)</f>
        <v>0.05</v>
      </c>
      <c r="AM368">
        <f t="shared" si="113"/>
        <v>27579.153600000001</v>
      </c>
      <c r="AN368">
        <f>AM368-(AK368*(T368*(1+What_if_Analysis!$B$3)))</f>
        <v>-4354.6032000000014</v>
      </c>
    </row>
    <row r="369" spans="1:40" x14ac:dyDescent="0.3">
      <c r="A369" t="s">
        <v>381</v>
      </c>
      <c r="B369" s="3">
        <v>45731</v>
      </c>
      <c r="C369" s="3" t="str">
        <f t="shared" si="97"/>
        <v>Mar-2025</v>
      </c>
      <c r="D369" s="3" t="str">
        <f t="shared" si="98"/>
        <v>Q1-2025</v>
      </c>
      <c r="E369" s="3">
        <v>45745</v>
      </c>
      <c r="F369" s="3" t="str">
        <f t="shared" si="99"/>
        <v>Valid</v>
      </c>
      <c r="G369" s="12">
        <f t="shared" si="100"/>
        <v>14</v>
      </c>
      <c r="H369" s="3">
        <f t="shared" si="101"/>
        <v>45745</v>
      </c>
      <c r="I369" t="s">
        <v>647</v>
      </c>
      <c r="J369" t="str">
        <f t="shared" si="102"/>
        <v>Asia → India → Mumbai</v>
      </c>
      <c r="K369" s="3" t="str">
        <f t="shared" si="103"/>
        <v>India-2025-03</v>
      </c>
      <c r="L369" t="s">
        <v>654</v>
      </c>
      <c r="M369" t="s">
        <v>691</v>
      </c>
      <c r="N369" t="s">
        <v>706</v>
      </c>
      <c r="O369" t="s">
        <v>711</v>
      </c>
      <c r="P369" t="s">
        <v>712</v>
      </c>
      <c r="Q369" t="s">
        <v>727</v>
      </c>
      <c r="R369" t="s">
        <v>1101</v>
      </c>
      <c r="S369" s="5">
        <v>935.83</v>
      </c>
      <c r="T369" s="5">
        <v>2303.46</v>
      </c>
      <c r="U369" s="5" t="str">
        <f t="shared" si="104"/>
        <v>Valid</v>
      </c>
      <c r="V369" s="5">
        <f t="shared" si="95"/>
        <v>2303.46</v>
      </c>
      <c r="W369" s="5" t="str">
        <f t="shared" si="105"/>
        <v>High</v>
      </c>
      <c r="X369" s="5">
        <v>0.105</v>
      </c>
      <c r="Y369" s="5" t="str">
        <f t="shared" si="106"/>
        <v>Valid</v>
      </c>
      <c r="Z369" s="5">
        <f t="shared" si="107"/>
        <v>0.105</v>
      </c>
      <c r="AA369" s="5">
        <v>9</v>
      </c>
      <c r="AB369">
        <f t="shared" si="108"/>
        <v>18554.370299999999</v>
      </c>
      <c r="AC369">
        <f t="shared" si="96"/>
        <v>8422.4700000000012</v>
      </c>
      <c r="AD369">
        <f t="shared" si="109"/>
        <v>10131.900299999998</v>
      </c>
      <c r="AE369">
        <f t="shared" si="110"/>
        <v>0.54606543559174292</v>
      </c>
      <c r="AF369">
        <f t="shared" si="111"/>
        <v>0</v>
      </c>
      <c r="AG369">
        <f t="shared" si="112"/>
        <v>0</v>
      </c>
      <c r="AK369">
        <f>AA369*(1+What_if_Analysis!$B$4)</f>
        <v>10.799999999999999</v>
      </c>
      <c r="AL369" s="5">
        <f>MIN(Z369,What_if_Analysis!$B$2)</f>
        <v>0.05</v>
      </c>
      <c r="AM369">
        <f t="shared" si="113"/>
        <v>23633.499599999999</v>
      </c>
      <c r="AN369">
        <f>AM369-(AK369*(T369*(1+What_if_Analysis!$B$3)))</f>
        <v>-3731.6051999999981</v>
      </c>
    </row>
    <row r="370" spans="1:40" x14ac:dyDescent="0.3">
      <c r="A370" t="s">
        <v>382</v>
      </c>
      <c r="B370" s="3">
        <v>45194</v>
      </c>
      <c r="C370" s="3" t="str">
        <f t="shared" si="97"/>
        <v>Sept-2023</v>
      </c>
      <c r="D370" s="3" t="str">
        <f t="shared" si="98"/>
        <v>Q3-2023</v>
      </c>
      <c r="E370" s="3">
        <v>45208</v>
      </c>
      <c r="F370" s="3" t="str">
        <f t="shared" si="99"/>
        <v>Valid</v>
      </c>
      <c r="G370" s="12">
        <f t="shared" si="100"/>
        <v>14</v>
      </c>
      <c r="H370" s="3">
        <f t="shared" si="101"/>
        <v>45208</v>
      </c>
      <c r="I370" t="s">
        <v>648</v>
      </c>
      <c r="J370" t="str">
        <f t="shared" si="102"/>
        <v>Americas → USA → New York</v>
      </c>
      <c r="K370" s="3" t="str">
        <f t="shared" si="103"/>
        <v>USA-2023-09</v>
      </c>
      <c r="L370" t="s">
        <v>660</v>
      </c>
      <c r="M370" t="s">
        <v>700</v>
      </c>
      <c r="N370" t="s">
        <v>705</v>
      </c>
      <c r="O370" t="s">
        <v>709</v>
      </c>
      <c r="P370" t="s">
        <v>713</v>
      </c>
      <c r="Q370" t="s">
        <v>731</v>
      </c>
      <c r="R370" t="s">
        <v>1102</v>
      </c>
      <c r="S370" s="5">
        <v>1279.56</v>
      </c>
      <c r="T370" s="5">
        <v>3083.8</v>
      </c>
      <c r="U370" s="5" t="str">
        <f t="shared" si="104"/>
        <v>Valid</v>
      </c>
      <c r="V370" s="5">
        <f t="shared" si="95"/>
        <v>3083.8</v>
      </c>
      <c r="W370" s="5" t="str">
        <f t="shared" si="105"/>
        <v>High</v>
      </c>
      <c r="X370" s="5">
        <v>0.106</v>
      </c>
      <c r="Y370" s="5" t="str">
        <f t="shared" si="106"/>
        <v>Valid</v>
      </c>
      <c r="Z370" s="5">
        <f t="shared" si="107"/>
        <v>0.106</v>
      </c>
      <c r="AA370" s="5">
        <v>5</v>
      </c>
      <c r="AB370">
        <f t="shared" si="108"/>
        <v>13784.586000000001</v>
      </c>
      <c r="AC370">
        <f t="shared" si="96"/>
        <v>6397.7999999999993</v>
      </c>
      <c r="AD370">
        <f t="shared" si="109"/>
        <v>7386.7860000000019</v>
      </c>
      <c r="AE370">
        <f t="shared" si="110"/>
        <v>0.53587289455047848</v>
      </c>
      <c r="AF370">
        <f t="shared" si="111"/>
        <v>0</v>
      </c>
      <c r="AG370">
        <f t="shared" si="112"/>
        <v>0</v>
      </c>
      <c r="AK370">
        <f>AA370*(1+What_if_Analysis!$B$4)</f>
        <v>6</v>
      </c>
      <c r="AL370" s="5">
        <f>MIN(Z370,What_if_Analysis!$B$2)</f>
        <v>0.05</v>
      </c>
      <c r="AM370">
        <f t="shared" si="113"/>
        <v>17577.660000000003</v>
      </c>
      <c r="AN370">
        <f>AM370-(AK370*(T370*(1+What_if_Analysis!$B$3)))</f>
        <v>-2775.4199999999983</v>
      </c>
    </row>
    <row r="371" spans="1:40" x14ac:dyDescent="0.3">
      <c r="A371" t="s">
        <v>383</v>
      </c>
      <c r="B371" s="3">
        <v>45832</v>
      </c>
      <c r="C371" s="3" t="str">
        <f t="shared" si="97"/>
        <v>Jun-2025</v>
      </c>
      <c r="D371" s="3" t="str">
        <f t="shared" si="98"/>
        <v>Q2-2025</v>
      </c>
      <c r="E371" s="3">
        <v>45861</v>
      </c>
      <c r="F371" s="3" t="str">
        <f t="shared" si="99"/>
        <v>Valid</v>
      </c>
      <c r="G371" s="12">
        <f t="shared" si="100"/>
        <v>29</v>
      </c>
      <c r="H371" s="3">
        <f t="shared" si="101"/>
        <v>45861</v>
      </c>
      <c r="I371" t="s">
        <v>648</v>
      </c>
      <c r="J371" t="str">
        <f t="shared" si="102"/>
        <v>Americas → Canada → Vancouver</v>
      </c>
      <c r="K371" s="3" t="str">
        <f t="shared" si="103"/>
        <v>Canada-2025-06</v>
      </c>
      <c r="L371" t="s">
        <v>653</v>
      </c>
      <c r="M371" t="s">
        <v>688</v>
      </c>
      <c r="N371" t="s">
        <v>703</v>
      </c>
      <c r="O371" t="s">
        <v>709</v>
      </c>
      <c r="P371" t="s">
        <v>714</v>
      </c>
      <c r="Q371" t="s">
        <v>728</v>
      </c>
      <c r="R371" t="s">
        <v>1103</v>
      </c>
      <c r="S371" s="5">
        <v>255.4</v>
      </c>
      <c r="T371" s="5">
        <v>322.70999999999998</v>
      </c>
      <c r="U371" s="5" t="str">
        <f t="shared" si="104"/>
        <v>Valid</v>
      </c>
      <c r="V371" s="5">
        <f t="shared" si="95"/>
        <v>322.70999999999998</v>
      </c>
      <c r="W371" s="5" t="str">
        <f t="shared" si="105"/>
        <v>Low</v>
      </c>
      <c r="X371" s="5">
        <v>0.115</v>
      </c>
      <c r="Y371" s="5" t="str">
        <f t="shared" si="106"/>
        <v>Valid</v>
      </c>
      <c r="Z371" s="5">
        <f t="shared" si="107"/>
        <v>0.115</v>
      </c>
      <c r="AA371" s="5">
        <v>16</v>
      </c>
      <c r="AB371">
        <f t="shared" si="108"/>
        <v>4569.5735999999997</v>
      </c>
      <c r="AC371">
        <f t="shared" si="96"/>
        <v>4086.4</v>
      </c>
      <c r="AD371">
        <f t="shared" si="109"/>
        <v>483.17359999999962</v>
      </c>
      <c r="AE371">
        <f t="shared" si="110"/>
        <v>0.10573713048412212</v>
      </c>
      <c r="AF371">
        <f t="shared" si="111"/>
        <v>0</v>
      </c>
      <c r="AG371">
        <f t="shared" si="112"/>
        <v>0</v>
      </c>
      <c r="AK371">
        <f>AA371*(1+What_if_Analysis!$B$4)</f>
        <v>19.2</v>
      </c>
      <c r="AL371" s="5">
        <f>MIN(Z371,What_if_Analysis!$B$2)</f>
        <v>0.05</v>
      </c>
      <c r="AM371">
        <f t="shared" si="113"/>
        <v>5886.2303999999986</v>
      </c>
      <c r="AN371">
        <f>AM371-(AK371*(T371*(1+What_if_Analysis!$B$3)))</f>
        <v>-929.40480000000116</v>
      </c>
    </row>
    <row r="372" spans="1:40" x14ac:dyDescent="0.3">
      <c r="A372" t="s">
        <v>384</v>
      </c>
      <c r="B372" s="3">
        <v>45286</v>
      </c>
      <c r="C372" s="3" t="str">
        <f t="shared" si="97"/>
        <v>Dec-2023</v>
      </c>
      <c r="D372" s="3" t="str">
        <f t="shared" si="98"/>
        <v>Q4-2023</v>
      </c>
      <c r="E372" s="3">
        <v>45294</v>
      </c>
      <c r="F372" s="3" t="str">
        <f t="shared" si="99"/>
        <v>Valid</v>
      </c>
      <c r="G372" s="12">
        <f t="shared" si="100"/>
        <v>8</v>
      </c>
      <c r="H372" s="3">
        <f t="shared" si="101"/>
        <v>45294</v>
      </c>
      <c r="I372" t="s">
        <v>649</v>
      </c>
      <c r="J372" t="str">
        <f t="shared" si="102"/>
        <v>Europe → France → Lyon</v>
      </c>
      <c r="K372" s="3" t="str">
        <f t="shared" si="103"/>
        <v>France-2023-12</v>
      </c>
      <c r="L372" t="s">
        <v>657</v>
      </c>
      <c r="M372" t="s">
        <v>679</v>
      </c>
      <c r="N372" t="s">
        <v>705</v>
      </c>
      <c r="O372" t="s">
        <v>707</v>
      </c>
      <c r="P372" t="s">
        <v>724</v>
      </c>
      <c r="Q372" t="s">
        <v>731</v>
      </c>
      <c r="R372" t="s">
        <v>1104</v>
      </c>
      <c r="S372" s="5">
        <v>492.75</v>
      </c>
      <c r="T372" s="5">
        <v>731.29</v>
      </c>
      <c r="U372" s="5" t="str">
        <f t="shared" si="104"/>
        <v>Valid</v>
      </c>
      <c r="V372" s="5">
        <f t="shared" si="95"/>
        <v>731.29</v>
      </c>
      <c r="W372" s="5" t="str">
        <f t="shared" si="105"/>
        <v>Medium</v>
      </c>
      <c r="X372" s="5">
        <v>5.8000000000000003E-2</v>
      </c>
      <c r="Y372" s="5" t="str">
        <f t="shared" si="106"/>
        <v>Valid</v>
      </c>
      <c r="Z372" s="5">
        <f t="shared" si="107"/>
        <v>5.8000000000000003E-2</v>
      </c>
      <c r="AA372" s="5">
        <v>6</v>
      </c>
      <c r="AB372">
        <f t="shared" si="108"/>
        <v>4133.25108</v>
      </c>
      <c r="AC372">
        <f t="shared" si="96"/>
        <v>2956.5</v>
      </c>
      <c r="AD372">
        <f t="shared" si="109"/>
        <v>1176.75108</v>
      </c>
      <c r="AE372">
        <f t="shared" si="110"/>
        <v>0.28470350753528384</v>
      </c>
      <c r="AF372">
        <f t="shared" si="111"/>
        <v>0</v>
      </c>
      <c r="AG372">
        <f t="shared" si="112"/>
        <v>0</v>
      </c>
      <c r="AK372">
        <f>AA372*(1+What_if_Analysis!$B$4)</f>
        <v>7.1999999999999993</v>
      </c>
      <c r="AL372" s="5">
        <f>MIN(Z372,What_if_Analysis!$B$2)</f>
        <v>0.05</v>
      </c>
      <c r="AM372">
        <f t="shared" si="113"/>
        <v>5002.0235999999995</v>
      </c>
      <c r="AN372">
        <f>AM372-(AK372*(T372*(1+What_if_Analysis!$B$3)))</f>
        <v>-789.79320000000007</v>
      </c>
    </row>
    <row r="373" spans="1:40" x14ac:dyDescent="0.3">
      <c r="A373" t="s">
        <v>385</v>
      </c>
      <c r="B373" s="3">
        <v>44962</v>
      </c>
      <c r="C373" s="3" t="str">
        <f t="shared" si="97"/>
        <v>Feb-2023</v>
      </c>
      <c r="D373" s="3" t="str">
        <f t="shared" si="98"/>
        <v>Q1-2023</v>
      </c>
      <c r="E373" s="3">
        <v>44985</v>
      </c>
      <c r="F373" s="3" t="str">
        <f t="shared" si="99"/>
        <v>Valid</v>
      </c>
      <c r="G373" s="12">
        <f t="shared" si="100"/>
        <v>23</v>
      </c>
      <c r="H373" s="3">
        <f t="shared" si="101"/>
        <v>44985</v>
      </c>
      <c r="I373" t="s">
        <v>648</v>
      </c>
      <c r="J373" t="str">
        <f t="shared" si="102"/>
        <v>Americas → USA → Austin</v>
      </c>
      <c r="K373" s="3" t="str">
        <f t="shared" si="103"/>
        <v>USA-2023-02</v>
      </c>
      <c r="L373" t="s">
        <v>660</v>
      </c>
      <c r="M373" t="s">
        <v>697</v>
      </c>
      <c r="N373" t="s">
        <v>703</v>
      </c>
      <c r="O373" t="s">
        <v>710</v>
      </c>
      <c r="P373" t="s">
        <v>716</v>
      </c>
      <c r="Q373" t="s">
        <v>730</v>
      </c>
      <c r="R373" t="s">
        <v>1105</v>
      </c>
      <c r="S373" s="5">
        <v>1214.49</v>
      </c>
      <c r="T373" s="5">
        <v>1533.95</v>
      </c>
      <c r="U373" s="5" t="str">
        <f t="shared" si="104"/>
        <v>Valid</v>
      </c>
      <c r="V373" s="5">
        <f t="shared" si="95"/>
        <v>1533.95</v>
      </c>
      <c r="W373" s="5" t="str">
        <f t="shared" si="105"/>
        <v>Medium</v>
      </c>
      <c r="X373" s="5">
        <v>0</v>
      </c>
      <c r="Y373" s="5" t="str">
        <f t="shared" si="106"/>
        <v>Valid</v>
      </c>
      <c r="Z373" s="5">
        <f t="shared" si="107"/>
        <v>0</v>
      </c>
      <c r="AA373" s="5">
        <v>11</v>
      </c>
      <c r="AB373">
        <f t="shared" si="108"/>
        <v>16873.45</v>
      </c>
      <c r="AC373">
        <f t="shared" si="96"/>
        <v>13359.39</v>
      </c>
      <c r="AD373">
        <f t="shared" si="109"/>
        <v>3514.0600000000013</v>
      </c>
      <c r="AE373">
        <f t="shared" si="110"/>
        <v>0.20825972163369086</v>
      </c>
      <c r="AF373">
        <f t="shared" si="111"/>
        <v>0</v>
      </c>
      <c r="AG373">
        <f t="shared" si="112"/>
        <v>0</v>
      </c>
      <c r="AK373">
        <f>AA373*(1+What_if_Analysis!$B$4)</f>
        <v>13.2</v>
      </c>
      <c r="AL373" s="5">
        <f>MIN(Z373,What_if_Analysis!$B$2)</f>
        <v>0</v>
      </c>
      <c r="AM373">
        <f t="shared" si="113"/>
        <v>20248.14</v>
      </c>
      <c r="AN373">
        <f>AM373-(AK373*(T373*(1+What_if_Analysis!$B$3)))</f>
        <v>-2024.8140000000021</v>
      </c>
    </row>
    <row r="374" spans="1:40" x14ac:dyDescent="0.3">
      <c r="A374" t="s">
        <v>386</v>
      </c>
      <c r="B374" s="3">
        <v>45022</v>
      </c>
      <c r="C374" s="3" t="str">
        <f t="shared" si="97"/>
        <v>Apr-2023</v>
      </c>
      <c r="D374" s="3" t="str">
        <f t="shared" si="98"/>
        <v>Q2-2023</v>
      </c>
      <c r="E374" s="3">
        <v>45024</v>
      </c>
      <c r="F374" s="3" t="str">
        <f t="shared" si="99"/>
        <v>Valid</v>
      </c>
      <c r="G374" s="12">
        <f t="shared" si="100"/>
        <v>2</v>
      </c>
      <c r="H374" s="3">
        <f t="shared" si="101"/>
        <v>45024</v>
      </c>
      <c r="I374" t="s">
        <v>646</v>
      </c>
      <c r="J374" t="str">
        <f t="shared" si="102"/>
        <v>Africa → Nigeria → Abuja</v>
      </c>
      <c r="K374" s="3" t="str">
        <f t="shared" si="103"/>
        <v>Nigeria-2023-04</v>
      </c>
      <c r="L374" t="s">
        <v>651</v>
      </c>
      <c r="M374" t="s">
        <v>669</v>
      </c>
      <c r="N374" t="s">
        <v>705</v>
      </c>
      <c r="O374" t="s">
        <v>709</v>
      </c>
      <c r="P374" t="s">
        <v>723</v>
      </c>
      <c r="Q374" t="s">
        <v>732</v>
      </c>
      <c r="R374" t="s">
        <v>1106</v>
      </c>
      <c r="S374" s="5">
        <v>720.35</v>
      </c>
      <c r="T374" s="5">
        <v>1571.66</v>
      </c>
      <c r="U374" s="5" t="str">
        <f t="shared" si="104"/>
        <v>Valid</v>
      </c>
      <c r="V374" s="5">
        <f t="shared" si="95"/>
        <v>1571.66</v>
      </c>
      <c r="W374" s="5" t="str">
        <f t="shared" si="105"/>
        <v>Medium</v>
      </c>
      <c r="X374" s="5">
        <v>0.107</v>
      </c>
      <c r="Y374" s="5" t="str">
        <f t="shared" si="106"/>
        <v>Valid</v>
      </c>
      <c r="Z374" s="5">
        <f t="shared" si="107"/>
        <v>0.107</v>
      </c>
      <c r="AA374" s="5">
        <v>23</v>
      </c>
      <c r="AB374">
        <f t="shared" si="108"/>
        <v>32280.32474</v>
      </c>
      <c r="AC374">
        <f t="shared" si="96"/>
        <v>16568.05</v>
      </c>
      <c r="AD374">
        <f t="shared" si="109"/>
        <v>15712.274740000001</v>
      </c>
      <c r="AE374">
        <f t="shared" si="110"/>
        <v>0.4867446305622265</v>
      </c>
      <c r="AF374">
        <f t="shared" si="111"/>
        <v>1</v>
      </c>
      <c r="AG374">
        <f t="shared" si="112"/>
        <v>0</v>
      </c>
      <c r="AK374">
        <f>AA374*(1+What_if_Analysis!$B$4)</f>
        <v>27.599999999999998</v>
      </c>
      <c r="AL374" s="5">
        <f>MIN(Z374,What_if_Analysis!$B$2)</f>
        <v>0.05</v>
      </c>
      <c r="AM374">
        <f t="shared" si="113"/>
        <v>41208.925199999998</v>
      </c>
      <c r="AN374">
        <f>AM374-(AK374*(T374*(1+What_if_Analysis!$B$3)))</f>
        <v>-6506.6724000000031</v>
      </c>
    </row>
    <row r="375" spans="1:40" x14ac:dyDescent="0.3">
      <c r="A375" t="s">
        <v>387</v>
      </c>
      <c r="B375" s="3">
        <v>45751</v>
      </c>
      <c r="C375" s="3" t="str">
        <f t="shared" si="97"/>
        <v>Apr-2025</v>
      </c>
      <c r="D375" s="3" t="str">
        <f t="shared" si="98"/>
        <v>Q2-2025</v>
      </c>
      <c r="E375" s="3">
        <v>45757</v>
      </c>
      <c r="F375" s="3" t="str">
        <f t="shared" si="99"/>
        <v>Valid</v>
      </c>
      <c r="G375" s="12">
        <f t="shared" si="100"/>
        <v>6</v>
      </c>
      <c r="H375" s="3">
        <f t="shared" si="101"/>
        <v>45757</v>
      </c>
      <c r="I375" t="s">
        <v>649</v>
      </c>
      <c r="J375" t="str">
        <f t="shared" si="102"/>
        <v>Europe → United Kingdom → Birmingham</v>
      </c>
      <c r="K375" s="3" t="str">
        <f t="shared" si="103"/>
        <v>United Kingdom-2025-04</v>
      </c>
      <c r="L375" t="s">
        <v>658</v>
      </c>
      <c r="M375" t="s">
        <v>674</v>
      </c>
      <c r="N375" t="s">
        <v>703</v>
      </c>
      <c r="O375" t="s">
        <v>711</v>
      </c>
      <c r="P375" t="s">
        <v>725</v>
      </c>
      <c r="Q375" t="s">
        <v>728</v>
      </c>
      <c r="R375" t="s">
        <v>1107</v>
      </c>
      <c r="S375" s="5">
        <v>290.14</v>
      </c>
      <c r="T375" s="5">
        <v>250.73</v>
      </c>
      <c r="U375" s="5" t="str">
        <f t="shared" si="104"/>
        <v>Valid</v>
      </c>
      <c r="V375" s="5">
        <f t="shared" si="95"/>
        <v>250.73</v>
      </c>
      <c r="W375" s="5" t="str">
        <f t="shared" si="105"/>
        <v>Low</v>
      </c>
      <c r="X375" s="5">
        <v>3.4000000000000002E-2</v>
      </c>
      <c r="Y375" s="5" t="str">
        <f t="shared" si="106"/>
        <v>Valid</v>
      </c>
      <c r="Z375" s="5">
        <f t="shared" si="107"/>
        <v>3.4000000000000002E-2</v>
      </c>
      <c r="AA375" s="5">
        <v>17</v>
      </c>
      <c r="AB375">
        <f t="shared" si="108"/>
        <v>4117.4880599999997</v>
      </c>
      <c r="AC375">
        <f t="shared" si="96"/>
        <v>4932.38</v>
      </c>
      <c r="AD375">
        <f t="shared" si="109"/>
        <v>-814.89194000000043</v>
      </c>
      <c r="AE375">
        <f t="shared" si="110"/>
        <v>-0.19790997038131072</v>
      </c>
      <c r="AF375">
        <f t="shared" si="111"/>
        <v>1</v>
      </c>
      <c r="AG375">
        <f t="shared" si="112"/>
        <v>0</v>
      </c>
      <c r="AK375">
        <f>AA375*(1+What_if_Analysis!$B$4)</f>
        <v>20.399999999999999</v>
      </c>
      <c r="AL375" s="5">
        <f>MIN(Z375,What_if_Analysis!$B$2)</f>
        <v>3.4000000000000002E-2</v>
      </c>
      <c r="AM375">
        <f t="shared" si="113"/>
        <v>4940.9856719999998</v>
      </c>
      <c r="AN375">
        <f>AM375-(AK375*(T375*(1+What_if_Analysis!$B$3)))</f>
        <v>-685.39552800000001</v>
      </c>
    </row>
    <row r="376" spans="1:40" x14ac:dyDescent="0.3">
      <c r="A376" t="s">
        <v>388</v>
      </c>
      <c r="B376" s="3">
        <v>45429</v>
      </c>
      <c r="C376" s="3" t="str">
        <f t="shared" si="97"/>
        <v>May-2024</v>
      </c>
      <c r="D376" s="3" t="str">
        <f t="shared" si="98"/>
        <v>Q2-2024</v>
      </c>
      <c r="E376" s="3">
        <v>45439</v>
      </c>
      <c r="F376" s="3" t="str">
        <f t="shared" si="99"/>
        <v>Valid</v>
      </c>
      <c r="G376" s="12">
        <f t="shared" si="100"/>
        <v>10</v>
      </c>
      <c r="H376" s="3">
        <f t="shared" si="101"/>
        <v>45439</v>
      </c>
      <c r="I376" t="s">
        <v>648</v>
      </c>
      <c r="J376" t="str">
        <f t="shared" si="102"/>
        <v>Americas → USA → Austin</v>
      </c>
      <c r="K376" s="3" t="str">
        <f t="shared" si="103"/>
        <v>USA-2024-05</v>
      </c>
      <c r="L376" t="s">
        <v>660</v>
      </c>
      <c r="M376" t="s">
        <v>697</v>
      </c>
      <c r="N376" t="s">
        <v>703</v>
      </c>
      <c r="O376" t="s">
        <v>708</v>
      </c>
      <c r="P376" t="s">
        <v>712</v>
      </c>
      <c r="Q376" t="s">
        <v>730</v>
      </c>
      <c r="R376" t="s">
        <v>1108</v>
      </c>
      <c r="S376" s="5">
        <v>1484.23</v>
      </c>
      <c r="T376" s="5">
        <v>3472.81</v>
      </c>
      <c r="U376" s="5" t="str">
        <f t="shared" si="104"/>
        <v>Valid</v>
      </c>
      <c r="V376" s="5">
        <f t="shared" si="95"/>
        <v>3472.81</v>
      </c>
      <c r="W376" s="5" t="str">
        <f t="shared" si="105"/>
        <v>High</v>
      </c>
      <c r="X376" s="5">
        <v>0.25600000000000001</v>
      </c>
      <c r="Y376" s="5" t="str">
        <f t="shared" si="106"/>
        <v>Valid</v>
      </c>
      <c r="Z376" s="5">
        <f t="shared" si="107"/>
        <v>0.25600000000000001</v>
      </c>
      <c r="AA376" s="5">
        <v>12</v>
      </c>
      <c r="AB376">
        <f t="shared" si="108"/>
        <v>31005.24768</v>
      </c>
      <c r="AC376">
        <f t="shared" si="96"/>
        <v>17810.760000000002</v>
      </c>
      <c r="AD376">
        <f t="shared" si="109"/>
        <v>13194.487679999998</v>
      </c>
      <c r="AE376">
        <f t="shared" si="110"/>
        <v>0.42555659661803413</v>
      </c>
      <c r="AF376">
        <f t="shared" si="111"/>
        <v>0</v>
      </c>
      <c r="AG376">
        <f t="shared" si="112"/>
        <v>1</v>
      </c>
      <c r="AK376">
        <f>AA376*(1+What_if_Analysis!$B$4)</f>
        <v>14.399999999999999</v>
      </c>
      <c r="AL376" s="5">
        <f>MIN(Z376,What_if_Analysis!$B$2)</f>
        <v>0.05</v>
      </c>
      <c r="AM376">
        <f t="shared" si="113"/>
        <v>47508.040799999988</v>
      </c>
      <c r="AN376">
        <f>AM376-(AK376*(T376*(1+What_if_Analysis!$B$3)))</f>
        <v>-7501.2696000000142</v>
      </c>
    </row>
    <row r="377" spans="1:40" x14ac:dyDescent="0.3">
      <c r="A377" t="s">
        <v>389</v>
      </c>
      <c r="B377" s="3">
        <v>45354</v>
      </c>
      <c r="C377" s="3" t="str">
        <f t="shared" si="97"/>
        <v>Mar-2024</v>
      </c>
      <c r="D377" s="3" t="str">
        <f t="shared" si="98"/>
        <v>Q1-2024</v>
      </c>
      <c r="E377" s="3">
        <v>45370</v>
      </c>
      <c r="F377" s="3" t="str">
        <f t="shared" si="99"/>
        <v>Valid</v>
      </c>
      <c r="G377" s="12">
        <f t="shared" si="100"/>
        <v>16</v>
      </c>
      <c r="H377" s="3">
        <f t="shared" si="101"/>
        <v>45370</v>
      </c>
      <c r="I377" t="s">
        <v>647</v>
      </c>
      <c r="J377" t="str">
        <f t="shared" si="102"/>
        <v>Asia → China → Beijing</v>
      </c>
      <c r="K377" s="3" t="str">
        <f t="shared" si="103"/>
        <v>China-2024-03</v>
      </c>
      <c r="L377" t="s">
        <v>659</v>
      </c>
      <c r="M377" t="s">
        <v>699</v>
      </c>
      <c r="N377" t="s">
        <v>704</v>
      </c>
      <c r="O377" t="s">
        <v>710</v>
      </c>
      <c r="P377" t="s">
        <v>715</v>
      </c>
      <c r="Q377" t="s">
        <v>730</v>
      </c>
      <c r="R377" t="s">
        <v>1109</v>
      </c>
      <c r="S377" s="5">
        <v>988.83</v>
      </c>
      <c r="T377" s="5">
        <v>1206.04</v>
      </c>
      <c r="U377" s="5" t="str">
        <f t="shared" si="104"/>
        <v>Valid</v>
      </c>
      <c r="V377" s="5">
        <f t="shared" si="95"/>
        <v>1206.04</v>
      </c>
      <c r="W377" s="5" t="str">
        <f t="shared" si="105"/>
        <v>Medium</v>
      </c>
      <c r="X377" s="5">
        <v>6.3E-2</v>
      </c>
      <c r="Y377" s="5" t="str">
        <f t="shared" si="106"/>
        <v>Valid</v>
      </c>
      <c r="Z377" s="5">
        <f t="shared" si="107"/>
        <v>6.3E-2</v>
      </c>
      <c r="AA377" s="5">
        <v>34</v>
      </c>
      <c r="AB377">
        <f t="shared" si="108"/>
        <v>38422.022320000004</v>
      </c>
      <c r="AC377">
        <f t="shared" si="96"/>
        <v>33620.22</v>
      </c>
      <c r="AD377">
        <f t="shared" si="109"/>
        <v>4801.8023200000025</v>
      </c>
      <c r="AE377">
        <f t="shared" si="110"/>
        <v>0.12497526236406606</v>
      </c>
      <c r="AF377">
        <f t="shared" si="111"/>
        <v>0</v>
      </c>
      <c r="AG377">
        <f t="shared" si="112"/>
        <v>0</v>
      </c>
      <c r="AK377">
        <f>AA377*(1+What_if_Analysis!$B$4)</f>
        <v>40.799999999999997</v>
      </c>
      <c r="AL377" s="5">
        <f>MIN(Z377,What_if_Analysis!$B$2)</f>
        <v>0.05</v>
      </c>
      <c r="AM377">
        <f t="shared" si="113"/>
        <v>46746.11039999999</v>
      </c>
      <c r="AN377">
        <f>AM377-(AK377*(T377*(1+What_if_Analysis!$B$3)))</f>
        <v>-7380.9648000000088</v>
      </c>
    </row>
    <row r="378" spans="1:40" x14ac:dyDescent="0.3">
      <c r="A378" t="s">
        <v>390</v>
      </c>
      <c r="B378" s="3">
        <v>45835</v>
      </c>
      <c r="C378" s="3" t="str">
        <f t="shared" si="97"/>
        <v>Jun-2025</v>
      </c>
      <c r="D378" s="3" t="str">
        <f t="shared" si="98"/>
        <v>Q2-2025</v>
      </c>
      <c r="E378" s="3">
        <v>45849</v>
      </c>
      <c r="F378" s="3" t="str">
        <f t="shared" si="99"/>
        <v>Valid</v>
      </c>
      <c r="G378" s="12">
        <f t="shared" si="100"/>
        <v>14</v>
      </c>
      <c r="H378" s="3">
        <f t="shared" si="101"/>
        <v>45849</v>
      </c>
      <c r="I378" t="s">
        <v>647</v>
      </c>
      <c r="J378" t="str">
        <f t="shared" si="102"/>
        <v>Asia → China → Shanghai</v>
      </c>
      <c r="K378" s="3" t="str">
        <f t="shared" si="103"/>
        <v>China-2025-06</v>
      </c>
      <c r="L378" t="s">
        <v>659</v>
      </c>
      <c r="M378" t="s">
        <v>685</v>
      </c>
      <c r="N378" t="s">
        <v>705</v>
      </c>
      <c r="O378" t="s">
        <v>709</v>
      </c>
      <c r="P378" t="s">
        <v>716</v>
      </c>
      <c r="Q378" t="s">
        <v>729</v>
      </c>
      <c r="R378" t="s">
        <v>1110</v>
      </c>
      <c r="S378" s="5">
        <v>1227.7</v>
      </c>
      <c r="T378" s="5">
        <v>2197.23</v>
      </c>
      <c r="U378" s="5" t="str">
        <f t="shared" si="104"/>
        <v>Valid</v>
      </c>
      <c r="V378" s="5">
        <f t="shared" si="95"/>
        <v>2197.23</v>
      </c>
      <c r="W378" s="5" t="str">
        <f t="shared" si="105"/>
        <v>High</v>
      </c>
      <c r="X378" s="5">
        <v>9.9000000000000005E-2</v>
      </c>
      <c r="Y378" s="5" t="str">
        <f t="shared" si="106"/>
        <v>Valid</v>
      </c>
      <c r="Z378" s="5">
        <f t="shared" si="107"/>
        <v>9.9000000000000005E-2</v>
      </c>
      <c r="AA378" s="5">
        <v>22</v>
      </c>
      <c r="AB378">
        <f t="shared" si="108"/>
        <v>43553.493060000001</v>
      </c>
      <c r="AC378">
        <f t="shared" si="96"/>
        <v>27009.4</v>
      </c>
      <c r="AD378">
        <f t="shared" si="109"/>
        <v>16544.093059999999</v>
      </c>
      <c r="AE378">
        <f t="shared" si="110"/>
        <v>0.37985685871873898</v>
      </c>
      <c r="AF378">
        <f t="shared" si="111"/>
        <v>0</v>
      </c>
      <c r="AG378">
        <f t="shared" si="112"/>
        <v>0</v>
      </c>
      <c r="AK378">
        <f>AA378*(1+What_if_Analysis!$B$4)</f>
        <v>26.4</v>
      </c>
      <c r="AL378" s="5">
        <f>MIN(Z378,What_if_Analysis!$B$2)</f>
        <v>0.05</v>
      </c>
      <c r="AM378">
        <f t="shared" si="113"/>
        <v>55106.528399999996</v>
      </c>
      <c r="AN378">
        <f>AM378-(AK378*(T378*(1+What_if_Analysis!$B$3)))</f>
        <v>-8701.030800000015</v>
      </c>
    </row>
    <row r="379" spans="1:40" x14ac:dyDescent="0.3">
      <c r="A379" t="s">
        <v>391</v>
      </c>
      <c r="B379" s="3">
        <v>44998</v>
      </c>
      <c r="C379" s="3" t="str">
        <f t="shared" si="97"/>
        <v>Mar-2023</v>
      </c>
      <c r="D379" s="3" t="str">
        <f t="shared" si="98"/>
        <v>Q1-2023</v>
      </c>
      <c r="E379" s="3">
        <v>45020</v>
      </c>
      <c r="F379" s="3" t="str">
        <f t="shared" si="99"/>
        <v>Valid</v>
      </c>
      <c r="G379" s="12">
        <f t="shared" si="100"/>
        <v>22</v>
      </c>
      <c r="H379" s="3">
        <f t="shared" si="101"/>
        <v>45020</v>
      </c>
      <c r="I379" t="s">
        <v>646</v>
      </c>
      <c r="J379" t="str">
        <f t="shared" si="102"/>
        <v>Africa → South Africa → Durban</v>
      </c>
      <c r="K379" s="3" t="str">
        <f t="shared" si="103"/>
        <v>South Africa-2023-03</v>
      </c>
      <c r="L379" t="s">
        <v>661</v>
      </c>
      <c r="M379" t="s">
        <v>687</v>
      </c>
      <c r="N379" t="s">
        <v>705</v>
      </c>
      <c r="O379" t="s">
        <v>707</v>
      </c>
      <c r="P379" t="s">
        <v>720</v>
      </c>
      <c r="Q379" t="s">
        <v>727</v>
      </c>
      <c r="R379" t="s">
        <v>1111</v>
      </c>
      <c r="S379" s="5">
        <v>1113.7</v>
      </c>
      <c r="T379" s="5">
        <v>1620.6</v>
      </c>
      <c r="U379" s="5" t="str">
        <f t="shared" si="104"/>
        <v>Valid</v>
      </c>
      <c r="V379" s="5">
        <f t="shared" si="95"/>
        <v>1620.6</v>
      </c>
      <c r="W379" s="5" t="str">
        <f t="shared" si="105"/>
        <v>Medium</v>
      </c>
      <c r="X379" s="5">
        <v>0.13900000000000001</v>
      </c>
      <c r="Y379" s="5" t="str">
        <f t="shared" si="106"/>
        <v>Valid</v>
      </c>
      <c r="Z379" s="5">
        <f t="shared" si="107"/>
        <v>0.13900000000000001</v>
      </c>
      <c r="AA379" s="5">
        <v>11</v>
      </c>
      <c r="AB379">
        <f t="shared" si="108"/>
        <v>15348.702599999999</v>
      </c>
      <c r="AC379">
        <f t="shared" si="96"/>
        <v>12250.7</v>
      </c>
      <c r="AD379">
        <f t="shared" si="109"/>
        <v>3098.002599999998</v>
      </c>
      <c r="AE379">
        <f t="shared" si="110"/>
        <v>0.20184133348182787</v>
      </c>
      <c r="AF379">
        <f t="shared" si="111"/>
        <v>0</v>
      </c>
      <c r="AG379">
        <f t="shared" si="112"/>
        <v>0</v>
      </c>
      <c r="AK379">
        <f>AA379*(1+What_if_Analysis!$B$4)</f>
        <v>13.2</v>
      </c>
      <c r="AL379" s="5">
        <f>MIN(Z379,What_if_Analysis!$B$2)</f>
        <v>0.05</v>
      </c>
      <c r="AM379">
        <f t="shared" si="113"/>
        <v>20322.323999999997</v>
      </c>
      <c r="AN379">
        <f>AM379-(AK379*(T379*(1+What_if_Analysis!$B$3)))</f>
        <v>-3208.7880000000041</v>
      </c>
    </row>
    <row r="380" spans="1:40" x14ac:dyDescent="0.3">
      <c r="A380" t="s">
        <v>392</v>
      </c>
      <c r="B380" s="3">
        <v>45664</v>
      </c>
      <c r="C380" s="3" t="str">
        <f t="shared" si="97"/>
        <v>Jan-2025</v>
      </c>
      <c r="D380" s="3" t="str">
        <f t="shared" si="98"/>
        <v>Q1-2025</v>
      </c>
      <c r="E380" s="3">
        <v>45677</v>
      </c>
      <c r="F380" s="3" t="str">
        <f t="shared" si="99"/>
        <v>Valid</v>
      </c>
      <c r="G380" s="12">
        <f t="shared" si="100"/>
        <v>13</v>
      </c>
      <c r="H380" s="3">
        <f t="shared" si="101"/>
        <v>45677</v>
      </c>
      <c r="I380" t="s">
        <v>646</v>
      </c>
      <c r="J380" t="str">
        <f t="shared" si="102"/>
        <v>Africa → South Africa → Cape Town</v>
      </c>
      <c r="K380" s="3" t="str">
        <f t="shared" si="103"/>
        <v>South Africa-2025-01</v>
      </c>
      <c r="L380" t="s">
        <v>661</v>
      </c>
      <c r="M380" t="s">
        <v>695</v>
      </c>
      <c r="N380" t="s">
        <v>701</v>
      </c>
      <c r="O380" t="s">
        <v>711</v>
      </c>
      <c r="P380" t="s">
        <v>723</v>
      </c>
      <c r="Q380" t="s">
        <v>729</v>
      </c>
      <c r="R380" t="s">
        <v>1112</v>
      </c>
      <c r="S380" s="5">
        <v>432.13</v>
      </c>
      <c r="T380" s="5">
        <v>1034.6600000000001</v>
      </c>
      <c r="U380" s="5" t="str">
        <f t="shared" si="104"/>
        <v>Valid</v>
      </c>
      <c r="V380" s="5">
        <f t="shared" si="95"/>
        <v>1034.6600000000001</v>
      </c>
      <c r="W380" s="5" t="str">
        <f t="shared" si="105"/>
        <v>Medium</v>
      </c>
      <c r="X380" s="5">
        <v>9.1999999999999998E-2</v>
      </c>
      <c r="Y380" s="5" t="str">
        <f t="shared" si="106"/>
        <v>Valid</v>
      </c>
      <c r="Z380" s="5">
        <f t="shared" si="107"/>
        <v>9.1999999999999998E-2</v>
      </c>
      <c r="AA380" s="5">
        <v>7</v>
      </c>
      <c r="AB380">
        <f t="shared" si="108"/>
        <v>6576.298960000001</v>
      </c>
      <c r="AC380">
        <f t="shared" si="96"/>
        <v>3024.91</v>
      </c>
      <c r="AD380">
        <f t="shared" si="109"/>
        <v>3551.3889600000011</v>
      </c>
      <c r="AE380">
        <f t="shared" si="110"/>
        <v>0.54002851476204794</v>
      </c>
      <c r="AF380">
        <f t="shared" si="111"/>
        <v>0</v>
      </c>
      <c r="AG380">
        <f t="shared" si="112"/>
        <v>0</v>
      </c>
      <c r="AK380">
        <f>AA380*(1+What_if_Analysis!$B$4)</f>
        <v>8.4</v>
      </c>
      <c r="AL380" s="5">
        <f>MIN(Z380,What_if_Analysis!$B$2)</f>
        <v>0.05</v>
      </c>
      <c r="AM380">
        <f t="shared" si="113"/>
        <v>8256.5867999999991</v>
      </c>
      <c r="AN380">
        <f>AM380-(AK380*(T380*(1+What_if_Analysis!$B$3)))</f>
        <v>-1303.6716000000033</v>
      </c>
    </row>
    <row r="381" spans="1:40" x14ac:dyDescent="0.3">
      <c r="A381" t="s">
        <v>393</v>
      </c>
      <c r="B381" s="3">
        <v>45694</v>
      </c>
      <c r="C381" s="3" t="str">
        <f t="shared" si="97"/>
        <v>Feb-2025</v>
      </c>
      <c r="D381" s="3" t="str">
        <f t="shared" si="98"/>
        <v>Q1-2025</v>
      </c>
      <c r="E381" s="3">
        <v>45703</v>
      </c>
      <c r="F381" s="3" t="str">
        <f t="shared" si="99"/>
        <v>Valid</v>
      </c>
      <c r="G381" s="12">
        <f t="shared" si="100"/>
        <v>9</v>
      </c>
      <c r="H381" s="3">
        <f t="shared" si="101"/>
        <v>45703</v>
      </c>
      <c r="I381" t="s">
        <v>648</v>
      </c>
      <c r="J381" t="str">
        <f t="shared" si="102"/>
        <v>Americas → Brazil → São Paulo</v>
      </c>
      <c r="K381" s="3" t="str">
        <f t="shared" si="103"/>
        <v>Brazil-2025-02</v>
      </c>
      <c r="L381" t="s">
        <v>655</v>
      </c>
      <c r="M381" t="s">
        <v>670</v>
      </c>
      <c r="N381" t="s">
        <v>703</v>
      </c>
      <c r="O381" t="s">
        <v>710</v>
      </c>
      <c r="P381" t="s">
        <v>721</v>
      </c>
      <c r="Q381" t="s">
        <v>729</v>
      </c>
      <c r="R381" t="s">
        <v>1113</v>
      </c>
      <c r="S381" s="5">
        <v>837.39</v>
      </c>
      <c r="T381" s="5">
        <v>1905.42</v>
      </c>
      <c r="U381" s="5" t="str">
        <f t="shared" si="104"/>
        <v>Valid</v>
      </c>
      <c r="V381" s="5">
        <f t="shared" si="95"/>
        <v>1905.42</v>
      </c>
      <c r="W381" s="5" t="str">
        <f t="shared" si="105"/>
        <v>Medium</v>
      </c>
      <c r="X381" s="5">
        <v>3.2000000000000001E-2</v>
      </c>
      <c r="Y381" s="5" t="str">
        <f t="shared" si="106"/>
        <v>Valid</v>
      </c>
      <c r="Z381" s="5">
        <f t="shared" si="107"/>
        <v>3.2000000000000001E-2</v>
      </c>
      <c r="AA381" s="5">
        <v>18</v>
      </c>
      <c r="AB381">
        <f t="shared" si="108"/>
        <v>33200.038079999998</v>
      </c>
      <c r="AC381">
        <f t="shared" si="96"/>
        <v>15073.02</v>
      </c>
      <c r="AD381">
        <f t="shared" si="109"/>
        <v>18127.018079999998</v>
      </c>
      <c r="AE381">
        <f t="shared" si="110"/>
        <v>0.54599389423350919</v>
      </c>
      <c r="AF381">
        <f t="shared" si="111"/>
        <v>0</v>
      </c>
      <c r="AG381">
        <f t="shared" si="112"/>
        <v>0</v>
      </c>
      <c r="AK381">
        <f>AA381*(1+What_if_Analysis!$B$4)</f>
        <v>21.599999999999998</v>
      </c>
      <c r="AL381" s="5">
        <f>MIN(Z381,What_if_Analysis!$B$2)</f>
        <v>3.2000000000000001E-2</v>
      </c>
      <c r="AM381">
        <f t="shared" si="113"/>
        <v>39840.045696000001</v>
      </c>
      <c r="AN381">
        <f>AM381-(AK381*(T381*(1+What_if_Analysis!$B$3)))</f>
        <v>-5432.7335040000034</v>
      </c>
    </row>
    <row r="382" spans="1:40" x14ac:dyDescent="0.3">
      <c r="A382" t="s">
        <v>394</v>
      </c>
      <c r="B382" s="3">
        <v>45688</v>
      </c>
      <c r="C382" s="3" t="str">
        <f t="shared" si="97"/>
        <v>Jan-2025</v>
      </c>
      <c r="D382" s="3" t="str">
        <f t="shared" si="98"/>
        <v>Q1-2025</v>
      </c>
      <c r="E382" s="3">
        <v>45705</v>
      </c>
      <c r="F382" s="3" t="str">
        <f t="shared" si="99"/>
        <v>Valid</v>
      </c>
      <c r="G382" s="12">
        <f t="shared" si="100"/>
        <v>17</v>
      </c>
      <c r="H382" s="3">
        <f t="shared" si="101"/>
        <v>45705</v>
      </c>
      <c r="I382" t="s">
        <v>649</v>
      </c>
      <c r="J382" t="str">
        <f t="shared" si="102"/>
        <v>Europe → United Kingdom → London</v>
      </c>
      <c r="K382" s="3" t="str">
        <f t="shared" si="103"/>
        <v>United Kingdom-2025-01</v>
      </c>
      <c r="L382" t="s">
        <v>658</v>
      </c>
      <c r="M382" t="s">
        <v>683</v>
      </c>
      <c r="N382" t="s">
        <v>706</v>
      </c>
      <c r="O382" t="s">
        <v>707</v>
      </c>
      <c r="P382" t="s">
        <v>722</v>
      </c>
      <c r="Q382" t="s">
        <v>727</v>
      </c>
      <c r="R382" t="s">
        <v>812</v>
      </c>
      <c r="S382" s="5">
        <v>378.26</v>
      </c>
      <c r="T382" s="5">
        <v>541.55999999999995</v>
      </c>
      <c r="U382" s="5" t="str">
        <f t="shared" si="104"/>
        <v>Valid</v>
      </c>
      <c r="V382" s="5">
        <f t="shared" si="95"/>
        <v>541.55999999999995</v>
      </c>
      <c r="W382" s="5" t="str">
        <f t="shared" si="105"/>
        <v>Low</v>
      </c>
      <c r="X382" s="5">
        <v>0.16300000000000001</v>
      </c>
      <c r="Y382" s="5" t="str">
        <f t="shared" si="106"/>
        <v>Valid</v>
      </c>
      <c r="Z382" s="5">
        <f t="shared" si="107"/>
        <v>0.16300000000000001</v>
      </c>
      <c r="AA382" s="5">
        <v>25</v>
      </c>
      <c r="AB382">
        <f t="shared" si="108"/>
        <v>11332.142999999998</v>
      </c>
      <c r="AC382">
        <f t="shared" si="96"/>
        <v>9456.5</v>
      </c>
      <c r="AD382">
        <f t="shared" si="109"/>
        <v>1875.6429999999982</v>
      </c>
      <c r="AE382">
        <f t="shared" si="110"/>
        <v>0.16551529573885526</v>
      </c>
      <c r="AF382">
        <f t="shared" si="111"/>
        <v>0</v>
      </c>
      <c r="AG382">
        <f t="shared" si="112"/>
        <v>0</v>
      </c>
      <c r="AK382">
        <f>AA382*(1+What_if_Analysis!$B$4)</f>
        <v>30</v>
      </c>
      <c r="AL382" s="5">
        <f>MIN(Z382,What_if_Analysis!$B$2)</f>
        <v>0.05</v>
      </c>
      <c r="AM382">
        <f t="shared" si="113"/>
        <v>15434.46</v>
      </c>
      <c r="AN382">
        <f>AM382-(AK382*(T382*(1+What_if_Analysis!$B$3)))</f>
        <v>-2437.0200000000004</v>
      </c>
    </row>
    <row r="383" spans="1:40" x14ac:dyDescent="0.3">
      <c r="A383" t="s">
        <v>395</v>
      </c>
      <c r="B383" s="3">
        <v>45876</v>
      </c>
      <c r="C383" s="3" t="str">
        <f t="shared" si="97"/>
        <v>Aug-2025</v>
      </c>
      <c r="D383" s="3" t="str">
        <f t="shared" si="98"/>
        <v>Q3-2025</v>
      </c>
      <c r="E383" s="3">
        <v>45906</v>
      </c>
      <c r="F383" s="3" t="str">
        <f t="shared" si="99"/>
        <v>Valid</v>
      </c>
      <c r="G383" s="12">
        <f t="shared" si="100"/>
        <v>30</v>
      </c>
      <c r="H383" s="3">
        <f t="shared" si="101"/>
        <v>45906</v>
      </c>
      <c r="I383" t="s">
        <v>648</v>
      </c>
      <c r="J383" t="str">
        <f t="shared" si="102"/>
        <v>Americas → Canada → Montreal</v>
      </c>
      <c r="K383" s="3" t="str">
        <f t="shared" si="103"/>
        <v>Canada-2025-08</v>
      </c>
      <c r="L383" t="s">
        <v>653</v>
      </c>
      <c r="M383" t="s">
        <v>681</v>
      </c>
      <c r="N383" t="s">
        <v>702</v>
      </c>
      <c r="O383" t="s">
        <v>711</v>
      </c>
      <c r="P383" t="s">
        <v>724</v>
      </c>
      <c r="Q383" t="s">
        <v>729</v>
      </c>
      <c r="R383" t="s">
        <v>1114</v>
      </c>
      <c r="S383" s="5">
        <v>833.73</v>
      </c>
      <c r="T383" s="5">
        <v>1116.5999999999999</v>
      </c>
      <c r="U383" s="5" t="str">
        <f t="shared" si="104"/>
        <v>Valid</v>
      </c>
      <c r="V383" s="5">
        <f t="shared" si="95"/>
        <v>1116.5999999999999</v>
      </c>
      <c r="W383" s="5" t="str">
        <f t="shared" si="105"/>
        <v>Medium</v>
      </c>
      <c r="X383" s="5">
        <v>0.17599999999999999</v>
      </c>
      <c r="Y383" s="5" t="str">
        <f t="shared" si="106"/>
        <v>Valid</v>
      </c>
      <c r="Z383" s="5">
        <f t="shared" si="107"/>
        <v>0.17599999999999999</v>
      </c>
      <c r="AA383" s="5">
        <v>14</v>
      </c>
      <c r="AB383">
        <f t="shared" si="108"/>
        <v>12881.097599999999</v>
      </c>
      <c r="AC383">
        <f t="shared" si="96"/>
        <v>11672.220000000001</v>
      </c>
      <c r="AD383">
        <f t="shared" si="109"/>
        <v>1208.877599999998</v>
      </c>
      <c r="AE383">
        <f t="shared" si="110"/>
        <v>9.3848958958279924E-2</v>
      </c>
      <c r="AF383">
        <f t="shared" si="111"/>
        <v>0</v>
      </c>
      <c r="AG383">
        <f t="shared" si="112"/>
        <v>0</v>
      </c>
      <c r="AK383">
        <f>AA383*(1+What_if_Analysis!$B$4)</f>
        <v>16.8</v>
      </c>
      <c r="AL383" s="5">
        <f>MIN(Z383,What_if_Analysis!$B$2)</f>
        <v>0.05</v>
      </c>
      <c r="AM383">
        <f t="shared" si="113"/>
        <v>17820.936000000002</v>
      </c>
      <c r="AN383">
        <f>AM383-(AK383*(T383*(1+What_if_Analysis!$B$3)))</f>
        <v>-2813.8319999999985</v>
      </c>
    </row>
    <row r="384" spans="1:40" x14ac:dyDescent="0.3">
      <c r="A384" t="s">
        <v>396</v>
      </c>
      <c r="B384" s="3">
        <v>45861</v>
      </c>
      <c r="C384" s="3" t="str">
        <f t="shared" si="97"/>
        <v>Jul-2025</v>
      </c>
      <c r="D384" s="3" t="str">
        <f t="shared" si="98"/>
        <v>Q3-2025</v>
      </c>
      <c r="E384" s="3">
        <v>45886</v>
      </c>
      <c r="F384" s="3" t="str">
        <f t="shared" si="99"/>
        <v>Valid</v>
      </c>
      <c r="G384" s="12">
        <f t="shared" si="100"/>
        <v>25</v>
      </c>
      <c r="H384" s="3">
        <f t="shared" si="101"/>
        <v>45886</v>
      </c>
      <c r="I384" t="s">
        <v>649</v>
      </c>
      <c r="J384" t="str">
        <f t="shared" si="102"/>
        <v>Europe → United Kingdom → Birmingham</v>
      </c>
      <c r="K384" s="3" t="str">
        <f t="shared" si="103"/>
        <v>United Kingdom-2025-07</v>
      </c>
      <c r="L384" t="s">
        <v>658</v>
      </c>
      <c r="M384" t="s">
        <v>674</v>
      </c>
      <c r="N384" t="s">
        <v>702</v>
      </c>
      <c r="O384" t="s">
        <v>708</v>
      </c>
      <c r="P384" t="s">
        <v>714</v>
      </c>
      <c r="Q384" t="s">
        <v>728</v>
      </c>
      <c r="R384" t="s">
        <v>1115</v>
      </c>
      <c r="S384" s="5">
        <v>1142.06</v>
      </c>
      <c r="T384" s="5">
        <v>1455</v>
      </c>
      <c r="U384" s="5" t="str">
        <f t="shared" si="104"/>
        <v>Valid</v>
      </c>
      <c r="V384" s="5">
        <f t="shared" si="95"/>
        <v>1455</v>
      </c>
      <c r="W384" s="5" t="str">
        <f t="shared" si="105"/>
        <v>Medium</v>
      </c>
      <c r="X384" s="5">
        <v>7.8E-2</v>
      </c>
      <c r="Y384" s="5" t="str">
        <f t="shared" si="106"/>
        <v>Valid</v>
      </c>
      <c r="Z384" s="5">
        <f t="shared" si="107"/>
        <v>7.8E-2</v>
      </c>
      <c r="AA384" s="5">
        <v>28</v>
      </c>
      <c r="AB384">
        <f t="shared" si="108"/>
        <v>37562.28</v>
      </c>
      <c r="AC384">
        <f t="shared" si="96"/>
        <v>31977.68</v>
      </c>
      <c r="AD384">
        <f t="shared" si="109"/>
        <v>5584.5999999999985</v>
      </c>
      <c r="AE384">
        <f t="shared" si="110"/>
        <v>0.1486757459877302</v>
      </c>
      <c r="AF384">
        <f t="shared" si="111"/>
        <v>0</v>
      </c>
      <c r="AG384">
        <f t="shared" si="112"/>
        <v>0</v>
      </c>
      <c r="AK384">
        <f>AA384*(1+What_if_Analysis!$B$4)</f>
        <v>33.6</v>
      </c>
      <c r="AL384" s="5">
        <f>MIN(Z384,What_if_Analysis!$B$2)</f>
        <v>0.05</v>
      </c>
      <c r="AM384">
        <f t="shared" si="113"/>
        <v>46443.6</v>
      </c>
      <c r="AN384">
        <f>AM384-(AK384*(T384*(1+What_if_Analysis!$B$3)))</f>
        <v>-7333.2000000000116</v>
      </c>
    </row>
    <row r="385" spans="1:40" x14ac:dyDescent="0.3">
      <c r="A385" t="s">
        <v>397</v>
      </c>
      <c r="B385" s="3">
        <v>45097</v>
      </c>
      <c r="C385" s="3" t="str">
        <f t="shared" si="97"/>
        <v>Jun-2023</v>
      </c>
      <c r="D385" s="3" t="str">
        <f t="shared" si="98"/>
        <v>Q2-2023</v>
      </c>
      <c r="E385" s="3">
        <v>45115</v>
      </c>
      <c r="F385" s="3" t="str">
        <f t="shared" si="99"/>
        <v>Valid</v>
      </c>
      <c r="G385" s="12">
        <f t="shared" si="100"/>
        <v>18</v>
      </c>
      <c r="H385" s="3">
        <f t="shared" si="101"/>
        <v>45115</v>
      </c>
      <c r="I385" t="s">
        <v>648</v>
      </c>
      <c r="J385" t="str">
        <f t="shared" si="102"/>
        <v>Americas → USA → New York</v>
      </c>
      <c r="K385" s="3" t="str">
        <f t="shared" si="103"/>
        <v>USA-2023-06</v>
      </c>
      <c r="L385" t="s">
        <v>660</v>
      </c>
      <c r="M385" t="s">
        <v>700</v>
      </c>
      <c r="N385" t="s">
        <v>704</v>
      </c>
      <c r="O385" t="s">
        <v>709</v>
      </c>
      <c r="P385" t="s">
        <v>719</v>
      </c>
      <c r="Q385" t="s">
        <v>729</v>
      </c>
      <c r="R385" t="s">
        <v>1116</v>
      </c>
      <c r="S385" s="5">
        <v>1145.53</v>
      </c>
      <c r="T385" s="5">
        <v>1278.3</v>
      </c>
      <c r="U385" s="5" t="str">
        <f t="shared" si="104"/>
        <v>Valid</v>
      </c>
      <c r="V385" s="5">
        <f t="shared" si="95"/>
        <v>1278.3</v>
      </c>
      <c r="W385" s="5" t="str">
        <f t="shared" si="105"/>
        <v>Medium</v>
      </c>
      <c r="X385" s="5">
        <v>0.09</v>
      </c>
      <c r="Y385" s="5" t="str">
        <f t="shared" si="106"/>
        <v>Valid</v>
      </c>
      <c r="Z385" s="5">
        <f t="shared" si="107"/>
        <v>0.09</v>
      </c>
      <c r="AA385" s="5">
        <v>41</v>
      </c>
      <c r="AB385">
        <f t="shared" si="108"/>
        <v>47693.373</v>
      </c>
      <c r="AC385">
        <f t="shared" si="96"/>
        <v>46966.729999999996</v>
      </c>
      <c r="AD385">
        <f t="shared" si="109"/>
        <v>726.64300000000367</v>
      </c>
      <c r="AE385">
        <f t="shared" si="110"/>
        <v>1.5235722581416158E-2</v>
      </c>
      <c r="AF385">
        <f t="shared" si="111"/>
        <v>0</v>
      </c>
      <c r="AG385">
        <f t="shared" si="112"/>
        <v>0</v>
      </c>
      <c r="AK385">
        <f>AA385*(1+What_if_Analysis!$B$4)</f>
        <v>49.199999999999996</v>
      </c>
      <c r="AL385" s="5">
        <f>MIN(Z385,What_if_Analysis!$B$2)</f>
        <v>0.05</v>
      </c>
      <c r="AM385">
        <f t="shared" si="113"/>
        <v>59747.741999999991</v>
      </c>
      <c r="AN385">
        <f>AM385-(AK385*(T385*(1+What_if_Analysis!$B$3)))</f>
        <v>-9433.8540000000139</v>
      </c>
    </row>
    <row r="386" spans="1:40" x14ac:dyDescent="0.3">
      <c r="A386" t="s">
        <v>398</v>
      </c>
      <c r="B386" s="3">
        <v>45491</v>
      </c>
      <c r="C386" s="3" t="str">
        <f t="shared" si="97"/>
        <v>Jul-2024</v>
      </c>
      <c r="D386" s="3" t="str">
        <f t="shared" si="98"/>
        <v>Q3-2024</v>
      </c>
      <c r="E386" s="3">
        <v>45511</v>
      </c>
      <c r="F386" s="3" t="str">
        <f t="shared" si="99"/>
        <v>Valid</v>
      </c>
      <c r="G386" s="12">
        <f t="shared" si="100"/>
        <v>20</v>
      </c>
      <c r="H386" s="3">
        <f t="shared" si="101"/>
        <v>45511</v>
      </c>
      <c r="I386" t="s">
        <v>649</v>
      </c>
      <c r="J386" t="str">
        <f t="shared" si="102"/>
        <v>Europe → France → Marseille</v>
      </c>
      <c r="K386" s="3" t="str">
        <f t="shared" si="103"/>
        <v>France-2024-07</v>
      </c>
      <c r="L386" t="s">
        <v>657</v>
      </c>
      <c r="M386" t="s">
        <v>673</v>
      </c>
      <c r="N386" t="s">
        <v>701</v>
      </c>
      <c r="O386" t="s">
        <v>707</v>
      </c>
      <c r="P386" t="s">
        <v>721</v>
      </c>
      <c r="Q386" t="s">
        <v>732</v>
      </c>
      <c r="R386" t="s">
        <v>1117</v>
      </c>
      <c r="S386" s="5">
        <v>941.35</v>
      </c>
      <c r="T386" s="5">
        <v>899.83</v>
      </c>
      <c r="U386" s="5" t="str">
        <f t="shared" si="104"/>
        <v>Valid</v>
      </c>
      <c r="V386" s="5">
        <f t="shared" ref="V386:V449" si="114">IF(T386&lt;0,AVERAGEIF($Q$2:$Q$633,Q386,$T$2:$T$633),T386)</f>
        <v>899.83</v>
      </c>
      <c r="W386" s="5" t="str">
        <f t="shared" si="105"/>
        <v>Medium</v>
      </c>
      <c r="X386" s="5">
        <v>5.8000000000000003E-2</v>
      </c>
      <c r="Y386" s="5" t="str">
        <f t="shared" si="106"/>
        <v>Valid</v>
      </c>
      <c r="Z386" s="5">
        <f t="shared" si="107"/>
        <v>5.8000000000000003E-2</v>
      </c>
      <c r="AA386" s="5">
        <v>18</v>
      </c>
      <c r="AB386">
        <f t="shared" si="108"/>
        <v>15257.51748</v>
      </c>
      <c r="AC386">
        <f t="shared" ref="AC386:AC449" si="115">S386*AA386</f>
        <v>16944.3</v>
      </c>
      <c r="AD386">
        <f t="shared" si="109"/>
        <v>-1686.7825199999988</v>
      </c>
      <c r="AE386">
        <f t="shared" si="110"/>
        <v>-0.11055419220139073</v>
      </c>
      <c r="AF386">
        <f t="shared" si="111"/>
        <v>0</v>
      </c>
      <c r="AG386">
        <f t="shared" si="112"/>
        <v>0</v>
      </c>
      <c r="AK386">
        <f>AA386*(1+What_if_Analysis!$B$4)</f>
        <v>21.599999999999998</v>
      </c>
      <c r="AL386" s="5">
        <f>MIN(Z386,What_if_Analysis!$B$2)</f>
        <v>0.05</v>
      </c>
      <c r="AM386">
        <f t="shared" si="113"/>
        <v>18464.511599999998</v>
      </c>
      <c r="AN386">
        <f>AM386-(AK386*(T386*(1+What_if_Analysis!$B$3)))</f>
        <v>-2915.4492000000027</v>
      </c>
    </row>
    <row r="387" spans="1:40" x14ac:dyDescent="0.3">
      <c r="A387" t="s">
        <v>399</v>
      </c>
      <c r="B387" s="3">
        <v>45066</v>
      </c>
      <c r="C387" s="3" t="str">
        <f t="shared" ref="C387:C450" si="116">TEXT(B387,"mmm-yyyy")</f>
        <v>May-2023</v>
      </c>
      <c r="D387" s="3" t="str">
        <f t="shared" ref="D387:D450" si="117">"Q" &amp; ROUNDUP(MONTH(B387)/3,0) &amp; "-" &amp; YEAR(B387)</f>
        <v>Q2-2023</v>
      </c>
      <c r="E387" s="3">
        <v>45096</v>
      </c>
      <c r="F387" s="3" t="str">
        <f t="shared" ref="F387:F450" si="118">IF(E387&lt;B387,"Invalid RequiredDate","Valid")</f>
        <v>Valid</v>
      </c>
      <c r="G387" s="12">
        <f t="shared" ref="G387:G450" si="119">MEDIAN($E$2:$E$633-$B$2:$B$633)</f>
        <v>30</v>
      </c>
      <c r="H387" s="3">
        <f t="shared" ref="H387:H450" si="120">IF(E387&lt;B387,B387+$G$2,E387)</f>
        <v>45096</v>
      </c>
      <c r="I387" t="s">
        <v>647</v>
      </c>
      <c r="J387" t="str">
        <f t="shared" ref="J387:J450" si="121">I387 &amp; " → " &amp; L387 &amp; " → " &amp; M387</f>
        <v>Asia → India → Delhi</v>
      </c>
      <c r="K387" s="3" t="str">
        <f t="shared" ref="K387:K450" si="122">L387 &amp; "-" &amp; TEXT(C387,"YYYY-MM")</f>
        <v>India-2023-05</v>
      </c>
      <c r="L387" t="s">
        <v>654</v>
      </c>
      <c r="M387" t="s">
        <v>680</v>
      </c>
      <c r="N387" t="s">
        <v>703</v>
      </c>
      <c r="O387" t="s">
        <v>709</v>
      </c>
      <c r="P387" t="s">
        <v>722</v>
      </c>
      <c r="Q387" t="s">
        <v>731</v>
      </c>
      <c r="R387" t="s">
        <v>1118</v>
      </c>
      <c r="S387" s="5">
        <v>1161.2</v>
      </c>
      <c r="T387" s="5">
        <v>878.73</v>
      </c>
      <c r="U387" s="5" t="str">
        <f t="shared" ref="U387:U450" si="123">IF(T387&lt;0,"Invalid Price","Valid")</f>
        <v>Valid</v>
      </c>
      <c r="V387" s="5">
        <f t="shared" si="114"/>
        <v>878.73</v>
      </c>
      <c r="W387" s="5" t="str">
        <f t="shared" ref="W387:W450" si="124">IF(V387&lt;=616.86,"Low",IF(V387&lt;1912.05,"Medium","High"))</f>
        <v>Medium</v>
      </c>
      <c r="X387" s="5">
        <v>0.19</v>
      </c>
      <c r="Y387" s="5" t="str">
        <f t="shared" ref="Y387:Y450" si="125">IF(X387&gt;30%,"High Discount","Valid")</f>
        <v>Valid</v>
      </c>
      <c r="Z387" s="5">
        <f t="shared" ref="Z387:Z450" si="126">IF(X387&gt;30%,30%,X387)</f>
        <v>0.19</v>
      </c>
      <c r="AA387" s="5">
        <v>31</v>
      </c>
      <c r="AB387">
        <f t="shared" ref="AB387:AB450" si="127">V387 * AA387 * (1 - Z387)</f>
        <v>22064.910300000003</v>
      </c>
      <c r="AC387">
        <f t="shared" si="115"/>
        <v>35997.200000000004</v>
      </c>
      <c r="AD387">
        <f t="shared" ref="AD387:AD450" si="128">AB387-AC387</f>
        <v>-13932.289700000001</v>
      </c>
      <c r="AE387">
        <f t="shared" ref="AE387:AE450" si="129">IF(AB387=0, 0, AD387 / AB387)</f>
        <v>-0.63142290227212028</v>
      </c>
      <c r="AF387">
        <f t="shared" ref="AF387:AF450" si="130">IF(G387&lt;=7,1,0)</f>
        <v>0</v>
      </c>
      <c r="AG387">
        <f t="shared" ref="AG387:AG450" si="131">IF(Z387&gt;20%,1,0)</f>
        <v>0</v>
      </c>
      <c r="AK387">
        <f>AA387*(1+What_if_Analysis!$B$4)</f>
        <v>37.199999999999996</v>
      </c>
      <c r="AL387" s="5">
        <f>MIN(Z387,What_if_Analysis!$B$2)</f>
        <v>0.05</v>
      </c>
      <c r="AM387">
        <f t="shared" ref="AM387:AM450" si="132">AK387*V387*(1-AL387)</f>
        <v>31054.318199999998</v>
      </c>
      <c r="AN387">
        <f>AM387-(AK387*(T387*(1+What_if_Analysis!$B$3)))</f>
        <v>-4903.3134000000027</v>
      </c>
    </row>
    <row r="388" spans="1:40" x14ac:dyDescent="0.3">
      <c r="A388" t="s">
        <v>400</v>
      </c>
      <c r="B388" s="3">
        <v>45789</v>
      </c>
      <c r="C388" s="3" t="str">
        <f t="shared" si="116"/>
        <v>May-2025</v>
      </c>
      <c r="D388" s="3" t="str">
        <f t="shared" si="117"/>
        <v>Q2-2025</v>
      </c>
      <c r="E388" s="3">
        <v>45803</v>
      </c>
      <c r="F388" s="3" t="str">
        <f t="shared" si="118"/>
        <v>Valid</v>
      </c>
      <c r="G388" s="12">
        <f t="shared" si="119"/>
        <v>14</v>
      </c>
      <c r="H388" s="3">
        <f t="shared" si="120"/>
        <v>45803</v>
      </c>
      <c r="I388" t="s">
        <v>647</v>
      </c>
      <c r="J388" t="str">
        <f t="shared" si="121"/>
        <v>Asia → India → Hyderabad</v>
      </c>
      <c r="K388" s="3" t="str">
        <f t="shared" si="122"/>
        <v>India-2025-05</v>
      </c>
      <c r="L388" t="s">
        <v>654</v>
      </c>
      <c r="M388" t="s">
        <v>696</v>
      </c>
      <c r="N388" t="s">
        <v>701</v>
      </c>
      <c r="O388" t="s">
        <v>709</v>
      </c>
      <c r="P388" t="s">
        <v>715</v>
      </c>
      <c r="Q388" t="s">
        <v>728</v>
      </c>
      <c r="R388" t="s">
        <v>1119</v>
      </c>
      <c r="S388" s="5">
        <v>320.12</v>
      </c>
      <c r="T388" s="5">
        <v>594.41999999999996</v>
      </c>
      <c r="U388" s="5" t="str">
        <f t="shared" si="123"/>
        <v>Valid</v>
      </c>
      <c r="V388" s="5">
        <f t="shared" si="114"/>
        <v>594.41999999999996</v>
      </c>
      <c r="W388" s="5" t="str">
        <f t="shared" si="124"/>
        <v>Low</v>
      </c>
      <c r="X388" s="5">
        <v>0.104</v>
      </c>
      <c r="Y388" s="5" t="str">
        <f t="shared" si="125"/>
        <v>Valid</v>
      </c>
      <c r="Z388" s="5">
        <f t="shared" si="126"/>
        <v>0.104</v>
      </c>
      <c r="AA388" s="5">
        <v>18</v>
      </c>
      <c r="AB388">
        <f t="shared" si="127"/>
        <v>9586.8057599999993</v>
      </c>
      <c r="AC388">
        <f t="shared" si="115"/>
        <v>5762.16</v>
      </c>
      <c r="AD388">
        <f t="shared" si="128"/>
        <v>3824.6457599999994</v>
      </c>
      <c r="AE388">
        <f t="shared" si="129"/>
        <v>0.39894891538931104</v>
      </c>
      <c r="AF388">
        <f t="shared" si="130"/>
        <v>0</v>
      </c>
      <c r="AG388">
        <f t="shared" si="131"/>
        <v>0</v>
      </c>
      <c r="AK388">
        <f>AA388*(1+What_if_Analysis!$B$4)</f>
        <v>21.599999999999998</v>
      </c>
      <c r="AL388" s="5">
        <f>MIN(Z388,What_if_Analysis!$B$2)</f>
        <v>0.05</v>
      </c>
      <c r="AM388">
        <f t="shared" si="132"/>
        <v>12197.498399999997</v>
      </c>
      <c r="AN388">
        <f>AM388-(AK388*(T388*(1+What_if_Analysis!$B$3)))</f>
        <v>-1925.9208000000017</v>
      </c>
    </row>
    <row r="389" spans="1:40" x14ac:dyDescent="0.3">
      <c r="A389" t="s">
        <v>401</v>
      </c>
      <c r="B389" s="3">
        <v>45419</v>
      </c>
      <c r="C389" s="3" t="str">
        <f t="shared" si="116"/>
        <v>May-2024</v>
      </c>
      <c r="D389" s="3" t="str">
        <f t="shared" si="117"/>
        <v>Q2-2024</v>
      </c>
      <c r="E389" s="3">
        <v>45424</v>
      </c>
      <c r="F389" s="3" t="str">
        <f t="shared" si="118"/>
        <v>Valid</v>
      </c>
      <c r="G389" s="12">
        <f t="shared" si="119"/>
        <v>5</v>
      </c>
      <c r="H389" s="3">
        <f t="shared" si="120"/>
        <v>45424</v>
      </c>
      <c r="I389" t="s">
        <v>646</v>
      </c>
      <c r="J389" t="str">
        <f t="shared" si="121"/>
        <v>Africa → Nigeria → Abuja</v>
      </c>
      <c r="K389" s="3" t="str">
        <f t="shared" si="122"/>
        <v>Nigeria-2024-05</v>
      </c>
      <c r="L389" t="s">
        <v>651</v>
      </c>
      <c r="M389" t="s">
        <v>669</v>
      </c>
      <c r="N389" t="s">
        <v>703</v>
      </c>
      <c r="O389" t="s">
        <v>710</v>
      </c>
      <c r="P389" t="s">
        <v>716</v>
      </c>
      <c r="Q389" t="s">
        <v>731</v>
      </c>
      <c r="R389" t="s">
        <v>1120</v>
      </c>
      <c r="S389" s="5">
        <v>1163.99</v>
      </c>
      <c r="T389" s="5">
        <v>1617.85</v>
      </c>
      <c r="U389" s="5" t="str">
        <f t="shared" si="123"/>
        <v>Valid</v>
      </c>
      <c r="V389" s="5">
        <f t="shared" si="114"/>
        <v>1617.85</v>
      </c>
      <c r="W389" s="5" t="str">
        <f t="shared" si="124"/>
        <v>Medium</v>
      </c>
      <c r="X389" s="5">
        <v>0.127</v>
      </c>
      <c r="Y389" s="5" t="str">
        <f t="shared" si="125"/>
        <v>Valid</v>
      </c>
      <c r="Z389" s="5">
        <f t="shared" si="126"/>
        <v>0.127</v>
      </c>
      <c r="AA389" s="5">
        <v>14</v>
      </c>
      <c r="AB389">
        <f t="shared" si="127"/>
        <v>19773.362699999998</v>
      </c>
      <c r="AC389">
        <f t="shared" si="115"/>
        <v>16295.86</v>
      </c>
      <c r="AD389">
        <f t="shared" si="128"/>
        <v>3477.5026999999973</v>
      </c>
      <c r="AE389">
        <f t="shared" si="129"/>
        <v>0.17586804797749436</v>
      </c>
      <c r="AF389">
        <f t="shared" si="130"/>
        <v>1</v>
      </c>
      <c r="AG389">
        <f t="shared" si="131"/>
        <v>0</v>
      </c>
      <c r="AK389">
        <f>AA389*(1+What_if_Analysis!$B$4)</f>
        <v>16.8</v>
      </c>
      <c r="AL389" s="5">
        <f>MIN(Z389,What_if_Analysis!$B$2)</f>
        <v>0.05</v>
      </c>
      <c r="AM389">
        <f t="shared" si="132"/>
        <v>25820.885999999999</v>
      </c>
      <c r="AN389">
        <f>AM389-(AK389*(T389*(1+What_if_Analysis!$B$3)))</f>
        <v>-4076.9820000000036</v>
      </c>
    </row>
    <row r="390" spans="1:40" x14ac:dyDescent="0.3">
      <c r="A390" t="s">
        <v>402</v>
      </c>
      <c r="B390" s="3">
        <v>45199</v>
      </c>
      <c r="C390" s="3" t="str">
        <f t="shared" si="116"/>
        <v>Sept-2023</v>
      </c>
      <c r="D390" s="3" t="str">
        <f t="shared" si="117"/>
        <v>Q3-2023</v>
      </c>
      <c r="E390" s="3">
        <v>45202</v>
      </c>
      <c r="F390" s="3" t="str">
        <f t="shared" si="118"/>
        <v>Valid</v>
      </c>
      <c r="G390" s="12">
        <f t="shared" si="119"/>
        <v>3</v>
      </c>
      <c r="H390" s="3">
        <f t="shared" si="120"/>
        <v>45202</v>
      </c>
      <c r="I390" t="s">
        <v>647</v>
      </c>
      <c r="J390" t="str">
        <f t="shared" si="121"/>
        <v>Asia → China → Beijing</v>
      </c>
      <c r="K390" s="3" t="str">
        <f t="shared" si="122"/>
        <v>China-2023-09</v>
      </c>
      <c r="L390" t="s">
        <v>659</v>
      </c>
      <c r="M390" t="s">
        <v>699</v>
      </c>
      <c r="N390" t="s">
        <v>703</v>
      </c>
      <c r="O390" t="s">
        <v>707</v>
      </c>
      <c r="P390" t="s">
        <v>713</v>
      </c>
      <c r="Q390" t="s">
        <v>731</v>
      </c>
      <c r="R390" t="s">
        <v>1121</v>
      </c>
      <c r="S390" s="5">
        <v>1019.36</v>
      </c>
      <c r="T390" s="5">
        <v>972.91</v>
      </c>
      <c r="U390" s="5" t="str">
        <f t="shared" si="123"/>
        <v>Valid</v>
      </c>
      <c r="V390" s="5">
        <f t="shared" si="114"/>
        <v>972.91</v>
      </c>
      <c r="W390" s="5" t="str">
        <f t="shared" si="124"/>
        <v>Medium</v>
      </c>
      <c r="X390" s="5">
        <v>0.14699999999999999</v>
      </c>
      <c r="Y390" s="5" t="str">
        <f t="shared" si="125"/>
        <v>Valid</v>
      </c>
      <c r="Z390" s="5">
        <f t="shared" si="126"/>
        <v>0.14699999999999999</v>
      </c>
      <c r="AA390" s="5">
        <v>17</v>
      </c>
      <c r="AB390">
        <f t="shared" si="127"/>
        <v>14108.16791</v>
      </c>
      <c r="AC390">
        <f t="shared" si="115"/>
        <v>17329.12</v>
      </c>
      <c r="AD390">
        <f t="shared" si="128"/>
        <v>-3220.9520899999989</v>
      </c>
      <c r="AE390">
        <f t="shared" si="129"/>
        <v>-0.22830406545678819</v>
      </c>
      <c r="AF390">
        <f t="shared" si="130"/>
        <v>1</v>
      </c>
      <c r="AG390">
        <f t="shared" si="131"/>
        <v>0</v>
      </c>
      <c r="AK390">
        <f>AA390*(1+What_if_Analysis!$B$4)</f>
        <v>20.399999999999999</v>
      </c>
      <c r="AL390" s="5">
        <f>MIN(Z390,What_if_Analysis!$B$2)</f>
        <v>0.05</v>
      </c>
      <c r="AM390">
        <f t="shared" si="132"/>
        <v>18854.995799999997</v>
      </c>
      <c r="AN390">
        <f>AM390-(AK390*(T390*(1+What_if_Analysis!$B$3)))</f>
        <v>-2977.1046000000024</v>
      </c>
    </row>
    <row r="391" spans="1:40" x14ac:dyDescent="0.3">
      <c r="A391" t="s">
        <v>403</v>
      </c>
      <c r="B391" s="3">
        <v>45225</v>
      </c>
      <c r="C391" s="3" t="str">
        <f t="shared" si="116"/>
        <v>Oct-2023</v>
      </c>
      <c r="D391" s="3" t="str">
        <f t="shared" si="117"/>
        <v>Q4-2023</v>
      </c>
      <c r="E391" s="3">
        <v>45235</v>
      </c>
      <c r="F391" s="3" t="str">
        <f t="shared" si="118"/>
        <v>Valid</v>
      </c>
      <c r="G391" s="12">
        <f t="shared" si="119"/>
        <v>10</v>
      </c>
      <c r="H391" s="3">
        <f t="shared" si="120"/>
        <v>45235</v>
      </c>
      <c r="I391" t="s">
        <v>646</v>
      </c>
      <c r="J391" t="str">
        <f t="shared" si="121"/>
        <v>Africa → South Africa → Cape Town</v>
      </c>
      <c r="K391" s="3" t="str">
        <f t="shared" si="122"/>
        <v>South Africa-2023-10</v>
      </c>
      <c r="L391" t="s">
        <v>661</v>
      </c>
      <c r="M391" t="s">
        <v>695</v>
      </c>
      <c r="N391" t="s">
        <v>703</v>
      </c>
      <c r="O391" t="s">
        <v>708</v>
      </c>
      <c r="P391" t="s">
        <v>714</v>
      </c>
      <c r="Q391" t="s">
        <v>731</v>
      </c>
      <c r="R391" t="s">
        <v>1122</v>
      </c>
      <c r="S391" s="5">
        <v>20.38</v>
      </c>
      <c r="T391" s="5">
        <v>42.56</v>
      </c>
      <c r="U391" s="5" t="str">
        <f t="shared" si="123"/>
        <v>Valid</v>
      </c>
      <c r="V391" s="5">
        <f t="shared" si="114"/>
        <v>42.56</v>
      </c>
      <c r="W391" s="5" t="str">
        <f t="shared" si="124"/>
        <v>Low</v>
      </c>
      <c r="X391" s="5">
        <v>7.1999999999999995E-2</v>
      </c>
      <c r="Y391" s="5" t="str">
        <f t="shared" si="125"/>
        <v>Valid</v>
      </c>
      <c r="Z391" s="5">
        <f t="shared" si="126"/>
        <v>7.1999999999999995E-2</v>
      </c>
      <c r="AA391" s="5">
        <v>11</v>
      </c>
      <c r="AB391">
        <f t="shared" si="127"/>
        <v>434.45248000000004</v>
      </c>
      <c r="AC391">
        <f t="shared" si="115"/>
        <v>224.17999999999998</v>
      </c>
      <c r="AD391">
        <f t="shared" si="128"/>
        <v>210.27248000000006</v>
      </c>
      <c r="AE391">
        <f t="shared" si="129"/>
        <v>0.48399419885921713</v>
      </c>
      <c r="AF391">
        <f t="shared" si="130"/>
        <v>0</v>
      </c>
      <c r="AG391">
        <f t="shared" si="131"/>
        <v>0</v>
      </c>
      <c r="AK391">
        <f>AA391*(1+What_if_Analysis!$B$4)</f>
        <v>13.2</v>
      </c>
      <c r="AL391" s="5">
        <f>MIN(Z391,What_if_Analysis!$B$2)</f>
        <v>0.05</v>
      </c>
      <c r="AM391">
        <f t="shared" si="132"/>
        <v>533.70240000000001</v>
      </c>
      <c r="AN391">
        <f>AM391-(AK391*(T391*(1+What_if_Analysis!$B$3)))</f>
        <v>-84.268800000000056</v>
      </c>
    </row>
    <row r="392" spans="1:40" x14ac:dyDescent="0.3">
      <c r="A392" t="s">
        <v>404</v>
      </c>
      <c r="B392" s="3">
        <v>45823</v>
      </c>
      <c r="C392" s="3" t="str">
        <f t="shared" si="116"/>
        <v>Jun-2025</v>
      </c>
      <c r="D392" s="3" t="str">
        <f t="shared" si="117"/>
        <v>Q2-2025</v>
      </c>
      <c r="E392" s="3">
        <v>45838</v>
      </c>
      <c r="F392" s="3" t="str">
        <f t="shared" si="118"/>
        <v>Valid</v>
      </c>
      <c r="G392" s="12">
        <f t="shared" si="119"/>
        <v>15</v>
      </c>
      <c r="H392" s="3">
        <f t="shared" si="120"/>
        <v>45838</v>
      </c>
      <c r="I392" t="s">
        <v>646</v>
      </c>
      <c r="J392" t="str">
        <f t="shared" si="121"/>
        <v>Africa → South Africa → Johannesburg</v>
      </c>
      <c r="K392" s="3" t="str">
        <f t="shared" si="122"/>
        <v>South Africa-2025-06</v>
      </c>
      <c r="L392" t="s">
        <v>661</v>
      </c>
      <c r="M392" t="s">
        <v>682</v>
      </c>
      <c r="N392" t="s">
        <v>705</v>
      </c>
      <c r="O392" t="s">
        <v>711</v>
      </c>
      <c r="P392" t="s">
        <v>712</v>
      </c>
      <c r="Q392" t="s">
        <v>732</v>
      </c>
      <c r="R392" t="s">
        <v>1123</v>
      </c>
      <c r="S392" s="5">
        <v>1487.59</v>
      </c>
      <c r="T392" s="5">
        <v>1480.83</v>
      </c>
      <c r="U392" s="5" t="str">
        <f t="shared" si="123"/>
        <v>Valid</v>
      </c>
      <c r="V392" s="5">
        <f t="shared" si="114"/>
        <v>1480.83</v>
      </c>
      <c r="W392" s="5" t="str">
        <f t="shared" si="124"/>
        <v>Medium</v>
      </c>
      <c r="X392" s="5">
        <v>8.9999999999999993E-3</v>
      </c>
      <c r="Y392" s="5" t="str">
        <f t="shared" si="125"/>
        <v>Valid</v>
      </c>
      <c r="Z392" s="5">
        <f t="shared" si="126"/>
        <v>8.9999999999999993E-3</v>
      </c>
      <c r="AA392" s="5">
        <v>11</v>
      </c>
      <c r="AB392">
        <f t="shared" si="127"/>
        <v>16142.527829999999</v>
      </c>
      <c r="AC392">
        <f t="shared" si="115"/>
        <v>16363.49</v>
      </c>
      <c r="AD392">
        <f t="shared" si="128"/>
        <v>-220.9621700000007</v>
      </c>
      <c r="AE392">
        <f t="shared" si="129"/>
        <v>-1.3688201273492908E-2</v>
      </c>
      <c r="AF392">
        <f t="shared" si="130"/>
        <v>0</v>
      </c>
      <c r="AG392">
        <f t="shared" si="131"/>
        <v>0</v>
      </c>
      <c r="AK392">
        <f>AA392*(1+What_if_Analysis!$B$4)</f>
        <v>13.2</v>
      </c>
      <c r="AL392" s="5">
        <f>MIN(Z392,What_if_Analysis!$B$2)</f>
        <v>8.9999999999999993E-3</v>
      </c>
      <c r="AM392">
        <f t="shared" si="132"/>
        <v>19371.033395999999</v>
      </c>
      <c r="AN392">
        <f>AM392-(AK392*(T392*(1+What_if_Analysis!$B$3)))</f>
        <v>-2130.6182039999985</v>
      </c>
    </row>
    <row r="393" spans="1:40" x14ac:dyDescent="0.3">
      <c r="A393" t="s">
        <v>405</v>
      </c>
      <c r="B393" s="3">
        <v>45514</v>
      </c>
      <c r="C393" s="3" t="str">
        <f t="shared" si="116"/>
        <v>Aug-2024</v>
      </c>
      <c r="D393" s="3" t="str">
        <f t="shared" si="117"/>
        <v>Q3-2024</v>
      </c>
      <c r="E393" s="3">
        <v>45542</v>
      </c>
      <c r="F393" s="3" t="str">
        <f t="shared" si="118"/>
        <v>Valid</v>
      </c>
      <c r="G393" s="12">
        <f t="shared" si="119"/>
        <v>28</v>
      </c>
      <c r="H393" s="3">
        <f t="shared" si="120"/>
        <v>45542</v>
      </c>
      <c r="I393" t="s">
        <v>649</v>
      </c>
      <c r="J393" t="str">
        <f t="shared" si="121"/>
        <v>Europe → France → Marseille</v>
      </c>
      <c r="K393" s="3" t="str">
        <f t="shared" si="122"/>
        <v>France-2024-08</v>
      </c>
      <c r="L393" t="s">
        <v>657</v>
      </c>
      <c r="M393" t="s">
        <v>673</v>
      </c>
      <c r="N393" t="s">
        <v>703</v>
      </c>
      <c r="O393" t="s">
        <v>711</v>
      </c>
      <c r="P393" t="s">
        <v>721</v>
      </c>
      <c r="Q393" t="s">
        <v>728</v>
      </c>
      <c r="R393" t="s">
        <v>1124</v>
      </c>
      <c r="S393" s="5">
        <v>229.96</v>
      </c>
      <c r="T393" s="5">
        <v>564.26</v>
      </c>
      <c r="U393" s="5" t="str">
        <f t="shared" si="123"/>
        <v>Valid</v>
      </c>
      <c r="V393" s="5">
        <f t="shared" si="114"/>
        <v>564.26</v>
      </c>
      <c r="W393" s="5" t="str">
        <f t="shared" si="124"/>
        <v>Low</v>
      </c>
      <c r="X393" s="5">
        <v>0.105</v>
      </c>
      <c r="Y393" s="5" t="str">
        <f t="shared" si="125"/>
        <v>Valid</v>
      </c>
      <c r="Z393" s="5">
        <f t="shared" si="126"/>
        <v>0.105</v>
      </c>
      <c r="AA393" s="5">
        <v>5</v>
      </c>
      <c r="AB393">
        <f t="shared" si="127"/>
        <v>2525.0635000000002</v>
      </c>
      <c r="AC393">
        <f t="shared" si="115"/>
        <v>1149.8</v>
      </c>
      <c r="AD393">
        <f t="shared" si="128"/>
        <v>1375.2635000000002</v>
      </c>
      <c r="AE393">
        <f t="shared" si="129"/>
        <v>0.54464511486542821</v>
      </c>
      <c r="AF393">
        <f t="shared" si="130"/>
        <v>0</v>
      </c>
      <c r="AG393">
        <f t="shared" si="131"/>
        <v>0</v>
      </c>
      <c r="AK393">
        <f>AA393*(1+What_if_Analysis!$B$4)</f>
        <v>6</v>
      </c>
      <c r="AL393" s="5">
        <f>MIN(Z393,What_if_Analysis!$B$2)</f>
        <v>0.05</v>
      </c>
      <c r="AM393">
        <f t="shared" si="132"/>
        <v>3216.2819999999997</v>
      </c>
      <c r="AN393">
        <f>AM393-(AK393*(T393*(1+What_if_Analysis!$B$3)))</f>
        <v>-507.83400000000029</v>
      </c>
    </row>
    <row r="394" spans="1:40" x14ac:dyDescent="0.3">
      <c r="A394" t="s">
        <v>406</v>
      </c>
      <c r="B394" s="3">
        <v>45208</v>
      </c>
      <c r="C394" s="3" t="str">
        <f t="shared" si="116"/>
        <v>Oct-2023</v>
      </c>
      <c r="D394" s="3" t="str">
        <f t="shared" si="117"/>
        <v>Q4-2023</v>
      </c>
      <c r="E394" s="3">
        <v>45225</v>
      </c>
      <c r="F394" s="3" t="str">
        <f t="shared" si="118"/>
        <v>Valid</v>
      </c>
      <c r="G394" s="12">
        <f t="shared" si="119"/>
        <v>17</v>
      </c>
      <c r="H394" s="3">
        <f t="shared" si="120"/>
        <v>45225</v>
      </c>
      <c r="I394" t="s">
        <v>647</v>
      </c>
      <c r="J394" t="str">
        <f t="shared" si="121"/>
        <v>Asia → China → Shanghai</v>
      </c>
      <c r="K394" s="3" t="str">
        <f t="shared" si="122"/>
        <v>China-2023-10</v>
      </c>
      <c r="L394" t="s">
        <v>659</v>
      </c>
      <c r="M394" t="s">
        <v>685</v>
      </c>
      <c r="N394" t="s">
        <v>704</v>
      </c>
      <c r="O394" t="s">
        <v>709</v>
      </c>
      <c r="P394" t="s">
        <v>712</v>
      </c>
      <c r="Q394" t="s">
        <v>727</v>
      </c>
      <c r="R394" t="s">
        <v>1125</v>
      </c>
      <c r="S394" s="5">
        <v>1132.03</v>
      </c>
      <c r="T394" s="5">
        <v>2137.21</v>
      </c>
      <c r="U394" s="5" t="str">
        <f t="shared" si="123"/>
        <v>Valid</v>
      </c>
      <c r="V394" s="5">
        <f t="shared" si="114"/>
        <v>2137.21</v>
      </c>
      <c r="W394" s="5" t="str">
        <f t="shared" si="124"/>
        <v>High</v>
      </c>
      <c r="X394" s="5">
        <v>0.35699999999999998</v>
      </c>
      <c r="Y394" s="5" t="str">
        <f t="shared" si="125"/>
        <v>High Discount</v>
      </c>
      <c r="Z394" s="5">
        <f t="shared" si="126"/>
        <v>0.3</v>
      </c>
      <c r="AA394" s="5">
        <v>35</v>
      </c>
      <c r="AB394">
        <f t="shared" si="127"/>
        <v>52361.645000000004</v>
      </c>
      <c r="AC394">
        <f t="shared" si="115"/>
        <v>39621.049999999996</v>
      </c>
      <c r="AD394">
        <f t="shared" si="128"/>
        <v>12740.595000000008</v>
      </c>
      <c r="AE394">
        <f t="shared" si="129"/>
        <v>0.24331922727026639</v>
      </c>
      <c r="AF394">
        <f t="shared" si="130"/>
        <v>0</v>
      </c>
      <c r="AG394">
        <f t="shared" si="131"/>
        <v>1</v>
      </c>
      <c r="AK394">
        <f>AA394*(1+What_if_Analysis!$B$4)</f>
        <v>42</v>
      </c>
      <c r="AL394" s="5">
        <f>MIN(Z394,What_if_Analysis!$B$2)</f>
        <v>0.05</v>
      </c>
      <c r="AM394">
        <f t="shared" si="132"/>
        <v>85274.679000000004</v>
      </c>
      <c r="AN394">
        <f>AM394-(AK394*(T394*(1+What_if_Analysis!$B$3)))</f>
        <v>-13464.422999999995</v>
      </c>
    </row>
    <row r="395" spans="1:40" x14ac:dyDescent="0.3">
      <c r="A395" t="s">
        <v>407</v>
      </c>
      <c r="B395" s="3">
        <v>45360</v>
      </c>
      <c r="C395" s="3" t="str">
        <f t="shared" si="116"/>
        <v>Mar-2024</v>
      </c>
      <c r="D395" s="3" t="str">
        <f t="shared" si="117"/>
        <v>Q1-2024</v>
      </c>
      <c r="E395" s="3">
        <v>45377</v>
      </c>
      <c r="F395" s="3" t="str">
        <f t="shared" si="118"/>
        <v>Valid</v>
      </c>
      <c r="G395" s="12">
        <f t="shared" si="119"/>
        <v>17</v>
      </c>
      <c r="H395" s="3">
        <f t="shared" si="120"/>
        <v>45377</v>
      </c>
      <c r="I395" t="s">
        <v>648</v>
      </c>
      <c r="J395" t="str">
        <f t="shared" si="121"/>
        <v>Americas → USA → San Francisco</v>
      </c>
      <c r="K395" s="3" t="str">
        <f t="shared" si="122"/>
        <v>USA-2024-03</v>
      </c>
      <c r="L395" t="s">
        <v>660</v>
      </c>
      <c r="M395" t="s">
        <v>686</v>
      </c>
      <c r="N395" t="s">
        <v>702</v>
      </c>
      <c r="O395" t="s">
        <v>711</v>
      </c>
      <c r="P395" t="s">
        <v>714</v>
      </c>
      <c r="Q395" t="s">
        <v>730</v>
      </c>
      <c r="R395" t="s">
        <v>1126</v>
      </c>
      <c r="S395" s="5">
        <v>1137.4100000000001</v>
      </c>
      <c r="T395" s="5">
        <v>1680.93</v>
      </c>
      <c r="U395" s="5" t="str">
        <f t="shared" si="123"/>
        <v>Valid</v>
      </c>
      <c r="V395" s="5">
        <f t="shared" si="114"/>
        <v>1680.93</v>
      </c>
      <c r="W395" s="5" t="str">
        <f t="shared" si="124"/>
        <v>Medium</v>
      </c>
      <c r="X395" s="5">
        <v>0.254</v>
      </c>
      <c r="Y395" s="5" t="str">
        <f t="shared" si="125"/>
        <v>Valid</v>
      </c>
      <c r="Z395" s="5">
        <f t="shared" si="126"/>
        <v>0.254</v>
      </c>
      <c r="AA395" s="5">
        <v>9</v>
      </c>
      <c r="AB395">
        <f t="shared" si="127"/>
        <v>11285.764020000001</v>
      </c>
      <c r="AC395">
        <f t="shared" si="115"/>
        <v>10236.69</v>
      </c>
      <c r="AD395">
        <f t="shared" si="128"/>
        <v>1049.07402</v>
      </c>
      <c r="AE395">
        <f t="shared" si="129"/>
        <v>9.2955516183121464E-2</v>
      </c>
      <c r="AF395">
        <f t="shared" si="130"/>
        <v>0</v>
      </c>
      <c r="AG395">
        <f t="shared" si="131"/>
        <v>1</v>
      </c>
      <c r="AK395">
        <f>AA395*(1+What_if_Analysis!$B$4)</f>
        <v>10.799999999999999</v>
      </c>
      <c r="AL395" s="5">
        <f>MIN(Z395,What_if_Analysis!$B$2)</f>
        <v>0.05</v>
      </c>
      <c r="AM395">
        <f t="shared" si="132"/>
        <v>17246.341799999998</v>
      </c>
      <c r="AN395">
        <f>AM395-(AK395*(T395*(1+What_if_Analysis!$B$3)))</f>
        <v>-2723.1066000000028</v>
      </c>
    </row>
    <row r="396" spans="1:40" x14ac:dyDescent="0.3">
      <c r="A396" t="s">
        <v>408</v>
      </c>
      <c r="B396" s="3">
        <v>45075</v>
      </c>
      <c r="C396" s="3" t="str">
        <f t="shared" si="116"/>
        <v>May-2023</v>
      </c>
      <c r="D396" s="3" t="str">
        <f t="shared" si="117"/>
        <v>Q2-2023</v>
      </c>
      <c r="E396" s="3">
        <v>45097</v>
      </c>
      <c r="F396" s="3" t="str">
        <f t="shared" si="118"/>
        <v>Valid</v>
      </c>
      <c r="G396" s="12">
        <f t="shared" si="119"/>
        <v>22</v>
      </c>
      <c r="H396" s="3">
        <f t="shared" si="120"/>
        <v>45097</v>
      </c>
      <c r="I396" t="s">
        <v>649</v>
      </c>
      <c r="J396" t="str">
        <f t="shared" si="121"/>
        <v>Europe → United Kingdom → London</v>
      </c>
      <c r="K396" s="3" t="str">
        <f t="shared" si="122"/>
        <v>United Kingdom-2023-05</v>
      </c>
      <c r="L396" t="s">
        <v>658</v>
      </c>
      <c r="M396" t="s">
        <v>683</v>
      </c>
      <c r="N396" t="s">
        <v>705</v>
      </c>
      <c r="O396" t="s">
        <v>711</v>
      </c>
      <c r="P396" t="s">
        <v>723</v>
      </c>
      <c r="Q396" t="s">
        <v>727</v>
      </c>
      <c r="R396" t="s">
        <v>1127</v>
      </c>
      <c r="S396" s="5">
        <v>1295.3900000000001</v>
      </c>
      <c r="T396" s="5">
        <v>2905.06</v>
      </c>
      <c r="U396" s="5" t="str">
        <f t="shared" si="123"/>
        <v>Valid</v>
      </c>
      <c r="V396" s="5">
        <f t="shared" si="114"/>
        <v>2905.06</v>
      </c>
      <c r="W396" s="5" t="str">
        <f t="shared" si="124"/>
        <v>High</v>
      </c>
      <c r="X396" s="5">
        <v>0.14799999999999999</v>
      </c>
      <c r="Y396" s="5" t="str">
        <f t="shared" si="125"/>
        <v>Valid</v>
      </c>
      <c r="Z396" s="5">
        <f t="shared" si="126"/>
        <v>0.14799999999999999</v>
      </c>
      <c r="AA396" s="5">
        <v>8</v>
      </c>
      <c r="AB396">
        <f t="shared" si="127"/>
        <v>19800.88896</v>
      </c>
      <c r="AC396">
        <f t="shared" si="115"/>
        <v>10363.120000000001</v>
      </c>
      <c r="AD396">
        <f t="shared" si="128"/>
        <v>9437.7689599999994</v>
      </c>
      <c r="AE396">
        <f t="shared" si="129"/>
        <v>0.47663359857556614</v>
      </c>
      <c r="AF396">
        <f t="shared" si="130"/>
        <v>0</v>
      </c>
      <c r="AG396">
        <f t="shared" si="131"/>
        <v>0</v>
      </c>
      <c r="AK396">
        <f>AA396*(1+What_if_Analysis!$B$4)</f>
        <v>9.6</v>
      </c>
      <c r="AL396" s="5">
        <f>MIN(Z396,What_if_Analysis!$B$2)</f>
        <v>0.05</v>
      </c>
      <c r="AM396">
        <f t="shared" si="132"/>
        <v>26494.147199999996</v>
      </c>
      <c r="AN396">
        <f>AM396-(AK396*(T396*(1+What_if_Analysis!$B$3)))</f>
        <v>-4183.2864000000045</v>
      </c>
    </row>
    <row r="397" spans="1:40" x14ac:dyDescent="0.3">
      <c r="A397" t="s">
        <v>409</v>
      </c>
      <c r="B397" s="3">
        <v>45804</v>
      </c>
      <c r="C397" s="3" t="str">
        <f t="shared" si="116"/>
        <v>May-2025</v>
      </c>
      <c r="D397" s="3" t="str">
        <f t="shared" si="117"/>
        <v>Q2-2025</v>
      </c>
      <c r="E397" s="3">
        <v>45816</v>
      </c>
      <c r="F397" s="3" t="str">
        <f t="shared" si="118"/>
        <v>Valid</v>
      </c>
      <c r="G397" s="12">
        <f t="shared" si="119"/>
        <v>12</v>
      </c>
      <c r="H397" s="3">
        <f t="shared" si="120"/>
        <v>45816</v>
      </c>
      <c r="I397" t="s">
        <v>647</v>
      </c>
      <c r="J397" t="str">
        <f t="shared" si="121"/>
        <v>Asia → Japan → Osaka</v>
      </c>
      <c r="K397" s="3" t="str">
        <f t="shared" si="122"/>
        <v>Japan-2025-05</v>
      </c>
      <c r="L397" t="s">
        <v>652</v>
      </c>
      <c r="M397" t="s">
        <v>666</v>
      </c>
      <c r="N397" t="s">
        <v>701</v>
      </c>
      <c r="O397" t="s">
        <v>707</v>
      </c>
      <c r="P397" t="s">
        <v>722</v>
      </c>
      <c r="Q397" t="s">
        <v>733</v>
      </c>
      <c r="R397" t="s">
        <v>1128</v>
      </c>
      <c r="S397" s="5">
        <v>653.6</v>
      </c>
      <c r="T397" s="5">
        <v>842.09</v>
      </c>
      <c r="U397" s="5" t="str">
        <f t="shared" si="123"/>
        <v>Valid</v>
      </c>
      <c r="V397" s="5">
        <f t="shared" si="114"/>
        <v>842.09</v>
      </c>
      <c r="W397" s="5" t="str">
        <f t="shared" si="124"/>
        <v>Medium</v>
      </c>
      <c r="X397" s="5">
        <v>9.8000000000000004E-2</v>
      </c>
      <c r="Y397" s="5" t="str">
        <f t="shared" si="125"/>
        <v>Valid</v>
      </c>
      <c r="Z397" s="5">
        <f t="shared" si="126"/>
        <v>9.8000000000000004E-2</v>
      </c>
      <c r="AA397" s="5">
        <v>19</v>
      </c>
      <c r="AB397">
        <f t="shared" si="127"/>
        <v>14431.738420000001</v>
      </c>
      <c r="AC397">
        <f t="shared" si="115"/>
        <v>12418.4</v>
      </c>
      <c r="AD397">
        <f t="shared" si="128"/>
        <v>2013.3384200000019</v>
      </c>
      <c r="AE397">
        <f t="shared" si="129"/>
        <v>0.13950768517324622</v>
      </c>
      <c r="AF397">
        <f t="shared" si="130"/>
        <v>0</v>
      </c>
      <c r="AG397">
        <f t="shared" si="131"/>
        <v>0</v>
      </c>
      <c r="AK397">
        <f>AA397*(1+What_if_Analysis!$B$4)</f>
        <v>22.8</v>
      </c>
      <c r="AL397" s="5">
        <f>MIN(Z397,What_if_Analysis!$B$2)</f>
        <v>0.05</v>
      </c>
      <c r="AM397">
        <f t="shared" si="132"/>
        <v>18239.669400000002</v>
      </c>
      <c r="AN397">
        <f>AM397-(AK397*(T397*(1+What_if_Analysis!$B$3)))</f>
        <v>-2879.9478000000017</v>
      </c>
    </row>
    <row r="398" spans="1:40" x14ac:dyDescent="0.3">
      <c r="A398" t="s">
        <v>410</v>
      </c>
      <c r="B398" s="3">
        <v>45890</v>
      </c>
      <c r="C398" s="3" t="str">
        <f t="shared" si="116"/>
        <v>Aug-2025</v>
      </c>
      <c r="D398" s="3" t="str">
        <f t="shared" si="117"/>
        <v>Q3-2025</v>
      </c>
      <c r="E398" s="3">
        <v>45914</v>
      </c>
      <c r="F398" s="3" t="str">
        <f t="shared" si="118"/>
        <v>Valid</v>
      </c>
      <c r="G398" s="12">
        <f t="shared" si="119"/>
        <v>24</v>
      </c>
      <c r="H398" s="3">
        <f t="shared" si="120"/>
        <v>45914</v>
      </c>
      <c r="I398" t="s">
        <v>649</v>
      </c>
      <c r="J398" t="str">
        <f t="shared" si="121"/>
        <v>Europe → Germany → Berlin</v>
      </c>
      <c r="K398" s="3" t="str">
        <f t="shared" si="122"/>
        <v>Germany-2025-08</v>
      </c>
      <c r="L398" t="s">
        <v>656</v>
      </c>
      <c r="M398" t="s">
        <v>671</v>
      </c>
      <c r="N398" t="s">
        <v>703</v>
      </c>
      <c r="O398" t="s">
        <v>708</v>
      </c>
      <c r="P398" t="s">
        <v>720</v>
      </c>
      <c r="Q398" t="s">
        <v>732</v>
      </c>
      <c r="R398" t="s">
        <v>1129</v>
      </c>
      <c r="S398" s="5">
        <v>1397.67</v>
      </c>
      <c r="T398" s="5">
        <v>3131.37</v>
      </c>
      <c r="U398" s="5" t="str">
        <f t="shared" si="123"/>
        <v>Valid</v>
      </c>
      <c r="V398" s="5">
        <f t="shared" si="114"/>
        <v>3131.37</v>
      </c>
      <c r="W398" s="5" t="str">
        <f t="shared" si="124"/>
        <v>High</v>
      </c>
      <c r="X398" s="5">
        <v>0.10299999999999999</v>
      </c>
      <c r="Y398" s="5" t="str">
        <f t="shared" si="125"/>
        <v>Valid</v>
      </c>
      <c r="Z398" s="5">
        <f t="shared" si="126"/>
        <v>0.10299999999999999</v>
      </c>
      <c r="AA398" s="5">
        <v>20</v>
      </c>
      <c r="AB398">
        <f t="shared" si="127"/>
        <v>56176.777799999996</v>
      </c>
      <c r="AC398">
        <f t="shared" si="115"/>
        <v>27953.4</v>
      </c>
      <c r="AD398">
        <f t="shared" si="128"/>
        <v>28223.377799999995</v>
      </c>
      <c r="AE398">
        <f t="shared" si="129"/>
        <v>0.50240293062874808</v>
      </c>
      <c r="AF398">
        <f t="shared" si="130"/>
        <v>0</v>
      </c>
      <c r="AG398">
        <f t="shared" si="131"/>
        <v>0</v>
      </c>
      <c r="AK398">
        <f>AA398*(1+What_if_Analysis!$B$4)</f>
        <v>24</v>
      </c>
      <c r="AL398" s="5">
        <f>MIN(Z398,What_if_Analysis!$B$2)</f>
        <v>0.05</v>
      </c>
      <c r="AM398">
        <f t="shared" si="132"/>
        <v>71395.236000000004</v>
      </c>
      <c r="AN398">
        <f>AM398-(AK398*(T398*(1+What_if_Analysis!$B$3)))</f>
        <v>-11272.932000000001</v>
      </c>
    </row>
    <row r="399" spans="1:40" x14ac:dyDescent="0.3">
      <c r="A399" t="s">
        <v>411</v>
      </c>
      <c r="B399" s="3">
        <v>45638</v>
      </c>
      <c r="C399" s="3" t="str">
        <f t="shared" si="116"/>
        <v>Dec-2024</v>
      </c>
      <c r="D399" s="3" t="str">
        <f t="shared" si="117"/>
        <v>Q4-2024</v>
      </c>
      <c r="E399" s="3">
        <v>45646</v>
      </c>
      <c r="F399" s="3" t="str">
        <f t="shared" si="118"/>
        <v>Valid</v>
      </c>
      <c r="G399" s="12">
        <f t="shared" si="119"/>
        <v>8</v>
      </c>
      <c r="H399" s="3">
        <f t="shared" si="120"/>
        <v>45646</v>
      </c>
      <c r="I399" t="s">
        <v>647</v>
      </c>
      <c r="J399" t="str">
        <f t="shared" si="121"/>
        <v>Asia → Japan → Tokyo</v>
      </c>
      <c r="K399" s="3" t="str">
        <f t="shared" si="122"/>
        <v>Japan-2024-12</v>
      </c>
      <c r="L399" t="s">
        <v>652</v>
      </c>
      <c r="M399" t="s">
        <v>689</v>
      </c>
      <c r="N399" t="s">
        <v>701</v>
      </c>
      <c r="O399" t="s">
        <v>707</v>
      </c>
      <c r="P399" t="s">
        <v>717</v>
      </c>
      <c r="Q399" t="s">
        <v>731</v>
      </c>
      <c r="R399" t="s">
        <v>1130</v>
      </c>
      <c r="S399" s="5">
        <v>1202.47</v>
      </c>
      <c r="T399" s="5">
        <v>1444.72</v>
      </c>
      <c r="U399" s="5" t="str">
        <f t="shared" si="123"/>
        <v>Valid</v>
      </c>
      <c r="V399" s="5">
        <f t="shared" si="114"/>
        <v>1444.72</v>
      </c>
      <c r="W399" s="5" t="str">
        <f t="shared" si="124"/>
        <v>Medium</v>
      </c>
      <c r="X399" s="5">
        <v>0.24099999999999999</v>
      </c>
      <c r="Y399" s="5" t="str">
        <f t="shared" si="125"/>
        <v>Valid</v>
      </c>
      <c r="Z399" s="5">
        <f t="shared" si="126"/>
        <v>0.24099999999999999</v>
      </c>
      <c r="AA399" s="5">
        <v>17</v>
      </c>
      <c r="AB399">
        <f t="shared" si="127"/>
        <v>18641.222160000001</v>
      </c>
      <c r="AC399">
        <f t="shared" si="115"/>
        <v>20441.990000000002</v>
      </c>
      <c r="AD399">
        <f t="shared" si="128"/>
        <v>-1800.7678400000004</v>
      </c>
      <c r="AE399">
        <f t="shared" si="129"/>
        <v>-9.6601382921343834E-2</v>
      </c>
      <c r="AF399">
        <f t="shared" si="130"/>
        <v>0</v>
      </c>
      <c r="AG399">
        <f t="shared" si="131"/>
        <v>1</v>
      </c>
      <c r="AK399">
        <f>AA399*(1+What_if_Analysis!$B$4)</f>
        <v>20.399999999999999</v>
      </c>
      <c r="AL399" s="5">
        <f>MIN(Z399,What_if_Analysis!$B$2)</f>
        <v>0.05</v>
      </c>
      <c r="AM399">
        <f t="shared" si="132"/>
        <v>27998.673599999995</v>
      </c>
      <c r="AN399">
        <f>AM399-(AK399*(T399*(1+What_if_Analysis!$B$3)))</f>
        <v>-4420.8432000000066</v>
      </c>
    </row>
    <row r="400" spans="1:40" x14ac:dyDescent="0.3">
      <c r="A400" t="s">
        <v>412</v>
      </c>
      <c r="B400" s="3">
        <v>45914</v>
      </c>
      <c r="C400" s="3" t="str">
        <f t="shared" si="116"/>
        <v>Sept-2025</v>
      </c>
      <c r="D400" s="3" t="str">
        <f t="shared" si="117"/>
        <v>Q3-2025</v>
      </c>
      <c r="E400" s="3">
        <v>45923</v>
      </c>
      <c r="F400" s="3" t="str">
        <f t="shared" si="118"/>
        <v>Valid</v>
      </c>
      <c r="G400" s="12">
        <f t="shared" si="119"/>
        <v>9</v>
      </c>
      <c r="H400" s="3">
        <f t="shared" si="120"/>
        <v>45923</v>
      </c>
      <c r="I400" t="s">
        <v>646</v>
      </c>
      <c r="J400" t="str">
        <f t="shared" si="121"/>
        <v>Africa → South Africa → Durban</v>
      </c>
      <c r="K400" s="3" t="str">
        <f t="shared" si="122"/>
        <v>South Africa-2025-09</v>
      </c>
      <c r="L400" t="s">
        <v>661</v>
      </c>
      <c r="M400" t="s">
        <v>687</v>
      </c>
      <c r="N400" t="s">
        <v>703</v>
      </c>
      <c r="O400" t="s">
        <v>708</v>
      </c>
      <c r="P400" t="s">
        <v>726</v>
      </c>
      <c r="Q400" t="s">
        <v>727</v>
      </c>
      <c r="R400" t="s">
        <v>1131</v>
      </c>
      <c r="S400" s="5">
        <v>1310.3</v>
      </c>
      <c r="T400" s="5">
        <v>2875.8</v>
      </c>
      <c r="U400" s="5" t="str">
        <f t="shared" si="123"/>
        <v>Valid</v>
      </c>
      <c r="V400" s="5">
        <f t="shared" si="114"/>
        <v>2875.8</v>
      </c>
      <c r="W400" s="5" t="str">
        <f t="shared" si="124"/>
        <v>High</v>
      </c>
      <c r="X400" s="5">
        <v>8.3000000000000004E-2</v>
      </c>
      <c r="Y400" s="5" t="str">
        <f t="shared" si="125"/>
        <v>Valid</v>
      </c>
      <c r="Z400" s="5">
        <f t="shared" si="126"/>
        <v>8.3000000000000004E-2</v>
      </c>
      <c r="AA400" s="5">
        <v>5</v>
      </c>
      <c r="AB400">
        <f t="shared" si="127"/>
        <v>13185.543</v>
      </c>
      <c r="AC400">
        <f t="shared" si="115"/>
        <v>6551.5</v>
      </c>
      <c r="AD400">
        <f t="shared" si="128"/>
        <v>6634.0429999999997</v>
      </c>
      <c r="AE400">
        <f t="shared" si="129"/>
        <v>0.50313005691157353</v>
      </c>
      <c r="AF400">
        <f t="shared" si="130"/>
        <v>0</v>
      </c>
      <c r="AG400">
        <f t="shared" si="131"/>
        <v>0</v>
      </c>
      <c r="AK400">
        <f>AA400*(1+What_if_Analysis!$B$4)</f>
        <v>6</v>
      </c>
      <c r="AL400" s="5">
        <f>MIN(Z400,What_if_Analysis!$B$2)</f>
        <v>0.05</v>
      </c>
      <c r="AM400">
        <f t="shared" si="132"/>
        <v>16392.060000000001</v>
      </c>
      <c r="AN400">
        <f>AM400-(AK400*(T400*(1+What_if_Analysis!$B$3)))</f>
        <v>-2588.2200000000012</v>
      </c>
    </row>
    <row r="401" spans="1:40" x14ac:dyDescent="0.3">
      <c r="A401" t="s">
        <v>413</v>
      </c>
      <c r="B401" s="3">
        <v>45541</v>
      </c>
      <c r="C401" s="3" t="str">
        <f t="shared" si="116"/>
        <v>Sept-2024</v>
      </c>
      <c r="D401" s="3" t="str">
        <f t="shared" si="117"/>
        <v>Q3-2024</v>
      </c>
      <c r="E401" s="3">
        <v>45569</v>
      </c>
      <c r="F401" s="3" t="str">
        <f t="shared" si="118"/>
        <v>Valid</v>
      </c>
      <c r="G401" s="12">
        <f t="shared" si="119"/>
        <v>28</v>
      </c>
      <c r="H401" s="3">
        <f t="shared" si="120"/>
        <v>45569</v>
      </c>
      <c r="I401" t="s">
        <v>646</v>
      </c>
      <c r="J401" t="str">
        <f t="shared" si="121"/>
        <v>Africa → South Africa → Cape Town</v>
      </c>
      <c r="K401" s="3" t="str">
        <f t="shared" si="122"/>
        <v>South Africa-2024-09</v>
      </c>
      <c r="L401" t="s">
        <v>661</v>
      </c>
      <c r="M401" t="s">
        <v>695</v>
      </c>
      <c r="N401" t="s">
        <v>701</v>
      </c>
      <c r="O401" t="s">
        <v>709</v>
      </c>
      <c r="P401" t="s">
        <v>726</v>
      </c>
      <c r="Q401" t="s">
        <v>732</v>
      </c>
      <c r="R401" t="s">
        <v>1132</v>
      </c>
      <c r="S401" s="5">
        <v>1174.17</v>
      </c>
      <c r="T401" s="5">
        <v>1641.61</v>
      </c>
      <c r="U401" s="5" t="str">
        <f t="shared" si="123"/>
        <v>Valid</v>
      </c>
      <c r="V401" s="5">
        <f t="shared" si="114"/>
        <v>1641.61</v>
      </c>
      <c r="W401" s="5" t="str">
        <f t="shared" si="124"/>
        <v>Medium</v>
      </c>
      <c r="X401" s="5">
        <v>0.122</v>
      </c>
      <c r="Y401" s="5" t="str">
        <f t="shared" si="125"/>
        <v>Valid</v>
      </c>
      <c r="Z401" s="5">
        <f t="shared" si="126"/>
        <v>0.122</v>
      </c>
      <c r="AA401" s="5">
        <v>9</v>
      </c>
      <c r="AB401">
        <f t="shared" si="127"/>
        <v>12972.00222</v>
      </c>
      <c r="AC401">
        <f t="shared" si="115"/>
        <v>10567.53</v>
      </c>
      <c r="AD401">
        <f t="shared" si="128"/>
        <v>2404.4722199999997</v>
      </c>
      <c r="AE401">
        <f t="shared" si="129"/>
        <v>0.18535860380079394</v>
      </c>
      <c r="AF401">
        <f t="shared" si="130"/>
        <v>0</v>
      </c>
      <c r="AG401">
        <f t="shared" si="131"/>
        <v>0</v>
      </c>
      <c r="AK401">
        <f>AA401*(1+What_if_Analysis!$B$4)</f>
        <v>10.799999999999999</v>
      </c>
      <c r="AL401" s="5">
        <f>MIN(Z401,What_if_Analysis!$B$2)</f>
        <v>0.05</v>
      </c>
      <c r="AM401">
        <f t="shared" si="132"/>
        <v>16842.918599999994</v>
      </c>
      <c r="AN401">
        <f>AM401-(AK401*(T401*(1+What_if_Analysis!$B$3)))</f>
        <v>-2659.4082000000053</v>
      </c>
    </row>
    <row r="402" spans="1:40" x14ac:dyDescent="0.3">
      <c r="A402" t="s">
        <v>414</v>
      </c>
      <c r="B402" s="3">
        <v>45759</v>
      </c>
      <c r="C402" s="3" t="str">
        <f t="shared" si="116"/>
        <v>Apr-2025</v>
      </c>
      <c r="D402" s="3" t="str">
        <f t="shared" si="117"/>
        <v>Q2-2025</v>
      </c>
      <c r="E402" s="3">
        <v>45777</v>
      </c>
      <c r="F402" s="3" t="str">
        <f t="shared" si="118"/>
        <v>Valid</v>
      </c>
      <c r="G402" s="12">
        <f t="shared" si="119"/>
        <v>18</v>
      </c>
      <c r="H402" s="3">
        <f t="shared" si="120"/>
        <v>45777</v>
      </c>
      <c r="I402" t="s">
        <v>646</v>
      </c>
      <c r="J402" t="str">
        <f t="shared" si="121"/>
        <v>Africa → Kenya → Kisumu</v>
      </c>
      <c r="K402" s="3" t="str">
        <f t="shared" si="122"/>
        <v>Kenya-2025-04</v>
      </c>
      <c r="L402" t="s">
        <v>650</v>
      </c>
      <c r="M402" t="s">
        <v>662</v>
      </c>
      <c r="N402" t="s">
        <v>701</v>
      </c>
      <c r="O402" t="s">
        <v>709</v>
      </c>
      <c r="P402" t="s">
        <v>721</v>
      </c>
      <c r="Q402" t="s">
        <v>729</v>
      </c>
      <c r="R402" t="s">
        <v>1133</v>
      </c>
      <c r="S402" s="5">
        <v>1119.04</v>
      </c>
      <c r="T402" s="5">
        <v>1299.02</v>
      </c>
      <c r="U402" s="5" t="str">
        <f t="shared" si="123"/>
        <v>Valid</v>
      </c>
      <c r="V402" s="5">
        <f t="shared" si="114"/>
        <v>1299.02</v>
      </c>
      <c r="W402" s="5" t="str">
        <f t="shared" si="124"/>
        <v>Medium</v>
      </c>
      <c r="X402" s="5">
        <v>2.5000000000000001E-2</v>
      </c>
      <c r="Y402" s="5" t="str">
        <f t="shared" si="125"/>
        <v>Valid</v>
      </c>
      <c r="Z402" s="5">
        <f t="shared" si="126"/>
        <v>2.5000000000000001E-2</v>
      </c>
      <c r="AA402" s="5">
        <v>14</v>
      </c>
      <c r="AB402">
        <f t="shared" si="127"/>
        <v>17731.623</v>
      </c>
      <c r="AC402">
        <f t="shared" si="115"/>
        <v>15666.56</v>
      </c>
      <c r="AD402">
        <f t="shared" si="128"/>
        <v>2065.0630000000001</v>
      </c>
      <c r="AE402">
        <f t="shared" si="129"/>
        <v>0.11646215352085933</v>
      </c>
      <c r="AF402">
        <f t="shared" si="130"/>
        <v>0</v>
      </c>
      <c r="AG402">
        <f t="shared" si="131"/>
        <v>0</v>
      </c>
      <c r="AK402">
        <f>AA402*(1+What_if_Analysis!$B$4)</f>
        <v>16.8</v>
      </c>
      <c r="AL402" s="5">
        <f>MIN(Z402,What_if_Analysis!$B$2)</f>
        <v>2.5000000000000001E-2</v>
      </c>
      <c r="AM402">
        <f t="shared" si="132"/>
        <v>21277.9476</v>
      </c>
      <c r="AN402">
        <f>AM402-(AK402*(T402*(1+What_if_Analysis!$B$3)))</f>
        <v>-2727.9420000000027</v>
      </c>
    </row>
    <row r="403" spans="1:40" x14ac:dyDescent="0.3">
      <c r="A403" t="s">
        <v>415</v>
      </c>
      <c r="B403" s="3">
        <v>45516</v>
      </c>
      <c r="C403" s="3" t="str">
        <f t="shared" si="116"/>
        <v>Aug-2024</v>
      </c>
      <c r="D403" s="3" t="str">
        <f t="shared" si="117"/>
        <v>Q3-2024</v>
      </c>
      <c r="E403" s="3">
        <v>45519</v>
      </c>
      <c r="F403" s="3" t="str">
        <f t="shared" si="118"/>
        <v>Valid</v>
      </c>
      <c r="G403" s="12">
        <f t="shared" si="119"/>
        <v>3</v>
      </c>
      <c r="H403" s="3">
        <f t="shared" si="120"/>
        <v>45519</v>
      </c>
      <c r="I403" t="s">
        <v>648</v>
      </c>
      <c r="J403" t="str">
        <f t="shared" si="121"/>
        <v>Americas → USA → Chicago</v>
      </c>
      <c r="K403" s="3" t="str">
        <f t="shared" si="122"/>
        <v>USA-2024-08</v>
      </c>
      <c r="L403" t="s">
        <v>660</v>
      </c>
      <c r="M403" t="s">
        <v>677</v>
      </c>
      <c r="N403" t="s">
        <v>701</v>
      </c>
      <c r="O403" t="s">
        <v>709</v>
      </c>
      <c r="P403" t="s">
        <v>726</v>
      </c>
      <c r="Q403" t="s">
        <v>728</v>
      </c>
      <c r="R403" t="s">
        <v>1134</v>
      </c>
      <c r="S403" s="5">
        <v>850.7</v>
      </c>
      <c r="T403" s="5">
        <v>1118.56</v>
      </c>
      <c r="U403" s="5" t="str">
        <f t="shared" si="123"/>
        <v>Valid</v>
      </c>
      <c r="V403" s="5">
        <f t="shared" si="114"/>
        <v>1118.56</v>
      </c>
      <c r="W403" s="5" t="str">
        <f t="shared" si="124"/>
        <v>Medium</v>
      </c>
      <c r="X403" s="5">
        <v>0.18</v>
      </c>
      <c r="Y403" s="5" t="str">
        <f t="shared" si="125"/>
        <v>Valid</v>
      </c>
      <c r="Z403" s="5">
        <f t="shared" si="126"/>
        <v>0.18</v>
      </c>
      <c r="AA403" s="5">
        <v>19</v>
      </c>
      <c r="AB403">
        <f t="shared" si="127"/>
        <v>17427.164800000002</v>
      </c>
      <c r="AC403">
        <f t="shared" si="115"/>
        <v>16163.300000000001</v>
      </c>
      <c r="AD403">
        <f t="shared" si="128"/>
        <v>1263.8648000000012</v>
      </c>
      <c r="AE403">
        <f t="shared" si="129"/>
        <v>7.2522685962090688E-2</v>
      </c>
      <c r="AF403">
        <f t="shared" si="130"/>
        <v>1</v>
      </c>
      <c r="AG403">
        <f t="shared" si="131"/>
        <v>0</v>
      </c>
      <c r="AK403">
        <f>AA403*(1+What_if_Analysis!$B$4)</f>
        <v>22.8</v>
      </c>
      <c r="AL403" s="5">
        <f>MIN(Z403,What_if_Analysis!$B$2)</f>
        <v>0.05</v>
      </c>
      <c r="AM403">
        <f t="shared" si="132"/>
        <v>24228.009599999998</v>
      </c>
      <c r="AN403">
        <f>AM403-(AK403*(T403*(1+What_if_Analysis!$B$3)))</f>
        <v>-3825.4752000000008</v>
      </c>
    </row>
    <row r="404" spans="1:40" x14ac:dyDescent="0.3">
      <c r="A404" t="s">
        <v>416</v>
      </c>
      <c r="B404" s="3">
        <v>45601</v>
      </c>
      <c r="C404" s="3" t="str">
        <f t="shared" si="116"/>
        <v>Nov-2024</v>
      </c>
      <c r="D404" s="3" t="str">
        <f t="shared" si="117"/>
        <v>Q4-2024</v>
      </c>
      <c r="E404" s="3">
        <v>45604</v>
      </c>
      <c r="F404" s="3" t="str">
        <f t="shared" si="118"/>
        <v>Valid</v>
      </c>
      <c r="G404" s="12">
        <f t="shared" si="119"/>
        <v>3</v>
      </c>
      <c r="H404" s="3">
        <f t="shared" si="120"/>
        <v>45604</v>
      </c>
      <c r="I404" t="s">
        <v>648</v>
      </c>
      <c r="J404" t="str">
        <f t="shared" si="121"/>
        <v>Americas → Canada → Toronto</v>
      </c>
      <c r="K404" s="3" t="str">
        <f t="shared" si="122"/>
        <v>Canada-2024-11</v>
      </c>
      <c r="L404" t="s">
        <v>653</v>
      </c>
      <c r="M404" t="s">
        <v>667</v>
      </c>
      <c r="N404" t="s">
        <v>702</v>
      </c>
      <c r="O404" t="s">
        <v>709</v>
      </c>
      <c r="P404" t="s">
        <v>719</v>
      </c>
      <c r="Q404" t="s">
        <v>727</v>
      </c>
      <c r="R404" t="s">
        <v>1135</v>
      </c>
      <c r="S404" s="5">
        <v>1020.4</v>
      </c>
      <c r="T404" s="5">
        <v>1184.71</v>
      </c>
      <c r="U404" s="5" t="str">
        <f t="shared" si="123"/>
        <v>Valid</v>
      </c>
      <c r="V404" s="5">
        <f t="shared" si="114"/>
        <v>1184.71</v>
      </c>
      <c r="W404" s="5" t="str">
        <f t="shared" si="124"/>
        <v>Medium</v>
      </c>
      <c r="X404" s="5">
        <v>0.106</v>
      </c>
      <c r="Y404" s="5" t="str">
        <f t="shared" si="125"/>
        <v>Valid</v>
      </c>
      <c r="Z404" s="5">
        <f t="shared" si="126"/>
        <v>0.106</v>
      </c>
      <c r="AA404" s="5">
        <v>16</v>
      </c>
      <c r="AB404">
        <f t="shared" si="127"/>
        <v>16946.091840000001</v>
      </c>
      <c r="AC404">
        <f t="shared" si="115"/>
        <v>16326.4</v>
      </c>
      <c r="AD404">
        <f t="shared" si="128"/>
        <v>619.69184000000132</v>
      </c>
      <c r="AE404">
        <f t="shared" si="129"/>
        <v>3.6568422138328345E-2</v>
      </c>
      <c r="AF404">
        <f t="shared" si="130"/>
        <v>1</v>
      </c>
      <c r="AG404">
        <f t="shared" si="131"/>
        <v>0</v>
      </c>
      <c r="AK404">
        <f>AA404*(1+What_if_Analysis!$B$4)</f>
        <v>19.2</v>
      </c>
      <c r="AL404" s="5">
        <f>MIN(Z404,What_if_Analysis!$B$2)</f>
        <v>0.05</v>
      </c>
      <c r="AM404">
        <f t="shared" si="132"/>
        <v>21609.110400000001</v>
      </c>
      <c r="AN404">
        <f>AM404-(AK404*(T404*(1+What_if_Analysis!$B$3)))</f>
        <v>-3411.9647999999979</v>
      </c>
    </row>
    <row r="405" spans="1:40" x14ac:dyDescent="0.3">
      <c r="A405" t="s">
        <v>417</v>
      </c>
      <c r="B405" s="3">
        <v>45497</v>
      </c>
      <c r="C405" s="3" t="str">
        <f t="shared" si="116"/>
        <v>Jul-2024</v>
      </c>
      <c r="D405" s="3" t="str">
        <f t="shared" si="117"/>
        <v>Q3-2024</v>
      </c>
      <c r="E405" s="3">
        <v>45512</v>
      </c>
      <c r="F405" s="3" t="str">
        <f t="shared" si="118"/>
        <v>Valid</v>
      </c>
      <c r="G405" s="12">
        <f t="shared" si="119"/>
        <v>15</v>
      </c>
      <c r="H405" s="3">
        <f t="shared" si="120"/>
        <v>45512</v>
      </c>
      <c r="I405" t="s">
        <v>649</v>
      </c>
      <c r="J405" t="str">
        <f t="shared" si="121"/>
        <v>Europe → France → Marseille</v>
      </c>
      <c r="K405" s="3" t="str">
        <f t="shared" si="122"/>
        <v>France-2024-07</v>
      </c>
      <c r="L405" t="s">
        <v>657</v>
      </c>
      <c r="M405" t="s">
        <v>673</v>
      </c>
      <c r="N405" t="s">
        <v>706</v>
      </c>
      <c r="O405" t="s">
        <v>709</v>
      </c>
      <c r="P405" t="s">
        <v>722</v>
      </c>
      <c r="Q405" t="s">
        <v>731</v>
      </c>
      <c r="R405" t="s">
        <v>1136</v>
      </c>
      <c r="S405" s="5">
        <v>501.5</v>
      </c>
      <c r="T405" s="5">
        <v>1201.47</v>
      </c>
      <c r="U405" s="5" t="str">
        <f t="shared" si="123"/>
        <v>Valid</v>
      </c>
      <c r="V405" s="5">
        <f t="shared" si="114"/>
        <v>1201.47</v>
      </c>
      <c r="W405" s="5" t="str">
        <f t="shared" si="124"/>
        <v>Medium</v>
      </c>
      <c r="X405" s="5">
        <v>0.126</v>
      </c>
      <c r="Y405" s="5" t="str">
        <f t="shared" si="125"/>
        <v>Valid</v>
      </c>
      <c r="Z405" s="5">
        <f t="shared" si="126"/>
        <v>0.126</v>
      </c>
      <c r="AA405" s="5">
        <v>5</v>
      </c>
      <c r="AB405">
        <f t="shared" si="127"/>
        <v>5250.4239000000007</v>
      </c>
      <c r="AC405">
        <f t="shared" si="115"/>
        <v>2507.5</v>
      </c>
      <c r="AD405">
        <f t="shared" si="128"/>
        <v>2742.9239000000007</v>
      </c>
      <c r="AE405">
        <f t="shared" si="129"/>
        <v>0.52241951359394057</v>
      </c>
      <c r="AF405">
        <f t="shared" si="130"/>
        <v>0</v>
      </c>
      <c r="AG405">
        <f t="shared" si="131"/>
        <v>0</v>
      </c>
      <c r="AK405">
        <f>AA405*(1+What_if_Analysis!$B$4)</f>
        <v>6</v>
      </c>
      <c r="AL405" s="5">
        <f>MIN(Z405,What_if_Analysis!$B$2)</f>
        <v>0.05</v>
      </c>
      <c r="AM405">
        <f t="shared" si="132"/>
        <v>6848.378999999999</v>
      </c>
      <c r="AN405">
        <f>AM405-(AK405*(T405*(1+What_if_Analysis!$B$3)))</f>
        <v>-1081.3230000000021</v>
      </c>
    </row>
    <row r="406" spans="1:40" x14ac:dyDescent="0.3">
      <c r="A406" t="s">
        <v>418</v>
      </c>
      <c r="B406" s="3">
        <v>45677</v>
      </c>
      <c r="C406" s="3" t="str">
        <f t="shared" si="116"/>
        <v>Jan-2025</v>
      </c>
      <c r="D406" s="3" t="str">
        <f t="shared" si="117"/>
        <v>Q1-2025</v>
      </c>
      <c r="E406" s="3">
        <v>45691</v>
      </c>
      <c r="F406" s="3" t="str">
        <f t="shared" si="118"/>
        <v>Valid</v>
      </c>
      <c r="G406" s="12">
        <f t="shared" si="119"/>
        <v>14</v>
      </c>
      <c r="H406" s="3">
        <f t="shared" si="120"/>
        <v>45691</v>
      </c>
      <c r="I406" t="s">
        <v>648</v>
      </c>
      <c r="J406" t="str">
        <f t="shared" si="121"/>
        <v>Americas → Brazil → Brasília</v>
      </c>
      <c r="K406" s="3" t="str">
        <f t="shared" si="122"/>
        <v>Brazil-2025-01</v>
      </c>
      <c r="L406" t="s">
        <v>655</v>
      </c>
      <c r="M406" t="s">
        <v>672</v>
      </c>
      <c r="N406" t="s">
        <v>706</v>
      </c>
      <c r="O406" t="s">
        <v>709</v>
      </c>
      <c r="P406" t="s">
        <v>721</v>
      </c>
      <c r="Q406" t="s">
        <v>727</v>
      </c>
      <c r="R406" t="s">
        <v>1137</v>
      </c>
      <c r="S406" s="5">
        <v>974.11</v>
      </c>
      <c r="T406" s="5">
        <v>880.99</v>
      </c>
      <c r="U406" s="5" t="str">
        <f t="shared" si="123"/>
        <v>Valid</v>
      </c>
      <c r="V406" s="5">
        <f t="shared" si="114"/>
        <v>880.99</v>
      </c>
      <c r="W406" s="5" t="str">
        <f t="shared" si="124"/>
        <v>Medium</v>
      </c>
      <c r="X406" s="5">
        <v>0.111</v>
      </c>
      <c r="Y406" s="5" t="str">
        <f t="shared" si="125"/>
        <v>Valid</v>
      </c>
      <c r="Z406" s="5">
        <f t="shared" si="126"/>
        <v>0.111</v>
      </c>
      <c r="AA406" s="5">
        <v>10</v>
      </c>
      <c r="AB406">
        <f t="shared" si="127"/>
        <v>7832.0010999999995</v>
      </c>
      <c r="AC406">
        <f t="shared" si="115"/>
        <v>9741.1</v>
      </c>
      <c r="AD406">
        <f t="shared" si="128"/>
        <v>-1909.0989000000009</v>
      </c>
      <c r="AE406">
        <f t="shared" si="129"/>
        <v>-0.2437562093805121</v>
      </c>
      <c r="AF406">
        <f t="shared" si="130"/>
        <v>0</v>
      </c>
      <c r="AG406">
        <f t="shared" si="131"/>
        <v>0</v>
      </c>
      <c r="AK406">
        <f>AA406*(1+What_if_Analysis!$B$4)</f>
        <v>12</v>
      </c>
      <c r="AL406" s="5">
        <f>MIN(Z406,What_if_Analysis!$B$2)</f>
        <v>0.05</v>
      </c>
      <c r="AM406">
        <f t="shared" si="132"/>
        <v>10043.286</v>
      </c>
      <c r="AN406">
        <f>AM406-(AK406*(T406*(1+What_if_Analysis!$B$3)))</f>
        <v>-1585.7820000000011</v>
      </c>
    </row>
    <row r="407" spans="1:40" x14ac:dyDescent="0.3">
      <c r="A407" t="s">
        <v>419</v>
      </c>
      <c r="B407" s="3">
        <v>44991</v>
      </c>
      <c r="C407" s="3" t="str">
        <f t="shared" si="116"/>
        <v>Mar-2023</v>
      </c>
      <c r="D407" s="3" t="str">
        <f t="shared" si="117"/>
        <v>Q1-2023</v>
      </c>
      <c r="E407" s="3">
        <v>45020</v>
      </c>
      <c r="F407" s="3" t="str">
        <f t="shared" si="118"/>
        <v>Valid</v>
      </c>
      <c r="G407" s="12">
        <f t="shared" si="119"/>
        <v>29</v>
      </c>
      <c r="H407" s="3">
        <f t="shared" si="120"/>
        <v>45020</v>
      </c>
      <c r="I407" t="s">
        <v>647</v>
      </c>
      <c r="J407" t="str">
        <f t="shared" si="121"/>
        <v>Asia → China → Beijing</v>
      </c>
      <c r="K407" s="3" t="str">
        <f t="shared" si="122"/>
        <v>China-2023-03</v>
      </c>
      <c r="L407" t="s">
        <v>659</v>
      </c>
      <c r="M407" t="s">
        <v>699</v>
      </c>
      <c r="N407" t="s">
        <v>705</v>
      </c>
      <c r="O407" t="s">
        <v>711</v>
      </c>
      <c r="P407" t="s">
        <v>712</v>
      </c>
      <c r="Q407" t="s">
        <v>732</v>
      </c>
      <c r="R407" t="s">
        <v>1138</v>
      </c>
      <c r="S407" s="5">
        <v>1126.29</v>
      </c>
      <c r="T407" s="5">
        <v>2050.87</v>
      </c>
      <c r="U407" s="5" t="str">
        <f t="shared" si="123"/>
        <v>Valid</v>
      </c>
      <c r="V407" s="5">
        <f t="shared" si="114"/>
        <v>2050.87</v>
      </c>
      <c r="W407" s="5" t="str">
        <f t="shared" si="124"/>
        <v>High</v>
      </c>
      <c r="X407" s="5">
        <v>6.4000000000000001E-2</v>
      </c>
      <c r="Y407" s="5" t="str">
        <f t="shared" si="125"/>
        <v>Valid</v>
      </c>
      <c r="Z407" s="5">
        <f t="shared" si="126"/>
        <v>6.4000000000000001E-2</v>
      </c>
      <c r="AA407" s="5">
        <v>7</v>
      </c>
      <c r="AB407">
        <f t="shared" si="127"/>
        <v>13437.300239999999</v>
      </c>
      <c r="AC407">
        <f t="shared" si="115"/>
        <v>7884.03</v>
      </c>
      <c r="AD407">
        <f t="shared" si="128"/>
        <v>5553.2702399999989</v>
      </c>
      <c r="AE407">
        <f t="shared" si="129"/>
        <v>0.41327276616690373</v>
      </c>
      <c r="AF407">
        <f t="shared" si="130"/>
        <v>0</v>
      </c>
      <c r="AG407">
        <f t="shared" si="131"/>
        <v>0</v>
      </c>
      <c r="AK407">
        <f>AA407*(1+What_if_Analysis!$B$4)</f>
        <v>8.4</v>
      </c>
      <c r="AL407" s="5">
        <f>MIN(Z407,What_if_Analysis!$B$2)</f>
        <v>0.05</v>
      </c>
      <c r="AM407">
        <f t="shared" si="132"/>
        <v>16365.9426</v>
      </c>
      <c r="AN407">
        <f>AM407-(AK407*(T407*(1+What_if_Analysis!$B$3)))</f>
        <v>-2584.0961999999981</v>
      </c>
    </row>
    <row r="408" spans="1:40" x14ac:dyDescent="0.3">
      <c r="A408" t="s">
        <v>420</v>
      </c>
      <c r="B408" s="3">
        <v>45646</v>
      </c>
      <c r="C408" s="3" t="str">
        <f t="shared" si="116"/>
        <v>Dec-2024</v>
      </c>
      <c r="D408" s="3" t="str">
        <f t="shared" si="117"/>
        <v>Q4-2024</v>
      </c>
      <c r="E408" s="3">
        <v>45671</v>
      </c>
      <c r="F408" s="3" t="str">
        <f t="shared" si="118"/>
        <v>Valid</v>
      </c>
      <c r="G408" s="12">
        <f t="shared" si="119"/>
        <v>25</v>
      </c>
      <c r="H408" s="3">
        <f t="shared" si="120"/>
        <v>45671</v>
      </c>
      <c r="I408" t="s">
        <v>647</v>
      </c>
      <c r="J408" t="str">
        <f t="shared" si="121"/>
        <v>Asia → India → Delhi</v>
      </c>
      <c r="K408" s="3" t="str">
        <f t="shared" si="122"/>
        <v>India-2024-12</v>
      </c>
      <c r="L408" t="s">
        <v>654</v>
      </c>
      <c r="M408" t="s">
        <v>680</v>
      </c>
      <c r="N408" t="s">
        <v>705</v>
      </c>
      <c r="O408" t="s">
        <v>707</v>
      </c>
      <c r="P408" t="s">
        <v>724</v>
      </c>
      <c r="Q408" t="s">
        <v>728</v>
      </c>
      <c r="R408" t="s">
        <v>1139</v>
      </c>
      <c r="S408" s="5">
        <v>1361.34</v>
      </c>
      <c r="T408" s="5">
        <v>1737.9</v>
      </c>
      <c r="U408" s="5" t="str">
        <f t="shared" si="123"/>
        <v>Valid</v>
      </c>
      <c r="V408" s="5">
        <f t="shared" si="114"/>
        <v>1737.9</v>
      </c>
      <c r="W408" s="5" t="str">
        <f t="shared" si="124"/>
        <v>Medium</v>
      </c>
      <c r="X408" s="5">
        <v>7.6999999999999999E-2</v>
      </c>
      <c r="Y408" s="5" t="str">
        <f t="shared" si="125"/>
        <v>Valid</v>
      </c>
      <c r="Z408" s="5">
        <f t="shared" si="126"/>
        <v>7.6999999999999999E-2</v>
      </c>
      <c r="AA408" s="5">
        <v>14</v>
      </c>
      <c r="AB408">
        <f t="shared" si="127"/>
        <v>22457.143800000002</v>
      </c>
      <c r="AC408">
        <f t="shared" si="115"/>
        <v>19058.759999999998</v>
      </c>
      <c r="AD408">
        <f t="shared" si="128"/>
        <v>3398.3838000000032</v>
      </c>
      <c r="AE408">
        <f t="shared" si="129"/>
        <v>0.15132751654731813</v>
      </c>
      <c r="AF408">
        <f t="shared" si="130"/>
        <v>0</v>
      </c>
      <c r="AG408">
        <f t="shared" si="131"/>
        <v>0</v>
      </c>
      <c r="AK408">
        <f>AA408*(1+What_if_Analysis!$B$4)</f>
        <v>16.8</v>
      </c>
      <c r="AL408" s="5">
        <f>MIN(Z408,What_if_Analysis!$B$2)</f>
        <v>0.05</v>
      </c>
      <c r="AM408">
        <f t="shared" si="132"/>
        <v>27736.883999999998</v>
      </c>
      <c r="AN408">
        <f>AM408-(AK408*(T408*(1+What_if_Analysis!$B$3)))</f>
        <v>-4379.5080000000089</v>
      </c>
    </row>
    <row r="409" spans="1:40" x14ac:dyDescent="0.3">
      <c r="A409" t="s">
        <v>421</v>
      </c>
      <c r="B409" s="3">
        <v>45709</v>
      </c>
      <c r="C409" s="3" t="str">
        <f t="shared" si="116"/>
        <v>Feb-2025</v>
      </c>
      <c r="D409" s="3" t="str">
        <f t="shared" si="117"/>
        <v>Q1-2025</v>
      </c>
      <c r="E409" s="3">
        <v>45737</v>
      </c>
      <c r="F409" s="3" t="str">
        <f t="shared" si="118"/>
        <v>Valid</v>
      </c>
      <c r="G409" s="12">
        <f t="shared" si="119"/>
        <v>28</v>
      </c>
      <c r="H409" s="3">
        <f t="shared" si="120"/>
        <v>45737</v>
      </c>
      <c r="I409" t="s">
        <v>646</v>
      </c>
      <c r="J409" t="str">
        <f t="shared" si="121"/>
        <v>Africa → Nigeria → Abuja</v>
      </c>
      <c r="K409" s="3" t="str">
        <f t="shared" si="122"/>
        <v>Nigeria-2025-02</v>
      </c>
      <c r="L409" t="s">
        <v>651</v>
      </c>
      <c r="M409" t="s">
        <v>669</v>
      </c>
      <c r="N409" t="s">
        <v>706</v>
      </c>
      <c r="O409" t="s">
        <v>709</v>
      </c>
      <c r="P409" t="s">
        <v>714</v>
      </c>
      <c r="Q409" t="s">
        <v>730</v>
      </c>
      <c r="R409" t="s">
        <v>1140</v>
      </c>
      <c r="S409" s="5">
        <v>1437.39</v>
      </c>
      <c r="T409" s="5">
        <v>1388.31</v>
      </c>
      <c r="U409" s="5" t="str">
        <f t="shared" si="123"/>
        <v>Valid</v>
      </c>
      <c r="V409" s="5">
        <f t="shared" si="114"/>
        <v>1388.31</v>
      </c>
      <c r="W409" s="5" t="str">
        <f t="shared" si="124"/>
        <v>Medium</v>
      </c>
      <c r="X409" s="5">
        <v>0.13800000000000001</v>
      </c>
      <c r="Y409" s="5" t="str">
        <f t="shared" si="125"/>
        <v>Valid</v>
      </c>
      <c r="Z409" s="5">
        <f t="shared" si="126"/>
        <v>0.13800000000000001</v>
      </c>
      <c r="AA409" s="5">
        <v>18</v>
      </c>
      <c r="AB409">
        <f t="shared" si="127"/>
        <v>21541.017959999997</v>
      </c>
      <c r="AC409">
        <f t="shared" si="115"/>
        <v>25873.02</v>
      </c>
      <c r="AD409">
        <f t="shared" si="128"/>
        <v>-4332.002040000003</v>
      </c>
      <c r="AE409">
        <f t="shared" si="129"/>
        <v>-0.20110479681341872</v>
      </c>
      <c r="AF409">
        <f t="shared" si="130"/>
        <v>0</v>
      </c>
      <c r="AG409">
        <f t="shared" si="131"/>
        <v>0</v>
      </c>
      <c r="AK409">
        <f>AA409*(1+What_if_Analysis!$B$4)</f>
        <v>21.599999999999998</v>
      </c>
      <c r="AL409" s="5">
        <f>MIN(Z409,What_if_Analysis!$B$2)</f>
        <v>0.05</v>
      </c>
      <c r="AM409">
        <f t="shared" si="132"/>
        <v>28488.121199999994</v>
      </c>
      <c r="AN409">
        <f>AM409-(AK409*(T409*(1+What_if_Analysis!$B$3)))</f>
        <v>-4498.1244000000079</v>
      </c>
    </row>
    <row r="410" spans="1:40" x14ac:dyDescent="0.3">
      <c r="A410" t="s">
        <v>422</v>
      </c>
      <c r="B410" s="3">
        <v>45724</v>
      </c>
      <c r="C410" s="3" t="str">
        <f t="shared" si="116"/>
        <v>Mar-2025</v>
      </c>
      <c r="D410" s="3" t="str">
        <f t="shared" si="117"/>
        <v>Q1-2025</v>
      </c>
      <c r="E410" s="3">
        <v>45731</v>
      </c>
      <c r="F410" s="3" t="str">
        <f t="shared" si="118"/>
        <v>Valid</v>
      </c>
      <c r="G410" s="12">
        <f t="shared" si="119"/>
        <v>7</v>
      </c>
      <c r="H410" s="3">
        <f t="shared" si="120"/>
        <v>45731</v>
      </c>
      <c r="I410" t="s">
        <v>647</v>
      </c>
      <c r="J410" t="str">
        <f t="shared" si="121"/>
        <v>Asia → India → Bengaluru</v>
      </c>
      <c r="K410" s="3" t="str">
        <f t="shared" si="122"/>
        <v>India-2025-03</v>
      </c>
      <c r="L410" t="s">
        <v>654</v>
      </c>
      <c r="M410" t="s">
        <v>668</v>
      </c>
      <c r="N410" t="s">
        <v>701</v>
      </c>
      <c r="O410" t="s">
        <v>710</v>
      </c>
      <c r="P410" t="s">
        <v>723</v>
      </c>
      <c r="Q410" t="s">
        <v>731</v>
      </c>
      <c r="R410" t="s">
        <v>1141</v>
      </c>
      <c r="S410" s="5">
        <v>475.66</v>
      </c>
      <c r="T410" s="5">
        <v>529.14</v>
      </c>
      <c r="U410" s="5" t="str">
        <f t="shared" si="123"/>
        <v>Valid</v>
      </c>
      <c r="V410" s="5">
        <f t="shared" si="114"/>
        <v>529.14</v>
      </c>
      <c r="W410" s="5" t="str">
        <f t="shared" si="124"/>
        <v>Low</v>
      </c>
      <c r="X410" s="5">
        <v>0.19600000000000001</v>
      </c>
      <c r="Y410" s="5" t="str">
        <f t="shared" si="125"/>
        <v>Valid</v>
      </c>
      <c r="Z410" s="5">
        <f t="shared" si="126"/>
        <v>0.19600000000000001</v>
      </c>
      <c r="AA410" s="5">
        <v>11</v>
      </c>
      <c r="AB410">
        <f t="shared" si="127"/>
        <v>4679.7141600000004</v>
      </c>
      <c r="AC410">
        <f t="shared" si="115"/>
        <v>5232.26</v>
      </c>
      <c r="AD410">
        <f t="shared" si="128"/>
        <v>-552.54583999999977</v>
      </c>
      <c r="AE410">
        <f t="shared" si="129"/>
        <v>-0.11807256193613323</v>
      </c>
      <c r="AF410">
        <f t="shared" si="130"/>
        <v>1</v>
      </c>
      <c r="AG410">
        <f t="shared" si="131"/>
        <v>0</v>
      </c>
      <c r="AK410">
        <f>AA410*(1+What_if_Analysis!$B$4)</f>
        <v>13.2</v>
      </c>
      <c r="AL410" s="5">
        <f>MIN(Z410,What_if_Analysis!$B$2)</f>
        <v>0.05</v>
      </c>
      <c r="AM410">
        <f t="shared" si="132"/>
        <v>6635.4155999999994</v>
      </c>
      <c r="AN410">
        <f>AM410-(AK410*(T410*(1+What_if_Analysis!$B$3)))</f>
        <v>-1047.6972000000014</v>
      </c>
    </row>
    <row r="411" spans="1:40" x14ac:dyDescent="0.3">
      <c r="A411" t="s">
        <v>423</v>
      </c>
      <c r="B411" s="3">
        <v>45276</v>
      </c>
      <c r="C411" s="3" t="str">
        <f t="shared" si="116"/>
        <v>Dec-2023</v>
      </c>
      <c r="D411" s="3" t="str">
        <f t="shared" si="117"/>
        <v>Q4-2023</v>
      </c>
      <c r="E411" s="3">
        <v>45279</v>
      </c>
      <c r="F411" s="3" t="str">
        <f t="shared" si="118"/>
        <v>Valid</v>
      </c>
      <c r="G411" s="12">
        <f t="shared" si="119"/>
        <v>3</v>
      </c>
      <c r="H411" s="3">
        <f t="shared" si="120"/>
        <v>45279</v>
      </c>
      <c r="I411" t="s">
        <v>647</v>
      </c>
      <c r="J411" t="str">
        <f t="shared" si="121"/>
        <v>Asia → China → Beijing</v>
      </c>
      <c r="K411" s="3" t="str">
        <f t="shared" si="122"/>
        <v>China-2023-12</v>
      </c>
      <c r="L411" t="s">
        <v>659</v>
      </c>
      <c r="M411" t="s">
        <v>699</v>
      </c>
      <c r="N411" t="s">
        <v>702</v>
      </c>
      <c r="O411" t="s">
        <v>707</v>
      </c>
      <c r="P411" t="s">
        <v>720</v>
      </c>
      <c r="Q411" t="s">
        <v>733</v>
      </c>
      <c r="R411" t="s">
        <v>1142</v>
      </c>
      <c r="S411" s="5">
        <v>1415.05</v>
      </c>
      <c r="T411" s="5">
        <v>1972.38</v>
      </c>
      <c r="U411" s="5" t="str">
        <f t="shared" si="123"/>
        <v>Valid</v>
      </c>
      <c r="V411" s="5">
        <f t="shared" si="114"/>
        <v>1972.38</v>
      </c>
      <c r="W411" s="5" t="str">
        <f t="shared" si="124"/>
        <v>High</v>
      </c>
      <c r="X411" s="5">
        <v>0</v>
      </c>
      <c r="Y411" s="5" t="str">
        <f t="shared" si="125"/>
        <v>Valid</v>
      </c>
      <c r="Z411" s="5">
        <f t="shared" si="126"/>
        <v>0</v>
      </c>
      <c r="AA411" s="5">
        <v>12</v>
      </c>
      <c r="AB411">
        <f t="shared" si="127"/>
        <v>23668.560000000001</v>
      </c>
      <c r="AC411">
        <f t="shared" si="115"/>
        <v>16980.599999999999</v>
      </c>
      <c r="AD411">
        <f t="shared" si="128"/>
        <v>6687.9600000000028</v>
      </c>
      <c r="AE411">
        <f t="shared" si="129"/>
        <v>0.28256725377462771</v>
      </c>
      <c r="AF411">
        <f t="shared" si="130"/>
        <v>1</v>
      </c>
      <c r="AG411">
        <f t="shared" si="131"/>
        <v>0</v>
      </c>
      <c r="AK411">
        <f>AA411*(1+What_if_Analysis!$B$4)</f>
        <v>14.399999999999999</v>
      </c>
      <c r="AL411" s="5">
        <f>MIN(Z411,What_if_Analysis!$B$2)</f>
        <v>0</v>
      </c>
      <c r="AM411">
        <f t="shared" si="132"/>
        <v>28402.271999999997</v>
      </c>
      <c r="AN411">
        <f>AM411-(AK411*(T411*(1+What_if_Analysis!$B$3)))</f>
        <v>-2840.2272000000048</v>
      </c>
    </row>
    <row r="412" spans="1:40" x14ac:dyDescent="0.3">
      <c r="A412" t="s">
        <v>424</v>
      </c>
      <c r="B412" s="3">
        <v>45534</v>
      </c>
      <c r="C412" s="3" t="str">
        <f t="shared" si="116"/>
        <v>Aug-2024</v>
      </c>
      <c r="D412" s="3" t="str">
        <f t="shared" si="117"/>
        <v>Q3-2024</v>
      </c>
      <c r="E412" s="3">
        <v>45540</v>
      </c>
      <c r="F412" s="3" t="str">
        <f t="shared" si="118"/>
        <v>Valid</v>
      </c>
      <c r="G412" s="12">
        <f t="shared" si="119"/>
        <v>6</v>
      </c>
      <c r="H412" s="3">
        <f t="shared" si="120"/>
        <v>45540</v>
      </c>
      <c r="I412" t="s">
        <v>647</v>
      </c>
      <c r="J412" t="str">
        <f t="shared" si="121"/>
        <v>Asia → Japan → Nagoya</v>
      </c>
      <c r="K412" s="3" t="str">
        <f t="shared" si="122"/>
        <v>Japan-2024-08</v>
      </c>
      <c r="L412" t="s">
        <v>652</v>
      </c>
      <c r="M412" t="s">
        <v>694</v>
      </c>
      <c r="N412" t="s">
        <v>702</v>
      </c>
      <c r="O412" t="s">
        <v>708</v>
      </c>
      <c r="P412" t="s">
        <v>725</v>
      </c>
      <c r="Q412" t="s">
        <v>731</v>
      </c>
      <c r="R412" t="s">
        <v>1143</v>
      </c>
      <c r="S412" s="5">
        <v>466.16</v>
      </c>
      <c r="T412" s="5">
        <v>876.81</v>
      </c>
      <c r="U412" s="5" t="str">
        <f t="shared" si="123"/>
        <v>Valid</v>
      </c>
      <c r="V412" s="5">
        <f t="shared" si="114"/>
        <v>876.81</v>
      </c>
      <c r="W412" s="5" t="str">
        <f t="shared" si="124"/>
        <v>Medium</v>
      </c>
      <c r="X412" s="5">
        <v>0.24099999999999999</v>
      </c>
      <c r="Y412" s="5" t="str">
        <f t="shared" si="125"/>
        <v>Valid</v>
      </c>
      <c r="Z412" s="5">
        <f t="shared" si="126"/>
        <v>0.24099999999999999</v>
      </c>
      <c r="AA412" s="5">
        <v>8</v>
      </c>
      <c r="AB412">
        <f t="shared" si="127"/>
        <v>5323.9903199999999</v>
      </c>
      <c r="AC412">
        <f t="shared" si="115"/>
        <v>3729.28</v>
      </c>
      <c r="AD412">
        <f t="shared" si="128"/>
        <v>1594.7103199999997</v>
      </c>
      <c r="AE412">
        <f t="shared" si="129"/>
        <v>0.29953291124691594</v>
      </c>
      <c r="AF412">
        <f t="shared" si="130"/>
        <v>1</v>
      </c>
      <c r="AG412">
        <f t="shared" si="131"/>
        <v>1</v>
      </c>
      <c r="AK412">
        <f>AA412*(1+What_if_Analysis!$B$4)</f>
        <v>9.6</v>
      </c>
      <c r="AL412" s="5">
        <f>MIN(Z412,What_if_Analysis!$B$2)</f>
        <v>0.05</v>
      </c>
      <c r="AM412">
        <f t="shared" si="132"/>
        <v>7996.5071999999982</v>
      </c>
      <c r="AN412">
        <f>AM412-(AK412*(T412*(1+What_if_Analysis!$B$3)))</f>
        <v>-1262.6064000000006</v>
      </c>
    </row>
    <row r="413" spans="1:40" x14ac:dyDescent="0.3">
      <c r="A413" t="s">
        <v>425</v>
      </c>
      <c r="B413" s="3">
        <v>45430</v>
      </c>
      <c r="C413" s="3" t="str">
        <f t="shared" si="116"/>
        <v>May-2024</v>
      </c>
      <c r="D413" s="3" t="str">
        <f t="shared" si="117"/>
        <v>Q2-2024</v>
      </c>
      <c r="E413" s="3">
        <v>45433</v>
      </c>
      <c r="F413" s="3" t="str">
        <f t="shared" si="118"/>
        <v>Valid</v>
      </c>
      <c r="G413" s="12">
        <f t="shared" si="119"/>
        <v>3</v>
      </c>
      <c r="H413" s="3">
        <f t="shared" si="120"/>
        <v>45433</v>
      </c>
      <c r="I413" t="s">
        <v>649</v>
      </c>
      <c r="J413" t="str">
        <f t="shared" si="121"/>
        <v>Europe → France → Marseille</v>
      </c>
      <c r="K413" s="3" t="str">
        <f t="shared" si="122"/>
        <v>France-2024-05</v>
      </c>
      <c r="L413" t="s">
        <v>657</v>
      </c>
      <c r="M413" t="s">
        <v>673</v>
      </c>
      <c r="N413" t="s">
        <v>703</v>
      </c>
      <c r="O413" t="s">
        <v>709</v>
      </c>
      <c r="P413" t="s">
        <v>726</v>
      </c>
      <c r="Q413" t="s">
        <v>728</v>
      </c>
      <c r="R413" t="s">
        <v>1144</v>
      </c>
      <c r="S413" s="5">
        <v>663.66</v>
      </c>
      <c r="T413" s="5">
        <v>824.26</v>
      </c>
      <c r="U413" s="5" t="str">
        <f t="shared" si="123"/>
        <v>Valid</v>
      </c>
      <c r="V413" s="5">
        <f t="shared" si="114"/>
        <v>824.26</v>
      </c>
      <c r="W413" s="5" t="str">
        <f t="shared" si="124"/>
        <v>Medium</v>
      </c>
      <c r="X413" s="5">
        <v>0.23899999999999999</v>
      </c>
      <c r="Y413" s="5" t="str">
        <f t="shared" si="125"/>
        <v>Valid</v>
      </c>
      <c r="Z413" s="5">
        <f t="shared" si="126"/>
        <v>0.23899999999999999</v>
      </c>
      <c r="AA413" s="5">
        <v>11</v>
      </c>
      <c r="AB413">
        <f t="shared" si="127"/>
        <v>6899.8804600000003</v>
      </c>
      <c r="AC413">
        <f t="shared" si="115"/>
        <v>7300.2599999999993</v>
      </c>
      <c r="AD413">
        <f t="shared" si="128"/>
        <v>-400.379539999999</v>
      </c>
      <c r="AE413">
        <f t="shared" si="129"/>
        <v>-5.8027025587048933E-2</v>
      </c>
      <c r="AF413">
        <f t="shared" si="130"/>
        <v>1</v>
      </c>
      <c r="AG413">
        <f t="shared" si="131"/>
        <v>1</v>
      </c>
      <c r="AK413">
        <f>AA413*(1+What_if_Analysis!$B$4)</f>
        <v>13.2</v>
      </c>
      <c r="AL413" s="5">
        <f>MIN(Z413,What_if_Analysis!$B$2)</f>
        <v>0.05</v>
      </c>
      <c r="AM413">
        <f t="shared" si="132"/>
        <v>10336.2204</v>
      </c>
      <c r="AN413">
        <f>AM413-(AK413*(T413*(1+What_if_Analysis!$B$3)))</f>
        <v>-1632.0347999999994</v>
      </c>
    </row>
    <row r="414" spans="1:40" x14ac:dyDescent="0.3">
      <c r="A414" t="s">
        <v>426</v>
      </c>
      <c r="B414" s="3">
        <v>45002</v>
      </c>
      <c r="C414" s="3" t="str">
        <f t="shared" si="116"/>
        <v>Mar-2023</v>
      </c>
      <c r="D414" s="3" t="str">
        <f t="shared" si="117"/>
        <v>Q1-2023</v>
      </c>
      <c r="E414" s="3">
        <v>45022</v>
      </c>
      <c r="F414" s="3" t="str">
        <f t="shared" si="118"/>
        <v>Valid</v>
      </c>
      <c r="G414" s="12">
        <f t="shared" si="119"/>
        <v>20</v>
      </c>
      <c r="H414" s="3">
        <f t="shared" si="120"/>
        <v>45022</v>
      </c>
      <c r="I414" t="s">
        <v>649</v>
      </c>
      <c r="J414" t="str">
        <f t="shared" si="121"/>
        <v>Europe → Germany → Munich</v>
      </c>
      <c r="K414" s="3" t="str">
        <f t="shared" si="122"/>
        <v>Germany-2023-03</v>
      </c>
      <c r="L414" t="s">
        <v>656</v>
      </c>
      <c r="M414" t="s">
        <v>684</v>
      </c>
      <c r="N414" t="s">
        <v>704</v>
      </c>
      <c r="O414" t="s">
        <v>707</v>
      </c>
      <c r="P414" t="s">
        <v>719</v>
      </c>
      <c r="Q414" t="s">
        <v>730</v>
      </c>
      <c r="R414" t="s">
        <v>1145</v>
      </c>
      <c r="S414" s="5">
        <v>692.18</v>
      </c>
      <c r="T414" s="5">
        <v>1159.3499999999999</v>
      </c>
      <c r="U414" s="5" t="str">
        <f t="shared" si="123"/>
        <v>Valid</v>
      </c>
      <c r="V414" s="5">
        <f t="shared" si="114"/>
        <v>1159.3499999999999</v>
      </c>
      <c r="W414" s="5" t="str">
        <f t="shared" si="124"/>
        <v>Medium</v>
      </c>
      <c r="X414" s="5">
        <v>0.112</v>
      </c>
      <c r="Y414" s="5" t="str">
        <f t="shared" si="125"/>
        <v>Valid</v>
      </c>
      <c r="Z414" s="5">
        <f t="shared" si="126"/>
        <v>0.112</v>
      </c>
      <c r="AA414" s="5">
        <v>2</v>
      </c>
      <c r="AB414">
        <f t="shared" si="127"/>
        <v>2059.0056</v>
      </c>
      <c r="AC414">
        <f t="shared" si="115"/>
        <v>1384.36</v>
      </c>
      <c r="AD414">
        <f t="shared" si="128"/>
        <v>674.64560000000006</v>
      </c>
      <c r="AE414">
        <f t="shared" si="129"/>
        <v>0.32765602968734037</v>
      </c>
      <c r="AF414">
        <f t="shared" si="130"/>
        <v>0</v>
      </c>
      <c r="AG414">
        <f t="shared" si="131"/>
        <v>0</v>
      </c>
      <c r="AK414">
        <f>AA414*(1+What_if_Analysis!$B$4)</f>
        <v>2.4</v>
      </c>
      <c r="AL414" s="5">
        <f>MIN(Z414,What_if_Analysis!$B$2)</f>
        <v>0.05</v>
      </c>
      <c r="AM414">
        <f t="shared" si="132"/>
        <v>2643.3179999999993</v>
      </c>
      <c r="AN414">
        <f>AM414-(AK414*(T414*(1+What_if_Analysis!$B$3)))</f>
        <v>-417.36600000000089</v>
      </c>
    </row>
    <row r="415" spans="1:40" x14ac:dyDescent="0.3">
      <c r="A415" t="s">
        <v>427</v>
      </c>
      <c r="B415" s="3">
        <v>45163</v>
      </c>
      <c r="C415" s="3" t="str">
        <f t="shared" si="116"/>
        <v>Aug-2023</v>
      </c>
      <c r="D415" s="3" t="str">
        <f t="shared" si="117"/>
        <v>Q3-2023</v>
      </c>
      <c r="E415" s="3">
        <v>45185</v>
      </c>
      <c r="F415" s="3" t="str">
        <f t="shared" si="118"/>
        <v>Valid</v>
      </c>
      <c r="G415" s="12">
        <f t="shared" si="119"/>
        <v>22</v>
      </c>
      <c r="H415" s="3">
        <f t="shared" si="120"/>
        <v>45185</v>
      </c>
      <c r="I415" t="s">
        <v>646</v>
      </c>
      <c r="J415" t="str">
        <f t="shared" si="121"/>
        <v>Africa → Nigeria → Abuja</v>
      </c>
      <c r="K415" s="3" t="str">
        <f t="shared" si="122"/>
        <v>Nigeria-2023-08</v>
      </c>
      <c r="L415" t="s">
        <v>651</v>
      </c>
      <c r="M415" t="s">
        <v>669</v>
      </c>
      <c r="N415" t="s">
        <v>701</v>
      </c>
      <c r="O415" t="s">
        <v>709</v>
      </c>
      <c r="P415" t="s">
        <v>716</v>
      </c>
      <c r="Q415" t="s">
        <v>730</v>
      </c>
      <c r="R415" t="s">
        <v>1146</v>
      </c>
      <c r="S415" s="5">
        <v>1196.83</v>
      </c>
      <c r="T415" s="5">
        <v>2513.5100000000002</v>
      </c>
      <c r="U415" s="5" t="str">
        <f t="shared" si="123"/>
        <v>Valid</v>
      </c>
      <c r="V415" s="5">
        <f t="shared" si="114"/>
        <v>2513.5100000000002</v>
      </c>
      <c r="W415" s="5" t="str">
        <f t="shared" si="124"/>
        <v>High</v>
      </c>
      <c r="X415" s="5">
        <v>8.3000000000000004E-2</v>
      </c>
      <c r="Y415" s="5" t="str">
        <f t="shared" si="125"/>
        <v>Valid</v>
      </c>
      <c r="Z415" s="5">
        <f t="shared" si="126"/>
        <v>8.3000000000000004E-2</v>
      </c>
      <c r="AA415" s="5">
        <v>7</v>
      </c>
      <c r="AB415">
        <f t="shared" si="127"/>
        <v>16134.22069</v>
      </c>
      <c r="AC415">
        <f t="shared" si="115"/>
        <v>8377.81</v>
      </c>
      <c r="AD415">
        <f t="shared" si="128"/>
        <v>7756.4106900000006</v>
      </c>
      <c r="AE415">
        <f t="shared" si="129"/>
        <v>0.48074281609445374</v>
      </c>
      <c r="AF415">
        <f t="shared" si="130"/>
        <v>0</v>
      </c>
      <c r="AG415">
        <f t="shared" si="131"/>
        <v>0</v>
      </c>
      <c r="AK415">
        <f>AA415*(1+What_if_Analysis!$B$4)</f>
        <v>8.4</v>
      </c>
      <c r="AL415" s="5">
        <f>MIN(Z415,What_if_Analysis!$B$2)</f>
        <v>0.05</v>
      </c>
      <c r="AM415">
        <f t="shared" si="132"/>
        <v>20057.809800000003</v>
      </c>
      <c r="AN415">
        <f>AM415-(AK415*(T415*(1+What_if_Analysis!$B$3)))</f>
        <v>-3167.0226000000002</v>
      </c>
    </row>
    <row r="416" spans="1:40" x14ac:dyDescent="0.3">
      <c r="A416" t="s">
        <v>428</v>
      </c>
      <c r="B416" s="3">
        <v>45449</v>
      </c>
      <c r="C416" s="3" t="str">
        <f t="shared" si="116"/>
        <v>Jun-2024</v>
      </c>
      <c r="D416" s="3" t="str">
        <f t="shared" si="117"/>
        <v>Q2-2024</v>
      </c>
      <c r="E416" s="3">
        <v>45467</v>
      </c>
      <c r="F416" s="3" t="str">
        <f t="shared" si="118"/>
        <v>Valid</v>
      </c>
      <c r="G416" s="12">
        <f t="shared" si="119"/>
        <v>18</v>
      </c>
      <c r="H416" s="3">
        <f t="shared" si="120"/>
        <v>45467</v>
      </c>
      <c r="I416" t="s">
        <v>647</v>
      </c>
      <c r="J416" t="str">
        <f t="shared" si="121"/>
        <v>Asia → India → Bengaluru</v>
      </c>
      <c r="K416" s="3" t="str">
        <f t="shared" si="122"/>
        <v>India-2024-06</v>
      </c>
      <c r="L416" t="s">
        <v>654</v>
      </c>
      <c r="M416" t="s">
        <v>668</v>
      </c>
      <c r="N416" t="s">
        <v>705</v>
      </c>
      <c r="O416" t="s">
        <v>711</v>
      </c>
      <c r="P416" t="s">
        <v>722</v>
      </c>
      <c r="Q416" t="s">
        <v>729</v>
      </c>
      <c r="R416" t="s">
        <v>1147</v>
      </c>
      <c r="S416" s="5">
        <v>1253.25</v>
      </c>
      <c r="T416" s="5">
        <v>3087.13</v>
      </c>
      <c r="U416" s="5" t="str">
        <f t="shared" si="123"/>
        <v>Valid</v>
      </c>
      <c r="V416" s="5">
        <f t="shared" si="114"/>
        <v>3087.13</v>
      </c>
      <c r="W416" s="5" t="str">
        <f t="shared" si="124"/>
        <v>High</v>
      </c>
      <c r="X416" s="5">
        <v>7.1999999999999995E-2</v>
      </c>
      <c r="Y416" s="5" t="str">
        <f t="shared" si="125"/>
        <v>Valid</v>
      </c>
      <c r="Z416" s="5">
        <f t="shared" si="126"/>
        <v>7.1999999999999995E-2</v>
      </c>
      <c r="AA416" s="5">
        <v>11</v>
      </c>
      <c r="AB416">
        <f t="shared" si="127"/>
        <v>31513.423040000001</v>
      </c>
      <c r="AC416">
        <f t="shared" si="115"/>
        <v>13785.75</v>
      </c>
      <c r="AD416">
        <f t="shared" si="128"/>
        <v>17727.673040000001</v>
      </c>
      <c r="AE416">
        <f t="shared" si="129"/>
        <v>0.562543555408064</v>
      </c>
      <c r="AF416">
        <f t="shared" si="130"/>
        <v>0</v>
      </c>
      <c r="AG416">
        <f t="shared" si="131"/>
        <v>0</v>
      </c>
      <c r="AK416">
        <f>AA416*(1+What_if_Analysis!$B$4)</f>
        <v>13.2</v>
      </c>
      <c r="AL416" s="5">
        <f>MIN(Z416,What_if_Analysis!$B$2)</f>
        <v>0.05</v>
      </c>
      <c r="AM416">
        <f t="shared" si="132"/>
        <v>38712.610200000003</v>
      </c>
      <c r="AN416">
        <f>AM416-(AK416*(T416*(1+What_if_Analysis!$B$3)))</f>
        <v>-6112.517399999997</v>
      </c>
    </row>
    <row r="417" spans="1:40" x14ac:dyDescent="0.3">
      <c r="A417" t="s">
        <v>429</v>
      </c>
      <c r="B417" s="3">
        <v>45167</v>
      </c>
      <c r="C417" s="3" t="str">
        <f t="shared" si="116"/>
        <v>Aug-2023</v>
      </c>
      <c r="D417" s="3" t="str">
        <f t="shared" si="117"/>
        <v>Q3-2023</v>
      </c>
      <c r="E417" s="3">
        <v>45182</v>
      </c>
      <c r="F417" s="3" t="str">
        <f t="shared" si="118"/>
        <v>Valid</v>
      </c>
      <c r="G417" s="12">
        <f t="shared" si="119"/>
        <v>15</v>
      </c>
      <c r="H417" s="3">
        <f t="shared" si="120"/>
        <v>45182</v>
      </c>
      <c r="I417" t="s">
        <v>648</v>
      </c>
      <c r="J417" t="str">
        <f t="shared" si="121"/>
        <v>Americas → Canada → Vancouver</v>
      </c>
      <c r="K417" s="3" t="str">
        <f t="shared" si="122"/>
        <v>Canada-2023-08</v>
      </c>
      <c r="L417" t="s">
        <v>653</v>
      </c>
      <c r="M417" t="s">
        <v>688</v>
      </c>
      <c r="N417" t="s">
        <v>705</v>
      </c>
      <c r="O417" t="s">
        <v>709</v>
      </c>
      <c r="P417" t="s">
        <v>719</v>
      </c>
      <c r="Q417" t="s">
        <v>728</v>
      </c>
      <c r="R417" t="s">
        <v>1148</v>
      </c>
      <c r="S417" s="5">
        <v>1287.6400000000001</v>
      </c>
      <c r="T417" s="5">
        <v>2717.15</v>
      </c>
      <c r="U417" s="5" t="str">
        <f t="shared" si="123"/>
        <v>Valid</v>
      </c>
      <c r="V417" s="5">
        <f t="shared" si="114"/>
        <v>2717.15</v>
      </c>
      <c r="W417" s="5" t="str">
        <f t="shared" si="124"/>
        <v>High</v>
      </c>
      <c r="X417" s="5">
        <v>3.2000000000000001E-2</v>
      </c>
      <c r="Y417" s="5" t="str">
        <f t="shared" si="125"/>
        <v>Valid</v>
      </c>
      <c r="Z417" s="5">
        <f t="shared" si="126"/>
        <v>3.2000000000000001E-2</v>
      </c>
      <c r="AA417" s="5">
        <v>7</v>
      </c>
      <c r="AB417">
        <f t="shared" si="127"/>
        <v>18411.4084</v>
      </c>
      <c r="AC417">
        <f t="shared" si="115"/>
        <v>9013.4800000000014</v>
      </c>
      <c r="AD417">
        <f t="shared" si="128"/>
        <v>9397.9283999999989</v>
      </c>
      <c r="AE417">
        <f t="shared" si="129"/>
        <v>0.51044049405802105</v>
      </c>
      <c r="AF417">
        <f t="shared" si="130"/>
        <v>0</v>
      </c>
      <c r="AG417">
        <f t="shared" si="131"/>
        <v>0</v>
      </c>
      <c r="AK417">
        <f>AA417*(1+What_if_Analysis!$B$4)</f>
        <v>8.4</v>
      </c>
      <c r="AL417" s="5">
        <f>MIN(Z417,What_if_Analysis!$B$2)</f>
        <v>3.2000000000000001E-2</v>
      </c>
      <c r="AM417">
        <f t="shared" si="132"/>
        <v>22093.69008</v>
      </c>
      <c r="AN417">
        <f>AM417-(AK417*(T417*(1+What_if_Analysis!$B$3)))</f>
        <v>-3012.7759200000037</v>
      </c>
    </row>
    <row r="418" spans="1:40" x14ac:dyDescent="0.3">
      <c r="A418" t="s">
        <v>430</v>
      </c>
      <c r="B418" s="3">
        <v>45626</v>
      </c>
      <c r="C418" s="3" t="str">
        <f t="shared" si="116"/>
        <v>Nov-2024</v>
      </c>
      <c r="D418" s="3" t="str">
        <f t="shared" si="117"/>
        <v>Q4-2024</v>
      </c>
      <c r="E418" s="3">
        <v>45636</v>
      </c>
      <c r="F418" s="3" t="str">
        <f t="shared" si="118"/>
        <v>Valid</v>
      </c>
      <c r="G418" s="12">
        <f t="shared" si="119"/>
        <v>10</v>
      </c>
      <c r="H418" s="3">
        <f t="shared" si="120"/>
        <v>45636</v>
      </c>
      <c r="I418" t="s">
        <v>647</v>
      </c>
      <c r="J418" t="str">
        <f t="shared" si="121"/>
        <v>Asia → India → Hyderabad</v>
      </c>
      <c r="K418" s="3" t="str">
        <f t="shared" si="122"/>
        <v>India-2024-11</v>
      </c>
      <c r="L418" t="s">
        <v>654</v>
      </c>
      <c r="M418" t="s">
        <v>696</v>
      </c>
      <c r="N418" t="s">
        <v>705</v>
      </c>
      <c r="O418" t="s">
        <v>707</v>
      </c>
      <c r="P418" t="s">
        <v>721</v>
      </c>
      <c r="Q418" t="s">
        <v>733</v>
      </c>
      <c r="R418" t="s">
        <v>1149</v>
      </c>
      <c r="S418" s="5">
        <v>851.49</v>
      </c>
      <c r="T418" s="5">
        <v>901.79</v>
      </c>
      <c r="U418" s="5" t="str">
        <f t="shared" si="123"/>
        <v>Valid</v>
      </c>
      <c r="V418" s="5">
        <f t="shared" si="114"/>
        <v>901.79</v>
      </c>
      <c r="W418" s="5" t="str">
        <f t="shared" si="124"/>
        <v>Medium</v>
      </c>
      <c r="X418" s="5">
        <v>0.245</v>
      </c>
      <c r="Y418" s="5" t="str">
        <f t="shared" si="125"/>
        <v>Valid</v>
      </c>
      <c r="Z418" s="5">
        <f t="shared" si="126"/>
        <v>0.245</v>
      </c>
      <c r="AA418" s="5">
        <v>16</v>
      </c>
      <c r="AB418">
        <f t="shared" si="127"/>
        <v>10893.6232</v>
      </c>
      <c r="AC418">
        <f t="shared" si="115"/>
        <v>13623.84</v>
      </c>
      <c r="AD418">
        <f t="shared" si="128"/>
        <v>-2730.2168000000001</v>
      </c>
      <c r="AE418">
        <f t="shared" si="129"/>
        <v>-0.25062522816100341</v>
      </c>
      <c r="AF418">
        <f t="shared" si="130"/>
        <v>0</v>
      </c>
      <c r="AG418">
        <f t="shared" si="131"/>
        <v>1</v>
      </c>
      <c r="AK418">
        <f>AA418*(1+What_if_Analysis!$B$4)</f>
        <v>19.2</v>
      </c>
      <c r="AL418" s="5">
        <f>MIN(Z418,What_if_Analysis!$B$2)</f>
        <v>0.05</v>
      </c>
      <c r="AM418">
        <f t="shared" si="132"/>
        <v>16448.649599999997</v>
      </c>
      <c r="AN418">
        <f>AM418-(AK418*(T418*(1+What_if_Analysis!$B$3)))</f>
        <v>-2597.1552000000047</v>
      </c>
    </row>
    <row r="419" spans="1:40" x14ac:dyDescent="0.3">
      <c r="A419" t="s">
        <v>431</v>
      </c>
      <c r="B419" s="3">
        <v>45813</v>
      </c>
      <c r="C419" s="3" t="str">
        <f t="shared" si="116"/>
        <v>Jun-2025</v>
      </c>
      <c r="D419" s="3" t="str">
        <f t="shared" si="117"/>
        <v>Q2-2025</v>
      </c>
      <c r="E419" s="3">
        <v>45822</v>
      </c>
      <c r="F419" s="3" t="str">
        <f t="shared" si="118"/>
        <v>Valid</v>
      </c>
      <c r="G419" s="12">
        <f t="shared" si="119"/>
        <v>9</v>
      </c>
      <c r="H419" s="3">
        <f t="shared" si="120"/>
        <v>45822</v>
      </c>
      <c r="I419" t="s">
        <v>647</v>
      </c>
      <c r="J419" t="str">
        <f t="shared" si="121"/>
        <v>Asia → India → Delhi</v>
      </c>
      <c r="K419" s="3" t="str">
        <f t="shared" si="122"/>
        <v>India-2025-06</v>
      </c>
      <c r="L419" t="s">
        <v>654</v>
      </c>
      <c r="M419" t="s">
        <v>680</v>
      </c>
      <c r="N419" t="s">
        <v>703</v>
      </c>
      <c r="O419" t="s">
        <v>707</v>
      </c>
      <c r="P419" t="s">
        <v>720</v>
      </c>
      <c r="Q419" t="s">
        <v>733</v>
      </c>
      <c r="R419" t="s">
        <v>1150</v>
      </c>
      <c r="S419" s="5">
        <v>618.69000000000005</v>
      </c>
      <c r="T419" s="5">
        <v>796.15</v>
      </c>
      <c r="U419" s="5" t="str">
        <f t="shared" si="123"/>
        <v>Valid</v>
      </c>
      <c r="V419" s="5">
        <f t="shared" si="114"/>
        <v>796.15</v>
      </c>
      <c r="W419" s="5" t="str">
        <f t="shared" si="124"/>
        <v>Medium</v>
      </c>
      <c r="X419" s="5">
        <v>0.09</v>
      </c>
      <c r="Y419" s="5" t="str">
        <f t="shared" si="125"/>
        <v>Valid</v>
      </c>
      <c r="Z419" s="5">
        <f t="shared" si="126"/>
        <v>0.09</v>
      </c>
      <c r="AA419" s="5">
        <v>11</v>
      </c>
      <c r="AB419">
        <f t="shared" si="127"/>
        <v>7969.4615000000003</v>
      </c>
      <c r="AC419">
        <f t="shared" si="115"/>
        <v>6805.59</v>
      </c>
      <c r="AD419">
        <f t="shared" si="128"/>
        <v>1163.8715000000002</v>
      </c>
      <c r="AE419">
        <f t="shared" si="129"/>
        <v>0.14604142325049191</v>
      </c>
      <c r="AF419">
        <f t="shared" si="130"/>
        <v>0</v>
      </c>
      <c r="AG419">
        <f t="shared" si="131"/>
        <v>0</v>
      </c>
      <c r="AK419">
        <f>AA419*(1+What_if_Analysis!$B$4)</f>
        <v>13.2</v>
      </c>
      <c r="AL419" s="5">
        <f>MIN(Z419,What_if_Analysis!$B$2)</f>
        <v>0.05</v>
      </c>
      <c r="AM419">
        <f t="shared" si="132"/>
        <v>9983.7209999999977</v>
      </c>
      <c r="AN419">
        <f>AM419-(AK419*(T419*(1+What_if_Analysis!$B$3)))</f>
        <v>-1576.3770000000022</v>
      </c>
    </row>
    <row r="420" spans="1:40" x14ac:dyDescent="0.3">
      <c r="A420" t="s">
        <v>432</v>
      </c>
      <c r="B420" s="3">
        <v>45730</v>
      </c>
      <c r="C420" s="3" t="str">
        <f t="shared" si="116"/>
        <v>Mar-2025</v>
      </c>
      <c r="D420" s="3" t="str">
        <f t="shared" si="117"/>
        <v>Q1-2025</v>
      </c>
      <c r="E420" s="3">
        <v>45755</v>
      </c>
      <c r="F420" s="3" t="str">
        <f t="shared" si="118"/>
        <v>Valid</v>
      </c>
      <c r="G420" s="12">
        <f t="shared" si="119"/>
        <v>25</v>
      </c>
      <c r="H420" s="3">
        <f t="shared" si="120"/>
        <v>45755</v>
      </c>
      <c r="I420" t="s">
        <v>647</v>
      </c>
      <c r="J420" t="str">
        <f t="shared" si="121"/>
        <v>Asia → China → unknown</v>
      </c>
      <c r="K420" s="3" t="str">
        <f t="shared" si="122"/>
        <v>China-2025-03</v>
      </c>
      <c r="L420" t="s">
        <v>659</v>
      </c>
      <c r="M420" t="s">
        <v>1422</v>
      </c>
      <c r="N420" t="s">
        <v>701</v>
      </c>
      <c r="O420" t="s">
        <v>710</v>
      </c>
      <c r="P420" t="s">
        <v>726</v>
      </c>
      <c r="Q420" t="s">
        <v>728</v>
      </c>
      <c r="R420" t="s">
        <v>1151</v>
      </c>
      <c r="S420" s="5">
        <v>80.59</v>
      </c>
      <c r="T420" s="5">
        <v>157.82</v>
      </c>
      <c r="U420" s="5" t="str">
        <f t="shared" si="123"/>
        <v>Valid</v>
      </c>
      <c r="V420" s="5">
        <f t="shared" si="114"/>
        <v>157.82</v>
      </c>
      <c r="W420" s="5" t="str">
        <f t="shared" si="124"/>
        <v>Low</v>
      </c>
      <c r="X420" s="5">
        <v>0.217</v>
      </c>
      <c r="Y420" s="5" t="str">
        <f t="shared" si="125"/>
        <v>Valid</v>
      </c>
      <c r="Z420" s="5">
        <f t="shared" si="126"/>
        <v>0.217</v>
      </c>
      <c r="AA420" s="5">
        <v>6</v>
      </c>
      <c r="AB420">
        <f t="shared" si="127"/>
        <v>741.43835999999999</v>
      </c>
      <c r="AC420">
        <f t="shared" si="115"/>
        <v>483.54</v>
      </c>
      <c r="AD420">
        <f t="shared" si="128"/>
        <v>257.89835999999997</v>
      </c>
      <c r="AE420">
        <f t="shared" si="129"/>
        <v>0.34783519967863541</v>
      </c>
      <c r="AF420">
        <f t="shared" si="130"/>
        <v>0</v>
      </c>
      <c r="AG420">
        <f t="shared" si="131"/>
        <v>1</v>
      </c>
      <c r="AK420">
        <f>AA420*(1+What_if_Analysis!$B$4)</f>
        <v>7.1999999999999993</v>
      </c>
      <c r="AL420" s="5">
        <f>MIN(Z420,What_if_Analysis!$B$2)</f>
        <v>0.05</v>
      </c>
      <c r="AM420">
        <f t="shared" si="132"/>
        <v>1079.4887999999999</v>
      </c>
      <c r="AN420">
        <f>AM420-(AK420*(T420*(1+What_if_Analysis!$B$3)))</f>
        <v>-170.44560000000001</v>
      </c>
    </row>
    <row r="421" spans="1:40" x14ac:dyDescent="0.3">
      <c r="A421" t="s">
        <v>433</v>
      </c>
      <c r="B421" s="3">
        <v>45307</v>
      </c>
      <c r="C421" s="3" t="str">
        <f t="shared" si="116"/>
        <v>Jan-2024</v>
      </c>
      <c r="D421" s="3" t="str">
        <f t="shared" si="117"/>
        <v>Q1-2024</v>
      </c>
      <c r="E421" s="3">
        <v>45333</v>
      </c>
      <c r="F421" s="3" t="str">
        <f t="shared" si="118"/>
        <v>Valid</v>
      </c>
      <c r="G421" s="12">
        <f t="shared" si="119"/>
        <v>26</v>
      </c>
      <c r="H421" s="3">
        <f t="shared" si="120"/>
        <v>45333</v>
      </c>
      <c r="I421" t="s">
        <v>649</v>
      </c>
      <c r="J421" t="str">
        <f t="shared" si="121"/>
        <v>Europe → Germany → Frankfurt</v>
      </c>
      <c r="K421" s="3" t="str">
        <f t="shared" si="122"/>
        <v>Germany-2024-01</v>
      </c>
      <c r="L421" t="s">
        <v>656</v>
      </c>
      <c r="M421" t="s">
        <v>698</v>
      </c>
      <c r="N421" t="s">
        <v>703</v>
      </c>
      <c r="O421" t="s">
        <v>710</v>
      </c>
      <c r="P421" t="s">
        <v>718</v>
      </c>
      <c r="Q421" t="s">
        <v>732</v>
      </c>
      <c r="R421" t="s">
        <v>1152</v>
      </c>
      <c r="S421" s="5">
        <v>504.93</v>
      </c>
      <c r="T421" s="5">
        <v>819.06</v>
      </c>
      <c r="U421" s="5" t="str">
        <f t="shared" si="123"/>
        <v>Valid</v>
      </c>
      <c r="V421" s="5">
        <f t="shared" si="114"/>
        <v>819.06</v>
      </c>
      <c r="W421" s="5" t="str">
        <f t="shared" si="124"/>
        <v>Medium</v>
      </c>
      <c r="X421" s="5">
        <v>0.22600000000000001</v>
      </c>
      <c r="Y421" s="5" t="str">
        <f t="shared" si="125"/>
        <v>Valid</v>
      </c>
      <c r="Z421" s="5">
        <f t="shared" si="126"/>
        <v>0.22600000000000001</v>
      </c>
      <c r="AA421" s="5">
        <v>15</v>
      </c>
      <c r="AB421">
        <f t="shared" si="127"/>
        <v>9509.2865999999995</v>
      </c>
      <c r="AC421">
        <f t="shared" si="115"/>
        <v>7573.95</v>
      </c>
      <c r="AD421">
        <f t="shared" si="128"/>
        <v>1935.3365999999996</v>
      </c>
      <c r="AE421">
        <f t="shared" si="129"/>
        <v>0.20352069312959814</v>
      </c>
      <c r="AF421">
        <f t="shared" si="130"/>
        <v>0</v>
      </c>
      <c r="AG421">
        <f t="shared" si="131"/>
        <v>1</v>
      </c>
      <c r="AK421">
        <f>AA421*(1+What_if_Analysis!$B$4)</f>
        <v>18</v>
      </c>
      <c r="AL421" s="5">
        <f>MIN(Z421,What_if_Analysis!$B$2)</f>
        <v>0.05</v>
      </c>
      <c r="AM421">
        <f t="shared" si="132"/>
        <v>14005.925999999998</v>
      </c>
      <c r="AN421">
        <f>AM421-(AK421*(T421*(1+What_if_Analysis!$B$3)))</f>
        <v>-2211.4620000000032</v>
      </c>
    </row>
    <row r="422" spans="1:40" x14ac:dyDescent="0.3">
      <c r="A422" t="s">
        <v>434</v>
      </c>
      <c r="B422" s="3">
        <v>45211</v>
      </c>
      <c r="C422" s="3" t="str">
        <f t="shared" si="116"/>
        <v>Oct-2023</v>
      </c>
      <c r="D422" s="3" t="str">
        <f t="shared" si="117"/>
        <v>Q4-2023</v>
      </c>
      <c r="E422" s="3">
        <v>45228</v>
      </c>
      <c r="F422" s="3" t="str">
        <f t="shared" si="118"/>
        <v>Valid</v>
      </c>
      <c r="G422" s="12">
        <f t="shared" si="119"/>
        <v>17</v>
      </c>
      <c r="H422" s="3">
        <f t="shared" si="120"/>
        <v>45228</v>
      </c>
      <c r="I422" t="s">
        <v>647</v>
      </c>
      <c r="J422" t="str">
        <f t="shared" si="121"/>
        <v>Asia → Japan → Nagoya</v>
      </c>
      <c r="K422" s="3" t="str">
        <f t="shared" si="122"/>
        <v>Japan-2023-10</v>
      </c>
      <c r="L422" t="s">
        <v>652</v>
      </c>
      <c r="M422" t="s">
        <v>694</v>
      </c>
      <c r="N422" t="s">
        <v>703</v>
      </c>
      <c r="O422" t="s">
        <v>711</v>
      </c>
      <c r="P422" t="s">
        <v>722</v>
      </c>
      <c r="Q422" t="s">
        <v>730</v>
      </c>
      <c r="R422" t="s">
        <v>1153</v>
      </c>
      <c r="S422" s="5">
        <v>1102.19</v>
      </c>
      <c r="T422" s="5">
        <v>1711.16</v>
      </c>
      <c r="U422" s="5" t="str">
        <f t="shared" si="123"/>
        <v>Valid</v>
      </c>
      <c r="V422" s="5">
        <f t="shared" si="114"/>
        <v>1711.16</v>
      </c>
      <c r="W422" s="5" t="str">
        <f t="shared" si="124"/>
        <v>Medium</v>
      </c>
      <c r="X422" s="5">
        <v>0.151</v>
      </c>
      <c r="Y422" s="5" t="str">
        <f t="shared" si="125"/>
        <v>Valid</v>
      </c>
      <c r="Z422" s="5">
        <f t="shared" si="126"/>
        <v>0.151</v>
      </c>
      <c r="AA422" s="5">
        <v>10</v>
      </c>
      <c r="AB422">
        <f t="shared" si="127"/>
        <v>14527.748400000002</v>
      </c>
      <c r="AC422">
        <f t="shared" si="115"/>
        <v>11021.900000000001</v>
      </c>
      <c r="AD422">
        <f t="shared" si="128"/>
        <v>3505.8484000000008</v>
      </c>
      <c r="AE422">
        <f t="shared" si="129"/>
        <v>0.24132083675127525</v>
      </c>
      <c r="AF422">
        <f t="shared" si="130"/>
        <v>0</v>
      </c>
      <c r="AG422">
        <f t="shared" si="131"/>
        <v>0</v>
      </c>
      <c r="AK422">
        <f>AA422*(1+What_if_Analysis!$B$4)</f>
        <v>12</v>
      </c>
      <c r="AL422" s="5">
        <f>MIN(Z422,What_if_Analysis!$B$2)</f>
        <v>0.05</v>
      </c>
      <c r="AM422">
        <f t="shared" si="132"/>
        <v>19507.224000000002</v>
      </c>
      <c r="AN422">
        <f>AM422-(AK422*(T422*(1+What_if_Analysis!$B$3)))</f>
        <v>-3080.0880000000034</v>
      </c>
    </row>
    <row r="423" spans="1:40" x14ac:dyDescent="0.3">
      <c r="A423" t="s">
        <v>435</v>
      </c>
      <c r="B423" s="3">
        <v>45713</v>
      </c>
      <c r="C423" s="3" t="str">
        <f t="shared" si="116"/>
        <v>Feb-2025</v>
      </c>
      <c r="D423" s="3" t="str">
        <f t="shared" si="117"/>
        <v>Q1-2025</v>
      </c>
      <c r="E423" s="3">
        <v>45733</v>
      </c>
      <c r="F423" s="3" t="str">
        <f t="shared" si="118"/>
        <v>Valid</v>
      </c>
      <c r="G423" s="12">
        <f t="shared" si="119"/>
        <v>20</v>
      </c>
      <c r="H423" s="3">
        <f t="shared" si="120"/>
        <v>45733</v>
      </c>
      <c r="I423" t="s">
        <v>648</v>
      </c>
      <c r="J423" t="str">
        <f t="shared" si="121"/>
        <v>Americas → USA → San Francisco</v>
      </c>
      <c r="K423" s="3" t="str">
        <f t="shared" si="122"/>
        <v>USA-2025-02</v>
      </c>
      <c r="L423" t="s">
        <v>660</v>
      </c>
      <c r="M423" t="s">
        <v>686</v>
      </c>
      <c r="N423" t="s">
        <v>703</v>
      </c>
      <c r="O423" t="s">
        <v>709</v>
      </c>
      <c r="P423" t="s">
        <v>722</v>
      </c>
      <c r="Q423" t="s">
        <v>730</v>
      </c>
      <c r="R423" t="s">
        <v>1154</v>
      </c>
      <c r="S423" s="5">
        <v>1205.26</v>
      </c>
      <c r="T423" s="5">
        <v>1696.35</v>
      </c>
      <c r="U423" s="5" t="str">
        <f t="shared" si="123"/>
        <v>Valid</v>
      </c>
      <c r="V423" s="5">
        <f t="shared" si="114"/>
        <v>1696.35</v>
      </c>
      <c r="W423" s="5" t="str">
        <f t="shared" si="124"/>
        <v>Medium</v>
      </c>
      <c r="X423" s="5">
        <v>1.9E-2</v>
      </c>
      <c r="Y423" s="5" t="str">
        <f t="shared" si="125"/>
        <v>Valid</v>
      </c>
      <c r="Z423" s="5">
        <f t="shared" si="126"/>
        <v>1.9E-2</v>
      </c>
      <c r="AA423" s="5">
        <v>6</v>
      </c>
      <c r="AB423">
        <f t="shared" si="127"/>
        <v>9984.7160999999978</v>
      </c>
      <c r="AC423">
        <f t="shared" si="115"/>
        <v>7231.5599999999995</v>
      </c>
      <c r="AD423">
        <f t="shared" si="128"/>
        <v>2753.1560999999983</v>
      </c>
      <c r="AE423">
        <f t="shared" si="129"/>
        <v>0.27573704374028213</v>
      </c>
      <c r="AF423">
        <f t="shared" si="130"/>
        <v>0</v>
      </c>
      <c r="AG423">
        <f t="shared" si="131"/>
        <v>0</v>
      </c>
      <c r="AK423">
        <f>AA423*(1+What_if_Analysis!$B$4)</f>
        <v>7.1999999999999993</v>
      </c>
      <c r="AL423" s="5">
        <f>MIN(Z423,What_if_Analysis!$B$2)</f>
        <v>1.9E-2</v>
      </c>
      <c r="AM423">
        <f t="shared" si="132"/>
        <v>11981.659319999997</v>
      </c>
      <c r="AN423">
        <f>AM423-(AK423*(T423*(1+What_if_Analysis!$B$3)))</f>
        <v>-1453.4326800000017</v>
      </c>
    </row>
    <row r="424" spans="1:40" x14ac:dyDescent="0.3">
      <c r="A424" t="s">
        <v>436</v>
      </c>
      <c r="B424" s="3">
        <v>45841</v>
      </c>
      <c r="C424" s="3" t="str">
        <f t="shared" si="116"/>
        <v>Jul-2025</v>
      </c>
      <c r="D424" s="3" t="str">
        <f t="shared" si="117"/>
        <v>Q3-2025</v>
      </c>
      <c r="E424" s="3">
        <v>45844</v>
      </c>
      <c r="F424" s="3" t="str">
        <f t="shared" si="118"/>
        <v>Valid</v>
      </c>
      <c r="G424" s="12">
        <f t="shared" si="119"/>
        <v>3</v>
      </c>
      <c r="H424" s="3">
        <f t="shared" si="120"/>
        <v>45844</v>
      </c>
      <c r="I424" t="s">
        <v>646</v>
      </c>
      <c r="J424" t="str">
        <f t="shared" si="121"/>
        <v>Africa → Nigeria → Lagos</v>
      </c>
      <c r="K424" s="3" t="str">
        <f t="shared" si="122"/>
        <v>Nigeria-2025-07</v>
      </c>
      <c r="L424" t="s">
        <v>651</v>
      </c>
      <c r="M424" t="s">
        <v>665</v>
      </c>
      <c r="N424" t="s">
        <v>704</v>
      </c>
      <c r="O424" t="s">
        <v>708</v>
      </c>
      <c r="P424" t="s">
        <v>1423</v>
      </c>
      <c r="Q424" t="s">
        <v>731</v>
      </c>
      <c r="R424" t="s">
        <v>1155</v>
      </c>
      <c r="S424" s="5">
        <v>1313.3</v>
      </c>
      <c r="T424" s="5">
        <v>2884.34</v>
      </c>
      <c r="U424" s="5" t="str">
        <f t="shared" si="123"/>
        <v>Valid</v>
      </c>
      <c r="V424" s="5">
        <f t="shared" si="114"/>
        <v>2884.34</v>
      </c>
      <c r="W424" s="5" t="str">
        <f t="shared" si="124"/>
        <v>High</v>
      </c>
      <c r="X424" s="5">
        <v>0.157</v>
      </c>
      <c r="Y424" s="5" t="str">
        <f t="shared" si="125"/>
        <v>Valid</v>
      </c>
      <c r="Z424" s="5">
        <f t="shared" si="126"/>
        <v>0.157</v>
      </c>
      <c r="AA424" s="5">
        <v>42</v>
      </c>
      <c r="AB424">
        <f t="shared" si="127"/>
        <v>102122.94203999999</v>
      </c>
      <c r="AC424">
        <f t="shared" si="115"/>
        <v>55158.6</v>
      </c>
      <c r="AD424">
        <f t="shared" si="128"/>
        <v>46964.342039999996</v>
      </c>
      <c r="AE424">
        <f t="shared" si="129"/>
        <v>0.45988042551305253</v>
      </c>
      <c r="AF424">
        <f t="shared" si="130"/>
        <v>1</v>
      </c>
      <c r="AG424">
        <f t="shared" si="131"/>
        <v>0</v>
      </c>
      <c r="AK424">
        <f>AA424*(1+What_if_Analysis!$B$4)</f>
        <v>50.4</v>
      </c>
      <c r="AL424" s="5">
        <f>MIN(Z424,What_if_Analysis!$B$2)</f>
        <v>0.05</v>
      </c>
      <c r="AM424">
        <f t="shared" si="132"/>
        <v>138102.1992</v>
      </c>
      <c r="AN424">
        <f>AM424-(AK424*(T424*(1+What_if_Analysis!$B$3)))</f>
        <v>-21805.610400000005</v>
      </c>
    </row>
    <row r="425" spans="1:40" x14ac:dyDescent="0.3">
      <c r="A425" t="s">
        <v>437</v>
      </c>
      <c r="B425" s="3">
        <v>45915</v>
      </c>
      <c r="C425" s="3" t="str">
        <f t="shared" si="116"/>
        <v>Sept-2025</v>
      </c>
      <c r="D425" s="3" t="str">
        <f t="shared" si="117"/>
        <v>Q3-2025</v>
      </c>
      <c r="E425" s="3">
        <v>45925</v>
      </c>
      <c r="F425" s="3" t="str">
        <f t="shared" si="118"/>
        <v>Valid</v>
      </c>
      <c r="G425" s="12">
        <f t="shared" si="119"/>
        <v>10</v>
      </c>
      <c r="H425" s="3">
        <f t="shared" si="120"/>
        <v>45925</v>
      </c>
      <c r="I425" t="s">
        <v>647</v>
      </c>
      <c r="J425" t="str">
        <f t="shared" si="121"/>
        <v>Asia → India → Delhi</v>
      </c>
      <c r="K425" s="3" t="str">
        <f t="shared" si="122"/>
        <v>India-2025-09</v>
      </c>
      <c r="L425" t="s">
        <v>654</v>
      </c>
      <c r="M425" t="s">
        <v>680</v>
      </c>
      <c r="N425" t="s">
        <v>704</v>
      </c>
      <c r="O425" t="s">
        <v>707</v>
      </c>
      <c r="P425" t="s">
        <v>720</v>
      </c>
      <c r="Q425" t="s">
        <v>730</v>
      </c>
      <c r="R425" t="s">
        <v>1156</v>
      </c>
      <c r="S425" s="5">
        <v>1488.91</v>
      </c>
      <c r="T425" s="5">
        <v>1483.74</v>
      </c>
      <c r="U425" s="5" t="str">
        <f t="shared" si="123"/>
        <v>Valid</v>
      </c>
      <c r="V425" s="5">
        <f t="shared" si="114"/>
        <v>1483.74</v>
      </c>
      <c r="W425" s="5" t="str">
        <f t="shared" si="124"/>
        <v>Medium</v>
      </c>
      <c r="X425" s="5">
        <v>0.16800000000000001</v>
      </c>
      <c r="Y425" s="5" t="str">
        <f t="shared" si="125"/>
        <v>Valid</v>
      </c>
      <c r="Z425" s="5">
        <f t="shared" si="126"/>
        <v>0.16800000000000001</v>
      </c>
      <c r="AA425" s="5">
        <v>24</v>
      </c>
      <c r="AB425">
        <f t="shared" si="127"/>
        <v>29627.320319999999</v>
      </c>
      <c r="AC425">
        <f t="shared" si="115"/>
        <v>35733.840000000004</v>
      </c>
      <c r="AD425">
        <f t="shared" si="128"/>
        <v>-6106.5196800000049</v>
      </c>
      <c r="AE425">
        <f t="shared" si="129"/>
        <v>-0.20611110333450519</v>
      </c>
      <c r="AF425">
        <f t="shared" si="130"/>
        <v>0</v>
      </c>
      <c r="AG425">
        <f t="shared" si="131"/>
        <v>0</v>
      </c>
      <c r="AK425">
        <f>AA425*(1+What_if_Analysis!$B$4)</f>
        <v>28.799999999999997</v>
      </c>
      <c r="AL425" s="5">
        <f>MIN(Z425,What_if_Analysis!$B$2)</f>
        <v>0.05</v>
      </c>
      <c r="AM425">
        <f t="shared" si="132"/>
        <v>40595.126400000001</v>
      </c>
      <c r="AN425">
        <f>AM425-(AK425*(T425*(1+What_if_Analysis!$B$3)))</f>
        <v>-6409.7567999999956</v>
      </c>
    </row>
    <row r="426" spans="1:40" x14ac:dyDescent="0.3">
      <c r="A426" t="s">
        <v>438</v>
      </c>
      <c r="B426" s="3">
        <v>45341</v>
      </c>
      <c r="C426" s="3" t="str">
        <f t="shared" si="116"/>
        <v>Feb-2024</v>
      </c>
      <c r="D426" s="3" t="str">
        <f t="shared" si="117"/>
        <v>Q1-2024</v>
      </c>
      <c r="E426" s="3">
        <v>45357</v>
      </c>
      <c r="F426" s="3" t="str">
        <f t="shared" si="118"/>
        <v>Valid</v>
      </c>
      <c r="G426" s="12">
        <f t="shared" si="119"/>
        <v>16</v>
      </c>
      <c r="H426" s="3">
        <f t="shared" si="120"/>
        <v>45357</v>
      </c>
      <c r="I426" t="s">
        <v>647</v>
      </c>
      <c r="J426" t="str">
        <f t="shared" si="121"/>
        <v>Asia → China → Beijing</v>
      </c>
      <c r="K426" s="3" t="str">
        <f t="shared" si="122"/>
        <v>China-2024-02</v>
      </c>
      <c r="L426" t="s">
        <v>659</v>
      </c>
      <c r="M426" t="s">
        <v>699</v>
      </c>
      <c r="N426" t="s">
        <v>702</v>
      </c>
      <c r="O426" t="s">
        <v>709</v>
      </c>
      <c r="P426" t="s">
        <v>719</v>
      </c>
      <c r="Q426" t="s">
        <v>728</v>
      </c>
      <c r="R426" t="s">
        <v>1157</v>
      </c>
      <c r="S426" s="5">
        <v>1477.84</v>
      </c>
      <c r="T426" s="5">
        <v>3197.47</v>
      </c>
      <c r="U426" s="5" t="str">
        <f t="shared" si="123"/>
        <v>Valid</v>
      </c>
      <c r="V426" s="5">
        <f t="shared" si="114"/>
        <v>3197.47</v>
      </c>
      <c r="W426" s="5" t="str">
        <f t="shared" si="124"/>
        <v>High</v>
      </c>
      <c r="X426" s="5">
        <v>0.24299999999999999</v>
      </c>
      <c r="Y426" s="5" t="str">
        <f t="shared" si="125"/>
        <v>Valid</v>
      </c>
      <c r="Z426" s="5">
        <f t="shared" si="126"/>
        <v>0.24299999999999999</v>
      </c>
      <c r="AA426" s="5">
        <v>24</v>
      </c>
      <c r="AB426">
        <f t="shared" si="127"/>
        <v>58091.634960000003</v>
      </c>
      <c r="AC426">
        <f t="shared" si="115"/>
        <v>35468.159999999996</v>
      </c>
      <c r="AD426">
        <f t="shared" si="128"/>
        <v>22623.474960000007</v>
      </c>
      <c r="AE426">
        <f t="shared" si="129"/>
        <v>0.38944462443823091</v>
      </c>
      <c r="AF426">
        <f t="shared" si="130"/>
        <v>0</v>
      </c>
      <c r="AG426">
        <f t="shared" si="131"/>
        <v>1</v>
      </c>
      <c r="AK426">
        <f>AA426*(1+What_if_Analysis!$B$4)</f>
        <v>28.799999999999997</v>
      </c>
      <c r="AL426" s="5">
        <f>MIN(Z426,What_if_Analysis!$B$2)</f>
        <v>0.05</v>
      </c>
      <c r="AM426">
        <f t="shared" si="132"/>
        <v>87482.779199999975</v>
      </c>
      <c r="AN426">
        <f>AM426-(AK426*(T426*(1+What_if_Analysis!$B$3)))</f>
        <v>-13813.070400000011</v>
      </c>
    </row>
    <row r="427" spans="1:40" x14ac:dyDescent="0.3">
      <c r="A427" t="s">
        <v>439</v>
      </c>
      <c r="B427" s="3">
        <v>45349</v>
      </c>
      <c r="C427" s="3" t="str">
        <f t="shared" si="116"/>
        <v>Feb-2024</v>
      </c>
      <c r="D427" s="3" t="str">
        <f t="shared" si="117"/>
        <v>Q1-2024</v>
      </c>
      <c r="E427" s="3">
        <v>45377</v>
      </c>
      <c r="F427" s="3" t="str">
        <f t="shared" si="118"/>
        <v>Valid</v>
      </c>
      <c r="G427" s="12">
        <f t="shared" si="119"/>
        <v>28</v>
      </c>
      <c r="H427" s="3">
        <f t="shared" si="120"/>
        <v>45377</v>
      </c>
      <c r="I427" t="s">
        <v>647</v>
      </c>
      <c r="J427" t="str">
        <f t="shared" si="121"/>
        <v>Asia → India → Mumbai</v>
      </c>
      <c r="K427" s="3" t="str">
        <f t="shared" si="122"/>
        <v>India-2024-02</v>
      </c>
      <c r="L427" t="s">
        <v>654</v>
      </c>
      <c r="M427" t="s">
        <v>691</v>
      </c>
      <c r="N427" t="s">
        <v>702</v>
      </c>
      <c r="O427" t="s">
        <v>709</v>
      </c>
      <c r="P427" t="s">
        <v>715</v>
      </c>
      <c r="Q427" t="s">
        <v>731</v>
      </c>
      <c r="R427" t="s">
        <v>1158</v>
      </c>
      <c r="S427" s="5">
        <v>1035.19</v>
      </c>
      <c r="T427" s="5">
        <v>2322.6999999999998</v>
      </c>
      <c r="U427" s="5" t="str">
        <f t="shared" si="123"/>
        <v>Valid</v>
      </c>
      <c r="V427" s="5">
        <f t="shared" si="114"/>
        <v>2322.6999999999998</v>
      </c>
      <c r="W427" s="5" t="str">
        <f t="shared" si="124"/>
        <v>High</v>
      </c>
      <c r="X427" s="5">
        <v>0.17299999999999999</v>
      </c>
      <c r="Y427" s="5" t="str">
        <f t="shared" si="125"/>
        <v>Valid</v>
      </c>
      <c r="Z427" s="5">
        <f t="shared" si="126"/>
        <v>0.17299999999999999</v>
      </c>
      <c r="AA427" s="5">
        <v>8</v>
      </c>
      <c r="AB427">
        <f t="shared" si="127"/>
        <v>15366.983199999999</v>
      </c>
      <c r="AC427">
        <f t="shared" si="115"/>
        <v>8281.52</v>
      </c>
      <c r="AD427">
        <f t="shared" si="128"/>
        <v>7085.4631999999983</v>
      </c>
      <c r="AE427">
        <f t="shared" si="129"/>
        <v>0.46108355217047409</v>
      </c>
      <c r="AF427">
        <f t="shared" si="130"/>
        <v>0</v>
      </c>
      <c r="AG427">
        <f t="shared" si="131"/>
        <v>0</v>
      </c>
      <c r="AK427">
        <f>AA427*(1+What_if_Analysis!$B$4)</f>
        <v>9.6</v>
      </c>
      <c r="AL427" s="5">
        <f>MIN(Z427,What_if_Analysis!$B$2)</f>
        <v>0.05</v>
      </c>
      <c r="AM427">
        <f t="shared" si="132"/>
        <v>21183.023999999998</v>
      </c>
      <c r="AN427">
        <f>AM427-(AK427*(T427*(1+What_if_Analysis!$B$3)))</f>
        <v>-3344.6879999999983</v>
      </c>
    </row>
    <row r="428" spans="1:40" x14ac:dyDescent="0.3">
      <c r="A428" t="s">
        <v>440</v>
      </c>
      <c r="B428" s="3">
        <v>45897</v>
      </c>
      <c r="C428" s="3" t="str">
        <f t="shared" si="116"/>
        <v>Aug-2025</v>
      </c>
      <c r="D428" s="3" t="str">
        <f t="shared" si="117"/>
        <v>Q3-2025</v>
      </c>
      <c r="E428" s="3">
        <v>45905</v>
      </c>
      <c r="F428" s="3" t="str">
        <f t="shared" si="118"/>
        <v>Valid</v>
      </c>
      <c r="G428" s="12">
        <f t="shared" si="119"/>
        <v>8</v>
      </c>
      <c r="H428" s="3">
        <f t="shared" si="120"/>
        <v>45905</v>
      </c>
      <c r="I428" t="s">
        <v>646</v>
      </c>
      <c r="J428" t="str">
        <f t="shared" si="121"/>
        <v>Africa → Nigeria → Port Harcourt</v>
      </c>
      <c r="K428" s="3" t="str">
        <f t="shared" si="122"/>
        <v>Nigeria-2025-08</v>
      </c>
      <c r="L428" t="s">
        <v>651</v>
      </c>
      <c r="M428" t="s">
        <v>663</v>
      </c>
      <c r="N428" t="s">
        <v>705</v>
      </c>
      <c r="O428" t="s">
        <v>709</v>
      </c>
      <c r="P428" t="s">
        <v>718</v>
      </c>
      <c r="Q428" t="s">
        <v>731</v>
      </c>
      <c r="R428" t="s">
        <v>1159</v>
      </c>
      <c r="S428" s="5">
        <v>1271.0999999999999</v>
      </c>
      <c r="T428" s="5">
        <v>1932.42</v>
      </c>
      <c r="U428" s="5" t="str">
        <f t="shared" si="123"/>
        <v>Valid</v>
      </c>
      <c r="V428" s="5">
        <f t="shared" si="114"/>
        <v>1932.42</v>
      </c>
      <c r="W428" s="5" t="str">
        <f t="shared" si="124"/>
        <v>High</v>
      </c>
      <c r="X428" s="5">
        <v>0.25</v>
      </c>
      <c r="Y428" s="5" t="str">
        <f t="shared" si="125"/>
        <v>Valid</v>
      </c>
      <c r="Z428" s="5">
        <f t="shared" si="126"/>
        <v>0.25</v>
      </c>
      <c r="AA428" s="5">
        <v>21</v>
      </c>
      <c r="AB428">
        <f t="shared" si="127"/>
        <v>30435.614999999998</v>
      </c>
      <c r="AC428">
        <f t="shared" si="115"/>
        <v>26693.1</v>
      </c>
      <c r="AD428">
        <f t="shared" si="128"/>
        <v>3742.5149999999994</v>
      </c>
      <c r="AE428">
        <f t="shared" si="129"/>
        <v>0.12296498690760807</v>
      </c>
      <c r="AF428">
        <f t="shared" si="130"/>
        <v>0</v>
      </c>
      <c r="AG428">
        <f t="shared" si="131"/>
        <v>1</v>
      </c>
      <c r="AK428">
        <f>AA428*(1+What_if_Analysis!$B$4)</f>
        <v>25.2</v>
      </c>
      <c r="AL428" s="5">
        <f>MIN(Z428,What_if_Analysis!$B$2)</f>
        <v>0.05</v>
      </c>
      <c r="AM428">
        <f t="shared" si="132"/>
        <v>46262.1348</v>
      </c>
      <c r="AN428">
        <f>AM428-(AK428*(T428*(1+What_if_Analysis!$B$3)))</f>
        <v>-7304.5476000000053</v>
      </c>
    </row>
    <row r="429" spans="1:40" x14ac:dyDescent="0.3">
      <c r="A429" t="s">
        <v>441</v>
      </c>
      <c r="B429" s="3">
        <v>45522</v>
      </c>
      <c r="C429" s="3" t="str">
        <f t="shared" si="116"/>
        <v>Aug-2024</v>
      </c>
      <c r="D429" s="3" t="str">
        <f t="shared" si="117"/>
        <v>Q3-2024</v>
      </c>
      <c r="E429" s="3">
        <v>45547</v>
      </c>
      <c r="F429" s="3" t="str">
        <f t="shared" si="118"/>
        <v>Valid</v>
      </c>
      <c r="G429" s="12">
        <f t="shared" si="119"/>
        <v>25</v>
      </c>
      <c r="H429" s="3">
        <f t="shared" si="120"/>
        <v>45547</v>
      </c>
      <c r="I429" t="s">
        <v>647</v>
      </c>
      <c r="J429" t="str">
        <f t="shared" si="121"/>
        <v>Asia → India → Mumbai</v>
      </c>
      <c r="K429" s="3" t="str">
        <f t="shared" si="122"/>
        <v>India-2024-08</v>
      </c>
      <c r="L429" t="s">
        <v>654</v>
      </c>
      <c r="M429" t="s">
        <v>691</v>
      </c>
      <c r="N429" t="s">
        <v>704</v>
      </c>
      <c r="O429" t="s">
        <v>709</v>
      </c>
      <c r="P429" t="s">
        <v>712</v>
      </c>
      <c r="Q429" t="s">
        <v>730</v>
      </c>
      <c r="R429" t="s">
        <v>1160</v>
      </c>
      <c r="S429" s="5">
        <v>1154.03</v>
      </c>
      <c r="T429" s="5">
        <v>1590.36</v>
      </c>
      <c r="U429" s="5" t="str">
        <f t="shared" si="123"/>
        <v>Valid</v>
      </c>
      <c r="V429" s="5">
        <f t="shared" si="114"/>
        <v>1590.36</v>
      </c>
      <c r="W429" s="5" t="str">
        <f t="shared" si="124"/>
        <v>Medium</v>
      </c>
      <c r="X429" s="5">
        <v>0.314</v>
      </c>
      <c r="Y429" s="5" t="str">
        <f t="shared" si="125"/>
        <v>High Discount</v>
      </c>
      <c r="Z429" s="5">
        <f t="shared" si="126"/>
        <v>0.3</v>
      </c>
      <c r="AA429" s="5">
        <v>18</v>
      </c>
      <c r="AB429">
        <f t="shared" si="127"/>
        <v>20038.536</v>
      </c>
      <c r="AC429">
        <f t="shared" si="115"/>
        <v>20772.54</v>
      </c>
      <c r="AD429">
        <f t="shared" si="128"/>
        <v>-734.00400000000081</v>
      </c>
      <c r="AE429">
        <f t="shared" si="129"/>
        <v>-3.6629622044245191E-2</v>
      </c>
      <c r="AF429">
        <f t="shared" si="130"/>
        <v>0</v>
      </c>
      <c r="AG429">
        <f t="shared" si="131"/>
        <v>1</v>
      </c>
      <c r="AK429">
        <f>AA429*(1+What_if_Analysis!$B$4)</f>
        <v>21.599999999999998</v>
      </c>
      <c r="AL429" s="5">
        <f>MIN(Z429,What_if_Analysis!$B$2)</f>
        <v>0.05</v>
      </c>
      <c r="AM429">
        <f t="shared" si="132"/>
        <v>32634.187199999997</v>
      </c>
      <c r="AN429">
        <f>AM429-(AK429*(T429*(1+What_if_Analysis!$B$3)))</f>
        <v>-5152.7663999999968</v>
      </c>
    </row>
    <row r="430" spans="1:40" x14ac:dyDescent="0.3">
      <c r="A430" t="s">
        <v>442</v>
      </c>
      <c r="B430" s="3">
        <v>45347</v>
      </c>
      <c r="C430" s="3" t="str">
        <f t="shared" si="116"/>
        <v>Feb-2024</v>
      </c>
      <c r="D430" s="3" t="str">
        <f t="shared" si="117"/>
        <v>Q1-2024</v>
      </c>
      <c r="E430" s="3">
        <v>45360</v>
      </c>
      <c r="F430" s="3" t="str">
        <f t="shared" si="118"/>
        <v>Valid</v>
      </c>
      <c r="G430" s="12">
        <f t="shared" si="119"/>
        <v>13</v>
      </c>
      <c r="H430" s="3">
        <f t="shared" si="120"/>
        <v>45360</v>
      </c>
      <c r="I430" t="s">
        <v>649</v>
      </c>
      <c r="J430" t="str">
        <f t="shared" si="121"/>
        <v>Europe → France → Marseille</v>
      </c>
      <c r="K430" s="3" t="str">
        <f t="shared" si="122"/>
        <v>France-2024-02</v>
      </c>
      <c r="L430" t="s">
        <v>657</v>
      </c>
      <c r="M430" t="s">
        <v>673</v>
      </c>
      <c r="N430" t="s">
        <v>705</v>
      </c>
      <c r="O430" t="s">
        <v>710</v>
      </c>
      <c r="P430" t="s">
        <v>718</v>
      </c>
      <c r="Q430" t="s">
        <v>732</v>
      </c>
      <c r="R430" t="s">
        <v>1161</v>
      </c>
      <c r="S430" s="5">
        <v>322.44</v>
      </c>
      <c r="T430" s="5">
        <v>395.61</v>
      </c>
      <c r="U430" s="5" t="str">
        <f t="shared" si="123"/>
        <v>Valid</v>
      </c>
      <c r="V430" s="5">
        <f t="shared" si="114"/>
        <v>395.61</v>
      </c>
      <c r="W430" s="5" t="str">
        <f t="shared" si="124"/>
        <v>Low</v>
      </c>
      <c r="X430" s="5">
        <v>0</v>
      </c>
      <c r="Y430" s="5" t="str">
        <f t="shared" si="125"/>
        <v>Valid</v>
      </c>
      <c r="Z430" s="5">
        <f t="shared" si="126"/>
        <v>0</v>
      </c>
      <c r="AA430" s="5">
        <v>34</v>
      </c>
      <c r="AB430">
        <f t="shared" si="127"/>
        <v>13450.74</v>
      </c>
      <c r="AC430">
        <f t="shared" si="115"/>
        <v>10962.96</v>
      </c>
      <c r="AD430">
        <f t="shared" si="128"/>
        <v>2487.7800000000007</v>
      </c>
      <c r="AE430">
        <f t="shared" si="129"/>
        <v>0.18495487980586947</v>
      </c>
      <c r="AF430">
        <f t="shared" si="130"/>
        <v>0</v>
      </c>
      <c r="AG430">
        <f t="shared" si="131"/>
        <v>0</v>
      </c>
      <c r="AK430">
        <f>AA430*(1+What_if_Analysis!$B$4)</f>
        <v>40.799999999999997</v>
      </c>
      <c r="AL430" s="5">
        <f>MIN(Z430,What_if_Analysis!$B$2)</f>
        <v>0</v>
      </c>
      <c r="AM430">
        <f t="shared" si="132"/>
        <v>16140.887999999999</v>
      </c>
      <c r="AN430">
        <f>AM430-(AK430*(T430*(1+What_if_Analysis!$B$3)))</f>
        <v>-1614.0888000000014</v>
      </c>
    </row>
    <row r="431" spans="1:40" x14ac:dyDescent="0.3">
      <c r="A431" t="s">
        <v>443</v>
      </c>
      <c r="B431" s="3">
        <v>45784</v>
      </c>
      <c r="C431" s="3" t="str">
        <f t="shared" si="116"/>
        <v>May-2025</v>
      </c>
      <c r="D431" s="3" t="str">
        <f t="shared" si="117"/>
        <v>Q2-2025</v>
      </c>
      <c r="E431" s="3">
        <v>45790</v>
      </c>
      <c r="F431" s="3" t="str">
        <f t="shared" si="118"/>
        <v>Valid</v>
      </c>
      <c r="G431" s="12">
        <f t="shared" si="119"/>
        <v>6</v>
      </c>
      <c r="H431" s="3">
        <f t="shared" si="120"/>
        <v>45790</v>
      </c>
      <c r="I431" t="s">
        <v>647</v>
      </c>
      <c r="J431" t="str">
        <f t="shared" si="121"/>
        <v>Asia → India → Bengaluru</v>
      </c>
      <c r="K431" s="3" t="str">
        <f t="shared" si="122"/>
        <v>India-2025-05</v>
      </c>
      <c r="L431" t="s">
        <v>654</v>
      </c>
      <c r="M431" t="s">
        <v>668</v>
      </c>
      <c r="N431" t="s">
        <v>706</v>
      </c>
      <c r="O431" t="s">
        <v>711</v>
      </c>
      <c r="P431" t="s">
        <v>713</v>
      </c>
      <c r="Q431" t="s">
        <v>730</v>
      </c>
      <c r="R431" t="s">
        <v>1162</v>
      </c>
      <c r="S431" s="5">
        <v>935.98</v>
      </c>
      <c r="T431" s="5">
        <v>2077.69</v>
      </c>
      <c r="U431" s="5" t="str">
        <f t="shared" si="123"/>
        <v>Valid</v>
      </c>
      <c r="V431" s="5">
        <f t="shared" si="114"/>
        <v>2077.69</v>
      </c>
      <c r="W431" s="5" t="str">
        <f t="shared" si="124"/>
        <v>High</v>
      </c>
      <c r="X431" s="5">
        <v>0.17499999999999999</v>
      </c>
      <c r="Y431" s="5" t="str">
        <f t="shared" si="125"/>
        <v>Valid</v>
      </c>
      <c r="Z431" s="5">
        <f t="shared" si="126"/>
        <v>0.17499999999999999</v>
      </c>
      <c r="AA431" s="5">
        <v>24</v>
      </c>
      <c r="AB431">
        <f t="shared" si="127"/>
        <v>41138.261999999995</v>
      </c>
      <c r="AC431">
        <f t="shared" si="115"/>
        <v>22463.52</v>
      </c>
      <c r="AD431">
        <f t="shared" si="128"/>
        <v>18674.741999999995</v>
      </c>
      <c r="AE431">
        <f t="shared" si="129"/>
        <v>0.45395067978321491</v>
      </c>
      <c r="AF431">
        <f t="shared" si="130"/>
        <v>1</v>
      </c>
      <c r="AG431">
        <f t="shared" si="131"/>
        <v>0</v>
      </c>
      <c r="AK431">
        <f>AA431*(1+What_if_Analysis!$B$4)</f>
        <v>28.799999999999997</v>
      </c>
      <c r="AL431" s="5">
        <f>MIN(Z431,What_if_Analysis!$B$2)</f>
        <v>0.05</v>
      </c>
      <c r="AM431">
        <f t="shared" si="132"/>
        <v>56845.598399999995</v>
      </c>
      <c r="AN431">
        <f>AM431-(AK431*(T431*(1+What_if_Analysis!$B$3)))</f>
        <v>-8975.6208000000115</v>
      </c>
    </row>
    <row r="432" spans="1:40" x14ac:dyDescent="0.3">
      <c r="A432" t="s">
        <v>444</v>
      </c>
      <c r="B432" s="3">
        <v>45597</v>
      </c>
      <c r="C432" s="3" t="str">
        <f t="shared" si="116"/>
        <v>Nov-2024</v>
      </c>
      <c r="D432" s="3" t="str">
        <f t="shared" si="117"/>
        <v>Q4-2024</v>
      </c>
      <c r="E432" s="3">
        <v>45608</v>
      </c>
      <c r="F432" s="3" t="str">
        <f t="shared" si="118"/>
        <v>Valid</v>
      </c>
      <c r="G432" s="12">
        <f t="shared" si="119"/>
        <v>11</v>
      </c>
      <c r="H432" s="3">
        <f t="shared" si="120"/>
        <v>45608</v>
      </c>
      <c r="I432" t="s">
        <v>649</v>
      </c>
      <c r="J432" t="str">
        <f t="shared" si="121"/>
        <v>Europe → Germany → Frankfurt</v>
      </c>
      <c r="K432" s="3" t="str">
        <f t="shared" si="122"/>
        <v>Germany-2024-11</v>
      </c>
      <c r="L432" t="s">
        <v>656</v>
      </c>
      <c r="M432" t="s">
        <v>698</v>
      </c>
      <c r="N432" t="s">
        <v>704</v>
      </c>
      <c r="O432" t="s">
        <v>708</v>
      </c>
      <c r="P432" t="s">
        <v>717</v>
      </c>
      <c r="Q432" t="s">
        <v>728</v>
      </c>
      <c r="R432" t="s">
        <v>1163</v>
      </c>
      <c r="S432" s="5">
        <v>599.84</v>
      </c>
      <c r="T432" s="5">
        <v>1330.85</v>
      </c>
      <c r="U432" s="5" t="str">
        <f t="shared" si="123"/>
        <v>Valid</v>
      </c>
      <c r="V432" s="5">
        <f t="shared" si="114"/>
        <v>1330.85</v>
      </c>
      <c r="W432" s="5" t="str">
        <f t="shared" si="124"/>
        <v>Medium</v>
      </c>
      <c r="X432" s="5">
        <v>0.115</v>
      </c>
      <c r="Y432" s="5" t="str">
        <f t="shared" si="125"/>
        <v>Valid</v>
      </c>
      <c r="Z432" s="5">
        <f t="shared" si="126"/>
        <v>0.115</v>
      </c>
      <c r="AA432" s="5">
        <v>11</v>
      </c>
      <c r="AB432">
        <f t="shared" si="127"/>
        <v>12955.824749999998</v>
      </c>
      <c r="AC432">
        <f t="shared" si="115"/>
        <v>6598.2400000000007</v>
      </c>
      <c r="AD432">
        <f t="shared" si="128"/>
        <v>6357.5847499999973</v>
      </c>
      <c r="AE432">
        <f t="shared" si="129"/>
        <v>0.49071246892252063</v>
      </c>
      <c r="AF432">
        <f t="shared" si="130"/>
        <v>0</v>
      </c>
      <c r="AG432">
        <f t="shared" si="131"/>
        <v>0</v>
      </c>
      <c r="AK432">
        <f>AA432*(1+What_if_Analysis!$B$4)</f>
        <v>13.2</v>
      </c>
      <c r="AL432" s="5">
        <f>MIN(Z432,What_if_Analysis!$B$2)</f>
        <v>0.05</v>
      </c>
      <c r="AM432">
        <f t="shared" si="132"/>
        <v>16688.858999999997</v>
      </c>
      <c r="AN432">
        <f>AM432-(AK432*(T432*(1+What_if_Analysis!$B$3)))</f>
        <v>-2635.0830000000024</v>
      </c>
    </row>
    <row r="433" spans="1:40" x14ac:dyDescent="0.3">
      <c r="A433" t="s">
        <v>445</v>
      </c>
      <c r="B433" s="3">
        <v>45654</v>
      </c>
      <c r="C433" s="3" t="str">
        <f t="shared" si="116"/>
        <v>Dec-2024</v>
      </c>
      <c r="D433" s="3" t="str">
        <f t="shared" si="117"/>
        <v>Q4-2024</v>
      </c>
      <c r="E433" s="3">
        <v>45665</v>
      </c>
      <c r="F433" s="3" t="str">
        <f t="shared" si="118"/>
        <v>Valid</v>
      </c>
      <c r="G433" s="12">
        <f t="shared" si="119"/>
        <v>11</v>
      </c>
      <c r="H433" s="3">
        <f t="shared" si="120"/>
        <v>45665</v>
      </c>
      <c r="I433" t="s">
        <v>647</v>
      </c>
      <c r="J433" t="str">
        <f t="shared" si="121"/>
        <v>Asia → China → Shenzhen</v>
      </c>
      <c r="K433" s="3" t="str">
        <f t="shared" si="122"/>
        <v>China-2024-12</v>
      </c>
      <c r="L433" t="s">
        <v>659</v>
      </c>
      <c r="M433" t="s">
        <v>676</v>
      </c>
      <c r="N433" t="s">
        <v>706</v>
      </c>
      <c r="O433" t="s">
        <v>708</v>
      </c>
      <c r="P433" t="s">
        <v>723</v>
      </c>
      <c r="Q433" t="s">
        <v>731</v>
      </c>
      <c r="R433" t="s">
        <v>1164</v>
      </c>
      <c r="S433" s="5">
        <v>1201.31</v>
      </c>
      <c r="T433" s="5">
        <v>2764.65</v>
      </c>
      <c r="U433" s="5" t="str">
        <f t="shared" si="123"/>
        <v>Valid</v>
      </c>
      <c r="V433" s="5">
        <f t="shared" si="114"/>
        <v>2764.65</v>
      </c>
      <c r="W433" s="5" t="str">
        <f t="shared" si="124"/>
        <v>High</v>
      </c>
      <c r="X433" s="5">
        <v>0</v>
      </c>
      <c r="Y433" s="5" t="str">
        <f t="shared" si="125"/>
        <v>Valid</v>
      </c>
      <c r="Z433" s="5">
        <f t="shared" si="126"/>
        <v>0</v>
      </c>
      <c r="AA433" s="5">
        <v>21</v>
      </c>
      <c r="AB433">
        <f t="shared" si="127"/>
        <v>58057.65</v>
      </c>
      <c r="AC433">
        <f t="shared" si="115"/>
        <v>25227.51</v>
      </c>
      <c r="AD433">
        <f t="shared" si="128"/>
        <v>32830.14</v>
      </c>
      <c r="AE433">
        <f t="shared" si="129"/>
        <v>0.56547483406579491</v>
      </c>
      <c r="AF433">
        <f t="shared" si="130"/>
        <v>0</v>
      </c>
      <c r="AG433">
        <f t="shared" si="131"/>
        <v>0</v>
      </c>
      <c r="AK433">
        <f>AA433*(1+What_if_Analysis!$B$4)</f>
        <v>25.2</v>
      </c>
      <c r="AL433" s="5">
        <f>MIN(Z433,What_if_Analysis!$B$2)</f>
        <v>0</v>
      </c>
      <c r="AM433">
        <f t="shared" si="132"/>
        <v>69669.180000000008</v>
      </c>
      <c r="AN433">
        <f>AM433-(AK433*(T433*(1+What_if_Analysis!$B$3)))</f>
        <v>-6966.9179999999906</v>
      </c>
    </row>
    <row r="434" spans="1:40" x14ac:dyDescent="0.3">
      <c r="A434" t="s">
        <v>446</v>
      </c>
      <c r="B434" s="3">
        <v>45220</v>
      </c>
      <c r="C434" s="3" t="str">
        <f t="shared" si="116"/>
        <v>Oct-2023</v>
      </c>
      <c r="D434" s="3" t="str">
        <f t="shared" si="117"/>
        <v>Q4-2023</v>
      </c>
      <c r="E434" s="3">
        <v>45220</v>
      </c>
      <c r="F434" s="3" t="str">
        <f t="shared" si="118"/>
        <v>Valid</v>
      </c>
      <c r="G434" s="12">
        <f t="shared" si="119"/>
        <v>0</v>
      </c>
      <c r="H434" s="3">
        <f t="shared" si="120"/>
        <v>45220</v>
      </c>
      <c r="I434" t="s">
        <v>649</v>
      </c>
      <c r="J434" t="str">
        <f t="shared" si="121"/>
        <v>Europe → United Kingdom → Manchester</v>
      </c>
      <c r="K434" s="3" t="str">
        <f t="shared" si="122"/>
        <v>United Kingdom-2023-10</v>
      </c>
      <c r="L434" t="s">
        <v>658</v>
      </c>
      <c r="M434" t="s">
        <v>693</v>
      </c>
      <c r="N434" t="s">
        <v>706</v>
      </c>
      <c r="O434" t="s">
        <v>710</v>
      </c>
      <c r="P434" t="s">
        <v>713</v>
      </c>
      <c r="Q434" t="s">
        <v>732</v>
      </c>
      <c r="R434" t="s">
        <v>1165</v>
      </c>
      <c r="S434" s="5">
        <v>384.19</v>
      </c>
      <c r="T434" s="5">
        <v>278.35000000000002</v>
      </c>
      <c r="U434" s="5" t="str">
        <f t="shared" si="123"/>
        <v>Valid</v>
      </c>
      <c r="V434" s="5">
        <f t="shared" si="114"/>
        <v>278.35000000000002</v>
      </c>
      <c r="W434" s="5" t="str">
        <f t="shared" si="124"/>
        <v>Low</v>
      </c>
      <c r="X434" s="5">
        <v>5.6000000000000001E-2</v>
      </c>
      <c r="Y434" s="5" t="str">
        <f t="shared" si="125"/>
        <v>Valid</v>
      </c>
      <c r="Z434" s="5">
        <f t="shared" si="126"/>
        <v>5.6000000000000001E-2</v>
      </c>
      <c r="AA434" s="5">
        <v>10</v>
      </c>
      <c r="AB434">
        <f t="shared" si="127"/>
        <v>2627.6239999999998</v>
      </c>
      <c r="AC434">
        <f t="shared" si="115"/>
        <v>3841.9</v>
      </c>
      <c r="AD434">
        <f t="shared" si="128"/>
        <v>-1214.2760000000003</v>
      </c>
      <c r="AE434">
        <f t="shared" si="129"/>
        <v>-0.46211938998882657</v>
      </c>
      <c r="AF434">
        <f t="shared" si="130"/>
        <v>1</v>
      </c>
      <c r="AG434">
        <f t="shared" si="131"/>
        <v>0</v>
      </c>
      <c r="AK434">
        <f>AA434*(1+What_if_Analysis!$B$4)</f>
        <v>12</v>
      </c>
      <c r="AL434" s="5">
        <f>MIN(Z434,What_if_Analysis!$B$2)</f>
        <v>0.05</v>
      </c>
      <c r="AM434">
        <f t="shared" si="132"/>
        <v>3173.19</v>
      </c>
      <c r="AN434">
        <f>AM434-(AK434*(T434*(1+What_if_Analysis!$B$3)))</f>
        <v>-501.03000000000065</v>
      </c>
    </row>
    <row r="435" spans="1:40" x14ac:dyDescent="0.3">
      <c r="A435" t="s">
        <v>447</v>
      </c>
      <c r="B435" s="3">
        <v>45636</v>
      </c>
      <c r="C435" s="3" t="str">
        <f t="shared" si="116"/>
        <v>Dec-2024</v>
      </c>
      <c r="D435" s="3" t="str">
        <f t="shared" si="117"/>
        <v>Q4-2024</v>
      </c>
      <c r="E435" s="3">
        <v>45645</v>
      </c>
      <c r="F435" s="3" t="str">
        <f t="shared" si="118"/>
        <v>Valid</v>
      </c>
      <c r="G435" s="12">
        <f t="shared" si="119"/>
        <v>9</v>
      </c>
      <c r="H435" s="3">
        <f t="shared" si="120"/>
        <v>45645</v>
      </c>
      <c r="I435" t="s">
        <v>646</v>
      </c>
      <c r="J435" t="str">
        <f t="shared" si="121"/>
        <v>Africa → Nigeria → Lagos</v>
      </c>
      <c r="K435" s="3" t="str">
        <f t="shared" si="122"/>
        <v>Nigeria-2024-12</v>
      </c>
      <c r="L435" t="s">
        <v>651</v>
      </c>
      <c r="M435" t="s">
        <v>665</v>
      </c>
      <c r="N435" t="s">
        <v>701</v>
      </c>
      <c r="O435" t="s">
        <v>707</v>
      </c>
      <c r="P435" t="s">
        <v>719</v>
      </c>
      <c r="Q435" t="s">
        <v>732</v>
      </c>
      <c r="R435" t="s">
        <v>1166</v>
      </c>
      <c r="S435" s="5">
        <v>488.68</v>
      </c>
      <c r="T435" s="5">
        <v>984.36</v>
      </c>
      <c r="U435" s="5" t="str">
        <f t="shared" si="123"/>
        <v>Valid</v>
      </c>
      <c r="V435" s="5">
        <f t="shared" si="114"/>
        <v>984.36</v>
      </c>
      <c r="W435" s="5" t="str">
        <f t="shared" si="124"/>
        <v>Medium</v>
      </c>
      <c r="X435" s="5">
        <v>5.8999999999999997E-2</v>
      </c>
      <c r="Y435" s="5" t="str">
        <f t="shared" si="125"/>
        <v>Valid</v>
      </c>
      <c r="Z435" s="5">
        <f t="shared" si="126"/>
        <v>5.8999999999999997E-2</v>
      </c>
      <c r="AA435" s="5">
        <v>14</v>
      </c>
      <c r="AB435">
        <f t="shared" si="127"/>
        <v>12967.958640000001</v>
      </c>
      <c r="AC435">
        <f t="shared" si="115"/>
        <v>6841.52</v>
      </c>
      <c r="AD435">
        <f t="shared" si="128"/>
        <v>6126.4386400000003</v>
      </c>
      <c r="AE435">
        <f t="shared" si="129"/>
        <v>0.47242891576649876</v>
      </c>
      <c r="AF435">
        <f t="shared" si="130"/>
        <v>0</v>
      </c>
      <c r="AG435">
        <f t="shared" si="131"/>
        <v>0</v>
      </c>
      <c r="AK435">
        <f>AA435*(1+What_if_Analysis!$B$4)</f>
        <v>16.8</v>
      </c>
      <c r="AL435" s="5">
        <f>MIN(Z435,What_if_Analysis!$B$2)</f>
        <v>0.05</v>
      </c>
      <c r="AM435">
        <f t="shared" si="132"/>
        <v>15710.3856</v>
      </c>
      <c r="AN435">
        <f>AM435-(AK435*(T435*(1+What_if_Analysis!$B$3)))</f>
        <v>-2480.5872000000036</v>
      </c>
    </row>
    <row r="436" spans="1:40" x14ac:dyDescent="0.3">
      <c r="A436" t="s">
        <v>448</v>
      </c>
      <c r="B436" s="3">
        <v>45542</v>
      </c>
      <c r="C436" s="3" t="str">
        <f t="shared" si="116"/>
        <v>Sept-2024</v>
      </c>
      <c r="D436" s="3" t="str">
        <f t="shared" si="117"/>
        <v>Q3-2024</v>
      </c>
      <c r="E436" s="3">
        <v>45553</v>
      </c>
      <c r="F436" s="3" t="str">
        <f t="shared" si="118"/>
        <v>Valid</v>
      </c>
      <c r="G436" s="12">
        <f t="shared" si="119"/>
        <v>11</v>
      </c>
      <c r="H436" s="3">
        <f t="shared" si="120"/>
        <v>45553</v>
      </c>
      <c r="I436" t="s">
        <v>647</v>
      </c>
      <c r="J436" t="str">
        <f t="shared" si="121"/>
        <v>Asia → China → Beijing</v>
      </c>
      <c r="K436" s="3" t="str">
        <f t="shared" si="122"/>
        <v>China-2024-09</v>
      </c>
      <c r="L436" t="s">
        <v>659</v>
      </c>
      <c r="M436" t="s">
        <v>699</v>
      </c>
      <c r="N436" t="s">
        <v>704</v>
      </c>
      <c r="O436" t="s">
        <v>710</v>
      </c>
      <c r="P436" t="s">
        <v>719</v>
      </c>
      <c r="Q436" t="s">
        <v>729</v>
      </c>
      <c r="R436" t="s">
        <v>1167</v>
      </c>
      <c r="S436" s="5">
        <v>181.74</v>
      </c>
      <c r="T436" s="5">
        <v>190.84</v>
      </c>
      <c r="U436" s="5" t="str">
        <f t="shared" si="123"/>
        <v>Valid</v>
      </c>
      <c r="V436" s="5">
        <f t="shared" si="114"/>
        <v>190.84</v>
      </c>
      <c r="W436" s="5" t="str">
        <f t="shared" si="124"/>
        <v>Low</v>
      </c>
      <c r="X436" s="5">
        <v>0.214</v>
      </c>
      <c r="Y436" s="5" t="str">
        <f t="shared" si="125"/>
        <v>Valid</v>
      </c>
      <c r="Z436" s="5">
        <f t="shared" si="126"/>
        <v>0.214</v>
      </c>
      <c r="AA436" s="5">
        <v>13</v>
      </c>
      <c r="AB436">
        <f t="shared" si="127"/>
        <v>1950.0031200000001</v>
      </c>
      <c r="AC436">
        <f t="shared" si="115"/>
        <v>2362.62</v>
      </c>
      <c r="AD436">
        <f t="shared" si="128"/>
        <v>-412.61687999999981</v>
      </c>
      <c r="AE436">
        <f t="shared" si="129"/>
        <v>-0.21159806144310159</v>
      </c>
      <c r="AF436">
        <f t="shared" si="130"/>
        <v>0</v>
      </c>
      <c r="AG436">
        <f t="shared" si="131"/>
        <v>1</v>
      </c>
      <c r="AK436">
        <f>AA436*(1+What_if_Analysis!$B$4)</f>
        <v>15.6</v>
      </c>
      <c r="AL436" s="5">
        <f>MIN(Z436,What_if_Analysis!$B$2)</f>
        <v>0.05</v>
      </c>
      <c r="AM436">
        <f t="shared" si="132"/>
        <v>2828.2487999999998</v>
      </c>
      <c r="AN436">
        <f>AM436-(AK436*(T436*(1+What_if_Analysis!$B$3)))</f>
        <v>-446.56560000000036</v>
      </c>
    </row>
    <row r="437" spans="1:40" x14ac:dyDescent="0.3">
      <c r="A437" t="s">
        <v>449</v>
      </c>
      <c r="B437" s="3">
        <v>45217</v>
      </c>
      <c r="C437" s="3" t="str">
        <f t="shared" si="116"/>
        <v>Oct-2023</v>
      </c>
      <c r="D437" s="3" t="str">
        <f t="shared" si="117"/>
        <v>Q4-2023</v>
      </c>
      <c r="E437" s="3">
        <v>45219</v>
      </c>
      <c r="F437" s="3" t="str">
        <f t="shared" si="118"/>
        <v>Valid</v>
      </c>
      <c r="G437" s="12">
        <f t="shared" si="119"/>
        <v>2</v>
      </c>
      <c r="H437" s="3">
        <f t="shared" si="120"/>
        <v>45219</v>
      </c>
      <c r="I437" t="s">
        <v>646</v>
      </c>
      <c r="J437" t="str">
        <f t="shared" si="121"/>
        <v>Africa → Kenya → Kisumu</v>
      </c>
      <c r="K437" s="3" t="str">
        <f t="shared" si="122"/>
        <v>Kenya-2023-10</v>
      </c>
      <c r="L437" t="s">
        <v>650</v>
      </c>
      <c r="M437" t="s">
        <v>662</v>
      </c>
      <c r="N437" t="s">
        <v>704</v>
      </c>
      <c r="O437" t="s">
        <v>707</v>
      </c>
      <c r="P437" t="s">
        <v>713</v>
      </c>
      <c r="Q437" t="s">
        <v>730</v>
      </c>
      <c r="R437" t="s">
        <v>1168</v>
      </c>
      <c r="S437" s="5">
        <v>774.12</v>
      </c>
      <c r="T437" s="5">
        <v>908.3</v>
      </c>
      <c r="U437" s="5" t="str">
        <f t="shared" si="123"/>
        <v>Valid</v>
      </c>
      <c r="V437" s="5">
        <f t="shared" si="114"/>
        <v>908.3</v>
      </c>
      <c r="W437" s="5" t="str">
        <f t="shared" si="124"/>
        <v>Medium</v>
      </c>
      <c r="X437" s="5">
        <v>0</v>
      </c>
      <c r="Y437" s="5" t="str">
        <f t="shared" si="125"/>
        <v>Valid</v>
      </c>
      <c r="Z437" s="5">
        <f t="shared" si="126"/>
        <v>0</v>
      </c>
      <c r="AA437" s="5">
        <v>30</v>
      </c>
      <c r="AB437">
        <f t="shared" si="127"/>
        <v>27249</v>
      </c>
      <c r="AC437">
        <f t="shared" si="115"/>
        <v>23223.599999999999</v>
      </c>
      <c r="AD437">
        <f t="shared" si="128"/>
        <v>4025.4000000000015</v>
      </c>
      <c r="AE437">
        <f t="shared" si="129"/>
        <v>0.14772652207420461</v>
      </c>
      <c r="AF437">
        <f t="shared" si="130"/>
        <v>1</v>
      </c>
      <c r="AG437">
        <f t="shared" si="131"/>
        <v>0</v>
      </c>
      <c r="AK437">
        <f>AA437*(1+What_if_Analysis!$B$4)</f>
        <v>36</v>
      </c>
      <c r="AL437" s="5">
        <f>MIN(Z437,What_if_Analysis!$B$2)</f>
        <v>0</v>
      </c>
      <c r="AM437">
        <f t="shared" si="132"/>
        <v>32698.799999999999</v>
      </c>
      <c r="AN437">
        <f>AM437-(AK437*(T437*(1+What_if_Analysis!$B$3)))</f>
        <v>-3269.880000000001</v>
      </c>
    </row>
    <row r="438" spans="1:40" x14ac:dyDescent="0.3">
      <c r="A438" t="s">
        <v>450</v>
      </c>
      <c r="B438" s="3">
        <v>45650</v>
      </c>
      <c r="C438" s="3" t="str">
        <f t="shared" si="116"/>
        <v>Dec-2024</v>
      </c>
      <c r="D438" s="3" t="str">
        <f t="shared" si="117"/>
        <v>Q4-2024</v>
      </c>
      <c r="E438" s="3">
        <v>45670</v>
      </c>
      <c r="F438" s="3" t="str">
        <f t="shared" si="118"/>
        <v>Valid</v>
      </c>
      <c r="G438" s="12">
        <f t="shared" si="119"/>
        <v>20</v>
      </c>
      <c r="H438" s="3">
        <f t="shared" si="120"/>
        <v>45670</v>
      </c>
      <c r="I438" t="s">
        <v>647</v>
      </c>
      <c r="J438" t="str">
        <f t="shared" si="121"/>
        <v>Asia → India → Bengaluru</v>
      </c>
      <c r="K438" s="3" t="str">
        <f t="shared" si="122"/>
        <v>India-2024-12</v>
      </c>
      <c r="L438" t="s">
        <v>654</v>
      </c>
      <c r="M438" t="s">
        <v>668</v>
      </c>
      <c r="N438" t="s">
        <v>701</v>
      </c>
      <c r="O438" t="s">
        <v>709</v>
      </c>
      <c r="P438" t="s">
        <v>726</v>
      </c>
      <c r="Q438" t="s">
        <v>729</v>
      </c>
      <c r="R438" t="s">
        <v>1169</v>
      </c>
      <c r="S438" s="5">
        <v>126.15</v>
      </c>
      <c r="T438" s="5">
        <v>284.23</v>
      </c>
      <c r="U438" s="5" t="str">
        <f t="shared" si="123"/>
        <v>Valid</v>
      </c>
      <c r="V438" s="5">
        <f t="shared" si="114"/>
        <v>284.23</v>
      </c>
      <c r="W438" s="5" t="str">
        <f t="shared" si="124"/>
        <v>Low</v>
      </c>
      <c r="X438" s="5">
        <v>0.113</v>
      </c>
      <c r="Y438" s="5" t="str">
        <f t="shared" si="125"/>
        <v>Valid</v>
      </c>
      <c r="Z438" s="5">
        <f t="shared" si="126"/>
        <v>0.113</v>
      </c>
      <c r="AA438" s="5">
        <v>22</v>
      </c>
      <c r="AB438">
        <f t="shared" si="127"/>
        <v>5546.4642200000008</v>
      </c>
      <c r="AC438">
        <f t="shared" si="115"/>
        <v>2775.3</v>
      </c>
      <c r="AD438">
        <f t="shared" si="128"/>
        <v>2771.1642200000006</v>
      </c>
      <c r="AE438">
        <f t="shared" si="129"/>
        <v>0.49962716968541088</v>
      </c>
      <c r="AF438">
        <f t="shared" si="130"/>
        <v>0</v>
      </c>
      <c r="AG438">
        <f t="shared" si="131"/>
        <v>0</v>
      </c>
      <c r="AK438">
        <f>AA438*(1+What_if_Analysis!$B$4)</f>
        <v>26.4</v>
      </c>
      <c r="AL438" s="5">
        <f>MIN(Z438,What_if_Analysis!$B$2)</f>
        <v>0.05</v>
      </c>
      <c r="AM438">
        <f t="shared" si="132"/>
        <v>7128.4884000000002</v>
      </c>
      <c r="AN438">
        <f>AM438-(AK438*(T438*(1+What_if_Analysis!$B$3)))</f>
        <v>-1125.5507999999991</v>
      </c>
    </row>
    <row r="439" spans="1:40" x14ac:dyDescent="0.3">
      <c r="A439" t="s">
        <v>451</v>
      </c>
      <c r="B439" s="3">
        <v>45037</v>
      </c>
      <c r="C439" s="3" t="str">
        <f t="shared" si="116"/>
        <v>Apr-2023</v>
      </c>
      <c r="D439" s="3" t="str">
        <f t="shared" si="117"/>
        <v>Q2-2023</v>
      </c>
      <c r="E439" s="3">
        <v>45035</v>
      </c>
      <c r="F439" s="3" t="str">
        <f t="shared" si="118"/>
        <v>Invalid RequiredDate</v>
      </c>
      <c r="G439" s="12">
        <f t="shared" si="119"/>
        <v>-2</v>
      </c>
      <c r="H439" s="3">
        <f t="shared" si="120"/>
        <v>45063</v>
      </c>
      <c r="I439" t="s">
        <v>647</v>
      </c>
      <c r="J439" t="str">
        <f t="shared" si="121"/>
        <v>Asia → Japan → Nagoya</v>
      </c>
      <c r="K439" s="3" t="str">
        <f t="shared" si="122"/>
        <v>Japan-2023-04</v>
      </c>
      <c r="L439" t="s">
        <v>652</v>
      </c>
      <c r="M439" t="s">
        <v>694</v>
      </c>
      <c r="N439" t="s">
        <v>705</v>
      </c>
      <c r="O439" t="s">
        <v>711</v>
      </c>
      <c r="P439" t="s">
        <v>724</v>
      </c>
      <c r="Q439" t="s">
        <v>727</v>
      </c>
      <c r="R439" t="s">
        <v>1170</v>
      </c>
      <c r="S439" s="5">
        <v>607.04</v>
      </c>
      <c r="T439" s="5">
        <v>1229.3399999999999</v>
      </c>
      <c r="U439" s="5" t="str">
        <f t="shared" si="123"/>
        <v>Valid</v>
      </c>
      <c r="V439" s="5">
        <f t="shared" si="114"/>
        <v>1229.3399999999999</v>
      </c>
      <c r="W439" s="5" t="str">
        <f t="shared" si="124"/>
        <v>Medium</v>
      </c>
      <c r="X439" s="5">
        <v>0.14699999999999999</v>
      </c>
      <c r="Y439" s="5" t="str">
        <f t="shared" si="125"/>
        <v>Valid</v>
      </c>
      <c r="Z439" s="5">
        <f t="shared" si="126"/>
        <v>0.14699999999999999</v>
      </c>
      <c r="AA439" s="5">
        <v>7</v>
      </c>
      <c r="AB439">
        <f t="shared" si="127"/>
        <v>7340.3891399999993</v>
      </c>
      <c r="AC439">
        <f t="shared" si="115"/>
        <v>4249.28</v>
      </c>
      <c r="AD439">
        <f t="shared" si="128"/>
        <v>3091.1091399999996</v>
      </c>
      <c r="AE439">
        <f t="shared" si="129"/>
        <v>0.42110970972310058</v>
      </c>
      <c r="AF439">
        <f t="shared" si="130"/>
        <v>1</v>
      </c>
      <c r="AG439">
        <f t="shared" si="131"/>
        <v>0</v>
      </c>
      <c r="AK439">
        <f>AA439*(1+What_if_Analysis!$B$4)</f>
        <v>8.4</v>
      </c>
      <c r="AL439" s="5">
        <f>MIN(Z439,What_if_Analysis!$B$2)</f>
        <v>0.05</v>
      </c>
      <c r="AM439">
        <f t="shared" si="132"/>
        <v>9810.1332000000002</v>
      </c>
      <c r="AN439">
        <f>AM439-(AK439*(T439*(1+What_if_Analysis!$B$3)))</f>
        <v>-1548.9684000000016</v>
      </c>
    </row>
    <row r="440" spans="1:40" x14ac:dyDescent="0.3">
      <c r="A440" t="s">
        <v>452</v>
      </c>
      <c r="B440" s="3">
        <v>45290</v>
      </c>
      <c r="C440" s="3" t="str">
        <f t="shared" si="116"/>
        <v>Dec-2023</v>
      </c>
      <c r="D440" s="3" t="str">
        <f t="shared" si="117"/>
        <v>Q4-2023</v>
      </c>
      <c r="E440" s="3">
        <v>45299</v>
      </c>
      <c r="F440" s="3" t="str">
        <f t="shared" si="118"/>
        <v>Valid</v>
      </c>
      <c r="G440" s="12">
        <f t="shared" si="119"/>
        <v>9</v>
      </c>
      <c r="H440" s="3">
        <f t="shared" si="120"/>
        <v>45299</v>
      </c>
      <c r="I440" t="s">
        <v>649</v>
      </c>
      <c r="J440" t="str">
        <f t="shared" si="121"/>
        <v>Europe → France → Marseille</v>
      </c>
      <c r="K440" s="3" t="str">
        <f t="shared" si="122"/>
        <v>France-2023-12</v>
      </c>
      <c r="L440" t="s">
        <v>657</v>
      </c>
      <c r="M440" t="s">
        <v>673</v>
      </c>
      <c r="N440" t="s">
        <v>704</v>
      </c>
      <c r="O440" t="s">
        <v>709</v>
      </c>
      <c r="P440" t="s">
        <v>716</v>
      </c>
      <c r="Q440" t="s">
        <v>733</v>
      </c>
      <c r="R440" t="s">
        <v>1171</v>
      </c>
      <c r="S440" s="5">
        <v>861.1</v>
      </c>
      <c r="T440" s="5">
        <v>1224.72</v>
      </c>
      <c r="U440" s="5" t="str">
        <f t="shared" si="123"/>
        <v>Valid</v>
      </c>
      <c r="V440" s="5">
        <f t="shared" si="114"/>
        <v>1224.72</v>
      </c>
      <c r="W440" s="5" t="str">
        <f t="shared" si="124"/>
        <v>Medium</v>
      </c>
      <c r="X440" s="5">
        <v>0.17399999999999999</v>
      </c>
      <c r="Y440" s="5" t="str">
        <f t="shared" si="125"/>
        <v>Valid</v>
      </c>
      <c r="Z440" s="5">
        <f t="shared" si="126"/>
        <v>0.17399999999999999</v>
      </c>
      <c r="AA440" s="5">
        <v>24</v>
      </c>
      <c r="AB440">
        <f t="shared" si="127"/>
        <v>24278.849280000002</v>
      </c>
      <c r="AC440">
        <f t="shared" si="115"/>
        <v>20666.400000000001</v>
      </c>
      <c r="AD440">
        <f t="shared" si="128"/>
        <v>3612.4492800000007</v>
      </c>
      <c r="AE440">
        <f t="shared" si="129"/>
        <v>0.14878997098827909</v>
      </c>
      <c r="AF440">
        <f t="shared" si="130"/>
        <v>0</v>
      </c>
      <c r="AG440">
        <f t="shared" si="131"/>
        <v>0</v>
      </c>
      <c r="AK440">
        <f>AA440*(1+What_if_Analysis!$B$4)</f>
        <v>28.799999999999997</v>
      </c>
      <c r="AL440" s="5">
        <f>MIN(Z440,What_if_Analysis!$B$2)</f>
        <v>0.05</v>
      </c>
      <c r="AM440">
        <f t="shared" si="132"/>
        <v>33508.339199999995</v>
      </c>
      <c r="AN440">
        <f>AM440-(AK440*(T440*(1+What_if_Analysis!$B$3)))</f>
        <v>-5290.7904000000053</v>
      </c>
    </row>
    <row r="441" spans="1:40" x14ac:dyDescent="0.3">
      <c r="A441" t="s">
        <v>453</v>
      </c>
      <c r="B441" s="3">
        <v>44978</v>
      </c>
      <c r="C441" s="3" t="str">
        <f t="shared" si="116"/>
        <v>Feb-2023</v>
      </c>
      <c r="D441" s="3" t="str">
        <f t="shared" si="117"/>
        <v>Q1-2023</v>
      </c>
      <c r="E441" s="3">
        <v>44997</v>
      </c>
      <c r="F441" s="3" t="str">
        <f t="shared" si="118"/>
        <v>Valid</v>
      </c>
      <c r="G441" s="12">
        <f t="shared" si="119"/>
        <v>19</v>
      </c>
      <c r="H441" s="3">
        <f t="shared" si="120"/>
        <v>44997</v>
      </c>
      <c r="I441" t="s">
        <v>646</v>
      </c>
      <c r="J441" t="str">
        <f t="shared" si="121"/>
        <v>Africa → Kenya → Nakuru</v>
      </c>
      <c r="K441" s="3" t="str">
        <f t="shared" si="122"/>
        <v>Kenya-2023-02</v>
      </c>
      <c r="L441" t="s">
        <v>650</v>
      </c>
      <c r="M441" t="s">
        <v>678</v>
      </c>
      <c r="N441" t="s">
        <v>701</v>
      </c>
      <c r="O441" t="s">
        <v>708</v>
      </c>
      <c r="P441" t="s">
        <v>721</v>
      </c>
      <c r="Q441" t="s">
        <v>729</v>
      </c>
      <c r="R441" t="s">
        <v>1172</v>
      </c>
      <c r="S441" s="5">
        <v>352.65</v>
      </c>
      <c r="T441" s="5">
        <v>485.86</v>
      </c>
      <c r="U441" s="5" t="str">
        <f t="shared" si="123"/>
        <v>Valid</v>
      </c>
      <c r="V441" s="5">
        <f t="shared" si="114"/>
        <v>485.86</v>
      </c>
      <c r="W441" s="5" t="str">
        <f t="shared" si="124"/>
        <v>Low</v>
      </c>
      <c r="X441" s="5">
        <v>4.1000000000000002E-2</v>
      </c>
      <c r="Y441" s="5" t="str">
        <f t="shared" si="125"/>
        <v>Valid</v>
      </c>
      <c r="Z441" s="5">
        <f t="shared" si="126"/>
        <v>4.1000000000000002E-2</v>
      </c>
      <c r="AA441" s="5">
        <v>6</v>
      </c>
      <c r="AB441">
        <f t="shared" si="127"/>
        <v>2795.6384399999997</v>
      </c>
      <c r="AC441">
        <f t="shared" si="115"/>
        <v>2115.8999999999996</v>
      </c>
      <c r="AD441">
        <f t="shared" si="128"/>
        <v>679.73844000000008</v>
      </c>
      <c r="AE441">
        <f t="shared" si="129"/>
        <v>0.24314247159943908</v>
      </c>
      <c r="AF441">
        <f t="shared" si="130"/>
        <v>0</v>
      </c>
      <c r="AG441">
        <f t="shared" si="131"/>
        <v>0</v>
      </c>
      <c r="AK441">
        <f>AA441*(1+What_if_Analysis!$B$4)</f>
        <v>7.1999999999999993</v>
      </c>
      <c r="AL441" s="5">
        <f>MIN(Z441,What_if_Analysis!$B$2)</f>
        <v>4.1000000000000002E-2</v>
      </c>
      <c r="AM441">
        <f t="shared" si="132"/>
        <v>3354.7661279999993</v>
      </c>
      <c r="AN441">
        <f>AM441-(AK441*(T441*(1+What_if_Analysis!$B$3)))</f>
        <v>-493.24507200000062</v>
      </c>
    </row>
    <row r="442" spans="1:40" x14ac:dyDescent="0.3">
      <c r="A442" t="s">
        <v>454</v>
      </c>
      <c r="B442" s="3">
        <v>45063</v>
      </c>
      <c r="C442" s="3" t="str">
        <f t="shared" si="116"/>
        <v>May-2023</v>
      </c>
      <c r="D442" s="3" t="str">
        <f t="shared" si="117"/>
        <v>Q2-2023</v>
      </c>
      <c r="E442" s="3">
        <v>45080</v>
      </c>
      <c r="F442" s="3" t="str">
        <f t="shared" si="118"/>
        <v>Valid</v>
      </c>
      <c r="G442" s="12">
        <f t="shared" si="119"/>
        <v>17</v>
      </c>
      <c r="H442" s="3">
        <f t="shared" si="120"/>
        <v>45080</v>
      </c>
      <c r="I442" t="s">
        <v>647</v>
      </c>
      <c r="J442" t="str">
        <f t="shared" si="121"/>
        <v>Asia → China → Beijing</v>
      </c>
      <c r="K442" s="3" t="str">
        <f t="shared" si="122"/>
        <v>China-2023-05</v>
      </c>
      <c r="L442" t="s">
        <v>659</v>
      </c>
      <c r="M442" t="s">
        <v>699</v>
      </c>
      <c r="N442" t="s">
        <v>703</v>
      </c>
      <c r="O442" t="s">
        <v>710</v>
      </c>
      <c r="P442" t="s">
        <v>724</v>
      </c>
      <c r="Q442" t="s">
        <v>728</v>
      </c>
      <c r="R442" t="s">
        <v>1173</v>
      </c>
      <c r="S442" s="5">
        <v>979.59</v>
      </c>
      <c r="T442" s="5">
        <v>2210.94</v>
      </c>
      <c r="U442" s="5" t="str">
        <f t="shared" si="123"/>
        <v>Valid</v>
      </c>
      <c r="V442" s="5">
        <f t="shared" si="114"/>
        <v>2210.94</v>
      </c>
      <c r="W442" s="5" t="str">
        <f t="shared" si="124"/>
        <v>High</v>
      </c>
      <c r="X442" s="5">
        <v>0.15</v>
      </c>
      <c r="Y442" s="5" t="str">
        <f t="shared" si="125"/>
        <v>Valid</v>
      </c>
      <c r="Z442" s="5">
        <f t="shared" si="126"/>
        <v>0.15</v>
      </c>
      <c r="AA442" s="5">
        <v>11</v>
      </c>
      <c r="AB442">
        <f t="shared" si="127"/>
        <v>20672.289000000001</v>
      </c>
      <c r="AC442">
        <f t="shared" si="115"/>
        <v>10775.49</v>
      </c>
      <c r="AD442">
        <f t="shared" si="128"/>
        <v>9896.7990000000009</v>
      </c>
      <c r="AE442">
        <f t="shared" si="129"/>
        <v>0.47874712858358359</v>
      </c>
      <c r="AF442">
        <f t="shared" si="130"/>
        <v>0</v>
      </c>
      <c r="AG442">
        <f t="shared" si="131"/>
        <v>0</v>
      </c>
      <c r="AK442">
        <f>AA442*(1+What_if_Analysis!$B$4)</f>
        <v>13.2</v>
      </c>
      <c r="AL442" s="5">
        <f>MIN(Z442,What_if_Analysis!$B$2)</f>
        <v>0.05</v>
      </c>
      <c r="AM442">
        <f t="shared" si="132"/>
        <v>27725.187599999997</v>
      </c>
      <c r="AN442">
        <f>AM442-(AK442*(T442*(1+What_if_Analysis!$B$3)))</f>
        <v>-4377.6612000000023</v>
      </c>
    </row>
    <row r="443" spans="1:40" x14ac:dyDescent="0.3">
      <c r="A443" t="s">
        <v>455</v>
      </c>
      <c r="B443" s="3">
        <v>45374</v>
      </c>
      <c r="C443" s="3" t="str">
        <f t="shared" si="116"/>
        <v>Mar-2024</v>
      </c>
      <c r="D443" s="3" t="str">
        <f t="shared" si="117"/>
        <v>Q1-2024</v>
      </c>
      <c r="E443" s="3">
        <v>45377</v>
      </c>
      <c r="F443" s="3" t="str">
        <f t="shared" si="118"/>
        <v>Valid</v>
      </c>
      <c r="G443" s="12">
        <f t="shared" si="119"/>
        <v>3</v>
      </c>
      <c r="H443" s="3">
        <f t="shared" si="120"/>
        <v>45377</v>
      </c>
      <c r="I443" t="s">
        <v>647</v>
      </c>
      <c r="J443" t="str">
        <f t="shared" si="121"/>
        <v>Asia → India → Bengaluru</v>
      </c>
      <c r="K443" s="3" t="str">
        <f t="shared" si="122"/>
        <v>India-2024-03</v>
      </c>
      <c r="L443" t="s">
        <v>654</v>
      </c>
      <c r="M443" t="s">
        <v>668</v>
      </c>
      <c r="N443" t="s">
        <v>702</v>
      </c>
      <c r="O443" t="s">
        <v>711</v>
      </c>
      <c r="P443" t="s">
        <v>715</v>
      </c>
      <c r="Q443" t="s">
        <v>730</v>
      </c>
      <c r="R443" t="s">
        <v>1174</v>
      </c>
      <c r="S443" s="5">
        <v>382.21</v>
      </c>
      <c r="T443" s="5">
        <v>571.89</v>
      </c>
      <c r="U443" s="5" t="str">
        <f t="shared" si="123"/>
        <v>Valid</v>
      </c>
      <c r="V443" s="5">
        <f t="shared" si="114"/>
        <v>571.89</v>
      </c>
      <c r="W443" s="5" t="str">
        <f t="shared" si="124"/>
        <v>Low</v>
      </c>
      <c r="X443" s="5">
        <v>0.14799999999999999</v>
      </c>
      <c r="Y443" s="5" t="str">
        <f t="shared" si="125"/>
        <v>Valid</v>
      </c>
      <c r="Z443" s="5">
        <f t="shared" si="126"/>
        <v>0.14799999999999999</v>
      </c>
      <c r="AA443" s="5">
        <v>26</v>
      </c>
      <c r="AB443">
        <f t="shared" si="127"/>
        <v>12668.50728</v>
      </c>
      <c r="AC443">
        <f t="shared" si="115"/>
        <v>9937.4599999999991</v>
      </c>
      <c r="AD443">
        <f t="shared" si="128"/>
        <v>2731.0472800000007</v>
      </c>
      <c r="AE443">
        <f t="shared" si="129"/>
        <v>0.2155776698578809</v>
      </c>
      <c r="AF443">
        <f t="shared" si="130"/>
        <v>1</v>
      </c>
      <c r="AG443">
        <f t="shared" si="131"/>
        <v>0</v>
      </c>
      <c r="AK443">
        <f>AA443*(1+What_if_Analysis!$B$4)</f>
        <v>31.2</v>
      </c>
      <c r="AL443" s="5">
        <f>MIN(Z443,What_if_Analysis!$B$2)</f>
        <v>0.05</v>
      </c>
      <c r="AM443">
        <f t="shared" si="132"/>
        <v>16950.819599999999</v>
      </c>
      <c r="AN443">
        <f>AM443-(AK443*(T443*(1+What_if_Analysis!$B$3)))</f>
        <v>-2676.4452000000019</v>
      </c>
    </row>
    <row r="444" spans="1:40" x14ac:dyDescent="0.3">
      <c r="A444" t="s">
        <v>456</v>
      </c>
      <c r="B444" s="3">
        <v>45189</v>
      </c>
      <c r="C444" s="3" t="str">
        <f t="shared" si="116"/>
        <v>Sept-2023</v>
      </c>
      <c r="D444" s="3" t="str">
        <f t="shared" si="117"/>
        <v>Q3-2023</v>
      </c>
      <c r="E444" s="3">
        <v>45197</v>
      </c>
      <c r="F444" s="3" t="str">
        <f t="shared" si="118"/>
        <v>Valid</v>
      </c>
      <c r="G444" s="12">
        <f t="shared" si="119"/>
        <v>8</v>
      </c>
      <c r="H444" s="3">
        <f t="shared" si="120"/>
        <v>45197</v>
      </c>
      <c r="I444" t="s">
        <v>647</v>
      </c>
      <c r="J444" t="str">
        <f t="shared" si="121"/>
        <v>Asia → India → unknown</v>
      </c>
      <c r="K444" s="3" t="str">
        <f t="shared" si="122"/>
        <v>India-2023-09</v>
      </c>
      <c r="L444" t="s">
        <v>654</v>
      </c>
      <c r="M444" t="s">
        <v>1422</v>
      </c>
      <c r="N444" t="s">
        <v>701</v>
      </c>
      <c r="O444" t="s">
        <v>1424</v>
      </c>
      <c r="P444" t="s">
        <v>717</v>
      </c>
      <c r="Q444" t="s">
        <v>733</v>
      </c>
      <c r="R444" t="s">
        <v>1175</v>
      </c>
      <c r="S444" s="5">
        <v>1362.06</v>
      </c>
      <c r="T444" s="5">
        <v>3398.37</v>
      </c>
      <c r="U444" s="5" t="str">
        <f t="shared" si="123"/>
        <v>Valid</v>
      </c>
      <c r="V444" s="5">
        <f t="shared" si="114"/>
        <v>3398.37</v>
      </c>
      <c r="W444" s="5" t="str">
        <f t="shared" si="124"/>
        <v>High</v>
      </c>
      <c r="X444" s="5">
        <v>0.157</v>
      </c>
      <c r="Y444" s="5" t="str">
        <f t="shared" si="125"/>
        <v>Valid</v>
      </c>
      <c r="Z444" s="5">
        <f t="shared" si="126"/>
        <v>0.157</v>
      </c>
      <c r="AA444" s="5">
        <v>11</v>
      </c>
      <c r="AB444">
        <f t="shared" si="127"/>
        <v>31513.085009999999</v>
      </c>
      <c r="AC444">
        <f t="shared" si="115"/>
        <v>14982.66</v>
      </c>
      <c r="AD444">
        <f t="shared" si="128"/>
        <v>16530.425009999999</v>
      </c>
      <c r="AE444">
        <f t="shared" si="129"/>
        <v>0.52455749745714919</v>
      </c>
      <c r="AF444">
        <f t="shared" si="130"/>
        <v>0</v>
      </c>
      <c r="AG444">
        <f t="shared" si="131"/>
        <v>0</v>
      </c>
      <c r="AK444">
        <f>AA444*(1+What_if_Analysis!$B$4)</f>
        <v>13.2</v>
      </c>
      <c r="AL444" s="5">
        <f>MIN(Z444,What_if_Analysis!$B$2)</f>
        <v>0.05</v>
      </c>
      <c r="AM444">
        <f t="shared" si="132"/>
        <v>42615.559799999995</v>
      </c>
      <c r="AN444">
        <f>AM444-(AK444*(T444*(1+What_if_Analysis!$B$3)))</f>
        <v>-6728.7726000000039</v>
      </c>
    </row>
    <row r="445" spans="1:40" x14ac:dyDescent="0.3">
      <c r="A445" t="s">
        <v>457</v>
      </c>
      <c r="B445" s="3">
        <v>45526</v>
      </c>
      <c r="C445" s="3" t="str">
        <f t="shared" si="116"/>
        <v>Aug-2024</v>
      </c>
      <c r="D445" s="3" t="str">
        <f t="shared" si="117"/>
        <v>Q3-2024</v>
      </c>
      <c r="E445" s="3">
        <v>45539</v>
      </c>
      <c r="F445" s="3" t="str">
        <f t="shared" si="118"/>
        <v>Valid</v>
      </c>
      <c r="G445" s="12">
        <f t="shared" si="119"/>
        <v>13</v>
      </c>
      <c r="H445" s="3">
        <f t="shared" si="120"/>
        <v>45539</v>
      </c>
      <c r="I445" t="s">
        <v>649</v>
      </c>
      <c r="J445" t="str">
        <f t="shared" si="121"/>
        <v>Europe → Germany → Frankfurt</v>
      </c>
      <c r="K445" s="3" t="str">
        <f t="shared" si="122"/>
        <v>Germany-2024-08</v>
      </c>
      <c r="L445" t="s">
        <v>656</v>
      </c>
      <c r="M445" t="s">
        <v>698</v>
      </c>
      <c r="N445" t="s">
        <v>703</v>
      </c>
      <c r="O445" t="s">
        <v>707</v>
      </c>
      <c r="P445" t="s">
        <v>716</v>
      </c>
      <c r="Q445" t="s">
        <v>728</v>
      </c>
      <c r="R445" t="s">
        <v>1176</v>
      </c>
      <c r="S445" s="5">
        <v>90.04</v>
      </c>
      <c r="T445" s="5">
        <v>194.62</v>
      </c>
      <c r="U445" s="5" t="str">
        <f t="shared" si="123"/>
        <v>Valid</v>
      </c>
      <c r="V445" s="5">
        <f t="shared" si="114"/>
        <v>194.62</v>
      </c>
      <c r="W445" s="5" t="str">
        <f t="shared" si="124"/>
        <v>Low</v>
      </c>
      <c r="X445" s="5">
        <v>4.2999999999999997E-2</v>
      </c>
      <c r="Y445" s="5" t="str">
        <f t="shared" si="125"/>
        <v>Valid</v>
      </c>
      <c r="Z445" s="5">
        <f t="shared" si="126"/>
        <v>4.2999999999999997E-2</v>
      </c>
      <c r="AA445" s="5">
        <v>32</v>
      </c>
      <c r="AB445">
        <f t="shared" si="127"/>
        <v>5960.04288</v>
      </c>
      <c r="AC445">
        <f t="shared" si="115"/>
        <v>2881.28</v>
      </c>
      <c r="AD445">
        <f t="shared" si="128"/>
        <v>3078.7628799999998</v>
      </c>
      <c r="AE445">
        <f t="shared" si="129"/>
        <v>0.51656723650954672</v>
      </c>
      <c r="AF445">
        <f t="shared" si="130"/>
        <v>0</v>
      </c>
      <c r="AG445">
        <f t="shared" si="131"/>
        <v>0</v>
      </c>
      <c r="AK445">
        <f>AA445*(1+What_if_Analysis!$B$4)</f>
        <v>38.4</v>
      </c>
      <c r="AL445" s="5">
        <f>MIN(Z445,What_if_Analysis!$B$2)</f>
        <v>4.2999999999999997E-2</v>
      </c>
      <c r="AM445">
        <f t="shared" si="132"/>
        <v>7152.0514559999992</v>
      </c>
      <c r="AN445">
        <f>AM445-(AK445*(T445*(1+What_if_Analysis!$B$3)))</f>
        <v>-1068.697344000002</v>
      </c>
    </row>
    <row r="446" spans="1:40" x14ac:dyDescent="0.3">
      <c r="A446" t="s">
        <v>458</v>
      </c>
      <c r="B446" s="3">
        <v>45560</v>
      </c>
      <c r="C446" s="3" t="str">
        <f t="shared" si="116"/>
        <v>Sept-2024</v>
      </c>
      <c r="D446" s="3" t="str">
        <f t="shared" si="117"/>
        <v>Q3-2024</v>
      </c>
      <c r="E446" s="3">
        <v>45568</v>
      </c>
      <c r="F446" s="3" t="str">
        <f t="shared" si="118"/>
        <v>Valid</v>
      </c>
      <c r="G446" s="12">
        <f t="shared" si="119"/>
        <v>8</v>
      </c>
      <c r="H446" s="3">
        <f t="shared" si="120"/>
        <v>45568</v>
      </c>
      <c r="I446" t="s">
        <v>648</v>
      </c>
      <c r="J446" t="str">
        <f t="shared" si="121"/>
        <v>Americas → Canada → Toronto</v>
      </c>
      <c r="K446" s="3" t="str">
        <f t="shared" si="122"/>
        <v>Canada-2024-09</v>
      </c>
      <c r="L446" t="s">
        <v>653</v>
      </c>
      <c r="M446" t="s">
        <v>667</v>
      </c>
      <c r="N446" t="s">
        <v>704</v>
      </c>
      <c r="O446" t="s">
        <v>708</v>
      </c>
      <c r="P446" t="s">
        <v>718</v>
      </c>
      <c r="Q446" t="s">
        <v>728</v>
      </c>
      <c r="R446" t="s">
        <v>1177</v>
      </c>
      <c r="S446" s="5">
        <v>558.19000000000005</v>
      </c>
      <c r="T446" s="5">
        <v>1031.6400000000001</v>
      </c>
      <c r="U446" s="5" t="str">
        <f t="shared" si="123"/>
        <v>Valid</v>
      </c>
      <c r="V446" s="5">
        <f t="shared" si="114"/>
        <v>1031.6400000000001</v>
      </c>
      <c r="W446" s="5" t="str">
        <f t="shared" si="124"/>
        <v>Medium</v>
      </c>
      <c r="X446" s="5">
        <v>0</v>
      </c>
      <c r="Y446" s="5" t="str">
        <f t="shared" si="125"/>
        <v>Valid</v>
      </c>
      <c r="Z446" s="5">
        <f t="shared" si="126"/>
        <v>0</v>
      </c>
      <c r="AA446" s="5">
        <v>21</v>
      </c>
      <c r="AB446">
        <f t="shared" si="127"/>
        <v>21664.440000000002</v>
      </c>
      <c r="AC446">
        <f t="shared" si="115"/>
        <v>11721.990000000002</v>
      </c>
      <c r="AD446">
        <f t="shared" si="128"/>
        <v>9942.4500000000007</v>
      </c>
      <c r="AE446">
        <f t="shared" si="129"/>
        <v>0.45892947152107322</v>
      </c>
      <c r="AF446">
        <f t="shared" si="130"/>
        <v>0</v>
      </c>
      <c r="AG446">
        <f t="shared" si="131"/>
        <v>0</v>
      </c>
      <c r="AK446">
        <f>AA446*(1+What_if_Analysis!$B$4)</f>
        <v>25.2</v>
      </c>
      <c r="AL446" s="5">
        <f>MIN(Z446,What_if_Analysis!$B$2)</f>
        <v>0</v>
      </c>
      <c r="AM446">
        <f t="shared" si="132"/>
        <v>25997.328000000001</v>
      </c>
      <c r="AN446">
        <f>AM446-(AK446*(T446*(1+What_if_Analysis!$B$3)))</f>
        <v>-2599.7328000000052</v>
      </c>
    </row>
    <row r="447" spans="1:40" x14ac:dyDescent="0.3">
      <c r="A447" t="s">
        <v>459</v>
      </c>
      <c r="B447" s="3">
        <v>45090</v>
      </c>
      <c r="C447" s="3" t="str">
        <f t="shared" si="116"/>
        <v>Jun-2023</v>
      </c>
      <c r="D447" s="3" t="str">
        <f t="shared" si="117"/>
        <v>Q2-2023</v>
      </c>
      <c r="E447" s="3">
        <v>45101</v>
      </c>
      <c r="F447" s="3" t="str">
        <f t="shared" si="118"/>
        <v>Valid</v>
      </c>
      <c r="G447" s="12">
        <f t="shared" si="119"/>
        <v>11</v>
      </c>
      <c r="H447" s="3">
        <f t="shared" si="120"/>
        <v>45101</v>
      </c>
      <c r="I447" t="s">
        <v>648</v>
      </c>
      <c r="J447" t="str">
        <f t="shared" si="121"/>
        <v>Americas → Canada → Toronto</v>
      </c>
      <c r="K447" s="3" t="str">
        <f t="shared" si="122"/>
        <v>Canada-2023-06</v>
      </c>
      <c r="L447" t="s">
        <v>653</v>
      </c>
      <c r="M447" t="s">
        <v>667</v>
      </c>
      <c r="N447" t="s">
        <v>701</v>
      </c>
      <c r="O447" t="s">
        <v>708</v>
      </c>
      <c r="P447" t="s">
        <v>712</v>
      </c>
      <c r="Q447" t="s">
        <v>728</v>
      </c>
      <c r="R447" t="s">
        <v>1178</v>
      </c>
      <c r="S447" s="5">
        <v>247.07</v>
      </c>
      <c r="T447" s="5">
        <v>495.19</v>
      </c>
      <c r="U447" s="5" t="str">
        <f t="shared" si="123"/>
        <v>Valid</v>
      </c>
      <c r="V447" s="5">
        <f t="shared" si="114"/>
        <v>495.19</v>
      </c>
      <c r="W447" s="5" t="str">
        <f t="shared" si="124"/>
        <v>Low</v>
      </c>
      <c r="X447" s="5">
        <v>2.8000000000000001E-2</v>
      </c>
      <c r="Y447" s="5" t="str">
        <f t="shared" si="125"/>
        <v>Valid</v>
      </c>
      <c r="Z447" s="5">
        <f t="shared" si="126"/>
        <v>2.8000000000000001E-2</v>
      </c>
      <c r="AA447" s="5">
        <v>4</v>
      </c>
      <c r="AB447">
        <f t="shared" si="127"/>
        <v>1925.29872</v>
      </c>
      <c r="AC447">
        <f t="shared" si="115"/>
        <v>988.28</v>
      </c>
      <c r="AD447">
        <f t="shared" si="128"/>
        <v>937.01872000000003</v>
      </c>
      <c r="AE447">
        <f t="shared" si="129"/>
        <v>0.48668744764968214</v>
      </c>
      <c r="AF447">
        <f t="shared" si="130"/>
        <v>0</v>
      </c>
      <c r="AG447">
        <f t="shared" si="131"/>
        <v>0</v>
      </c>
      <c r="AK447">
        <f>AA447*(1+What_if_Analysis!$B$4)</f>
        <v>4.8</v>
      </c>
      <c r="AL447" s="5">
        <f>MIN(Z447,What_if_Analysis!$B$2)</f>
        <v>2.8000000000000001E-2</v>
      </c>
      <c r="AM447">
        <f t="shared" si="132"/>
        <v>2310.3584639999999</v>
      </c>
      <c r="AN447">
        <f>AM447-(AK447*(T447*(1+What_if_Analysis!$B$3)))</f>
        <v>-304.2447360000001</v>
      </c>
    </row>
    <row r="448" spans="1:40" x14ac:dyDescent="0.3">
      <c r="A448" t="s">
        <v>460</v>
      </c>
      <c r="B448" s="3">
        <v>45284</v>
      </c>
      <c r="C448" s="3" t="str">
        <f t="shared" si="116"/>
        <v>Dec-2023</v>
      </c>
      <c r="D448" s="3" t="str">
        <f t="shared" si="117"/>
        <v>Q4-2023</v>
      </c>
      <c r="E448" s="3">
        <v>45304</v>
      </c>
      <c r="F448" s="3" t="str">
        <f t="shared" si="118"/>
        <v>Valid</v>
      </c>
      <c r="G448" s="12">
        <f t="shared" si="119"/>
        <v>20</v>
      </c>
      <c r="H448" s="3">
        <f t="shared" si="120"/>
        <v>45304</v>
      </c>
      <c r="I448" t="s">
        <v>647</v>
      </c>
      <c r="J448" t="str">
        <f t="shared" si="121"/>
        <v>Asia → Japan → Nagoya</v>
      </c>
      <c r="K448" s="3" t="str">
        <f t="shared" si="122"/>
        <v>Japan-2023-12</v>
      </c>
      <c r="L448" t="s">
        <v>652</v>
      </c>
      <c r="M448" t="s">
        <v>694</v>
      </c>
      <c r="N448" t="s">
        <v>702</v>
      </c>
      <c r="O448" t="s">
        <v>711</v>
      </c>
      <c r="P448" t="s">
        <v>717</v>
      </c>
      <c r="Q448" t="s">
        <v>731</v>
      </c>
      <c r="R448" t="s">
        <v>1179</v>
      </c>
      <c r="S448" s="5">
        <v>625.37</v>
      </c>
      <c r="T448" s="5">
        <v>1319.04</v>
      </c>
      <c r="U448" s="5" t="str">
        <f t="shared" si="123"/>
        <v>Valid</v>
      </c>
      <c r="V448" s="5">
        <f t="shared" si="114"/>
        <v>1319.04</v>
      </c>
      <c r="W448" s="5" t="str">
        <f t="shared" si="124"/>
        <v>Medium</v>
      </c>
      <c r="X448" s="5">
        <v>7.3999999999999996E-2</v>
      </c>
      <c r="Y448" s="5" t="str">
        <f t="shared" si="125"/>
        <v>Valid</v>
      </c>
      <c r="Z448" s="5">
        <f t="shared" si="126"/>
        <v>7.3999999999999996E-2</v>
      </c>
      <c r="AA448" s="5">
        <v>8</v>
      </c>
      <c r="AB448">
        <f t="shared" si="127"/>
        <v>9771.4483199999995</v>
      </c>
      <c r="AC448">
        <f t="shared" si="115"/>
        <v>5002.96</v>
      </c>
      <c r="AD448">
        <f t="shared" si="128"/>
        <v>4768.4883199999995</v>
      </c>
      <c r="AE448">
        <f t="shared" si="129"/>
        <v>0.48800220436513547</v>
      </c>
      <c r="AF448">
        <f t="shared" si="130"/>
        <v>0</v>
      </c>
      <c r="AG448">
        <f t="shared" si="131"/>
        <v>0</v>
      </c>
      <c r="AK448">
        <f>AA448*(1+What_if_Analysis!$B$4)</f>
        <v>9.6</v>
      </c>
      <c r="AL448" s="5">
        <f>MIN(Z448,What_if_Analysis!$B$2)</f>
        <v>0.05</v>
      </c>
      <c r="AM448">
        <f t="shared" si="132"/>
        <v>12029.644799999998</v>
      </c>
      <c r="AN448">
        <f>AM448-(AK448*(T448*(1+What_if_Analysis!$B$3)))</f>
        <v>-1899.4176000000025</v>
      </c>
    </row>
    <row r="449" spans="1:40" x14ac:dyDescent="0.3">
      <c r="A449" t="s">
        <v>461</v>
      </c>
      <c r="B449" s="3">
        <v>45746</v>
      </c>
      <c r="C449" s="3" t="str">
        <f t="shared" si="116"/>
        <v>Mar-2025</v>
      </c>
      <c r="D449" s="3" t="str">
        <f t="shared" si="117"/>
        <v>Q1-2025</v>
      </c>
      <c r="E449" s="3">
        <v>45776</v>
      </c>
      <c r="F449" s="3" t="str">
        <f t="shared" si="118"/>
        <v>Valid</v>
      </c>
      <c r="G449" s="12">
        <f t="shared" si="119"/>
        <v>30</v>
      </c>
      <c r="H449" s="3">
        <f t="shared" si="120"/>
        <v>45776</v>
      </c>
      <c r="I449" t="s">
        <v>646</v>
      </c>
      <c r="J449" t="str">
        <f t="shared" si="121"/>
        <v>Africa → South Africa → Durban</v>
      </c>
      <c r="K449" s="3" t="str">
        <f t="shared" si="122"/>
        <v>South Africa-2025-03</v>
      </c>
      <c r="L449" t="s">
        <v>661</v>
      </c>
      <c r="M449" t="s">
        <v>687</v>
      </c>
      <c r="N449" t="s">
        <v>704</v>
      </c>
      <c r="O449" t="s">
        <v>709</v>
      </c>
      <c r="P449" t="s">
        <v>713</v>
      </c>
      <c r="Q449" t="s">
        <v>732</v>
      </c>
      <c r="R449" t="s">
        <v>1180</v>
      </c>
      <c r="S449" s="5">
        <v>194.6</v>
      </c>
      <c r="T449" s="5">
        <v>314.87</v>
      </c>
      <c r="U449" s="5" t="str">
        <f t="shared" si="123"/>
        <v>Valid</v>
      </c>
      <c r="V449" s="5">
        <f t="shared" si="114"/>
        <v>314.87</v>
      </c>
      <c r="W449" s="5" t="str">
        <f t="shared" si="124"/>
        <v>Low</v>
      </c>
      <c r="X449" s="5">
        <v>0.29299999999999998</v>
      </c>
      <c r="Y449" s="5" t="str">
        <f t="shared" si="125"/>
        <v>Valid</v>
      </c>
      <c r="Z449" s="5">
        <f t="shared" si="126"/>
        <v>0.29299999999999998</v>
      </c>
      <c r="AA449" s="5">
        <v>25</v>
      </c>
      <c r="AB449">
        <f t="shared" si="127"/>
        <v>5565.3272500000003</v>
      </c>
      <c r="AC449">
        <f t="shared" si="115"/>
        <v>4865</v>
      </c>
      <c r="AD449">
        <f t="shared" si="128"/>
        <v>700.32725000000028</v>
      </c>
      <c r="AE449">
        <f t="shared" si="129"/>
        <v>0.1258375686712763</v>
      </c>
      <c r="AF449">
        <f t="shared" si="130"/>
        <v>0</v>
      </c>
      <c r="AG449">
        <f t="shared" si="131"/>
        <v>1</v>
      </c>
      <c r="AK449">
        <f>AA449*(1+What_if_Analysis!$B$4)</f>
        <v>30</v>
      </c>
      <c r="AL449" s="5">
        <f>MIN(Z449,What_if_Analysis!$B$2)</f>
        <v>0.05</v>
      </c>
      <c r="AM449">
        <f t="shared" si="132"/>
        <v>8973.7950000000001</v>
      </c>
      <c r="AN449">
        <f>AM449-(AK449*(T449*(1+What_if_Analysis!$B$3)))</f>
        <v>-1416.9150000000009</v>
      </c>
    </row>
    <row r="450" spans="1:40" x14ac:dyDescent="0.3">
      <c r="A450" t="s">
        <v>462</v>
      </c>
      <c r="B450" s="3">
        <v>45446</v>
      </c>
      <c r="C450" s="3" t="str">
        <f t="shared" si="116"/>
        <v>Jun-2024</v>
      </c>
      <c r="D450" s="3" t="str">
        <f t="shared" si="117"/>
        <v>Q2-2024</v>
      </c>
      <c r="E450" s="3">
        <v>45467</v>
      </c>
      <c r="F450" s="3" t="str">
        <f t="shared" si="118"/>
        <v>Valid</v>
      </c>
      <c r="G450" s="12">
        <f t="shared" si="119"/>
        <v>21</v>
      </c>
      <c r="H450" s="3">
        <f t="shared" si="120"/>
        <v>45467</v>
      </c>
      <c r="I450" t="s">
        <v>648</v>
      </c>
      <c r="J450" t="str">
        <f t="shared" si="121"/>
        <v>Americas → Canada → Toronto</v>
      </c>
      <c r="K450" s="3" t="str">
        <f t="shared" si="122"/>
        <v>Canada-2024-06</v>
      </c>
      <c r="L450" t="s">
        <v>653</v>
      </c>
      <c r="M450" t="s">
        <v>667</v>
      </c>
      <c r="N450" t="s">
        <v>705</v>
      </c>
      <c r="O450" t="s">
        <v>711</v>
      </c>
      <c r="P450" t="s">
        <v>715</v>
      </c>
      <c r="Q450" t="s">
        <v>732</v>
      </c>
      <c r="R450" t="s">
        <v>1181</v>
      </c>
      <c r="S450" s="5">
        <v>1205.5</v>
      </c>
      <c r="T450" s="5">
        <v>2210.17</v>
      </c>
      <c r="U450" s="5" t="str">
        <f t="shared" si="123"/>
        <v>Valid</v>
      </c>
      <c r="V450" s="5">
        <f t="shared" ref="V450:V513" si="133">IF(T450&lt;0,AVERAGEIF($Q$2:$Q$633,Q450,$T$2:$T$633),T450)</f>
        <v>2210.17</v>
      </c>
      <c r="W450" s="5" t="str">
        <f t="shared" si="124"/>
        <v>High</v>
      </c>
      <c r="X450" s="5">
        <v>0.104</v>
      </c>
      <c r="Y450" s="5" t="str">
        <f t="shared" si="125"/>
        <v>Valid</v>
      </c>
      <c r="Z450" s="5">
        <f t="shared" si="126"/>
        <v>0.104</v>
      </c>
      <c r="AA450" s="5">
        <v>23</v>
      </c>
      <c r="AB450">
        <f t="shared" si="127"/>
        <v>45547.183360000003</v>
      </c>
      <c r="AC450">
        <f t="shared" ref="AC450:AC513" si="134">S450*AA450</f>
        <v>27726.5</v>
      </c>
      <c r="AD450">
        <f t="shared" si="128"/>
        <v>17820.683360000003</v>
      </c>
      <c r="AE450">
        <f t="shared" si="129"/>
        <v>0.39125763758314652</v>
      </c>
      <c r="AF450">
        <f t="shared" si="130"/>
        <v>0</v>
      </c>
      <c r="AG450">
        <f t="shared" si="131"/>
        <v>0</v>
      </c>
      <c r="AK450">
        <f>AA450*(1+What_if_Analysis!$B$4)</f>
        <v>27.599999999999998</v>
      </c>
      <c r="AL450" s="5">
        <f>MIN(Z450,What_if_Analysis!$B$2)</f>
        <v>0.05</v>
      </c>
      <c r="AM450">
        <f t="shared" si="132"/>
        <v>57950.657399999996</v>
      </c>
      <c r="AN450">
        <f>AM450-(AK450*(T450*(1+What_if_Analysis!$B$3)))</f>
        <v>-9150.1038000000117</v>
      </c>
    </row>
    <row r="451" spans="1:40" x14ac:dyDescent="0.3">
      <c r="A451" t="s">
        <v>463</v>
      </c>
      <c r="B451" s="3">
        <v>45454</v>
      </c>
      <c r="C451" s="3" t="str">
        <f t="shared" ref="C451:C514" si="135">TEXT(B451,"mmm-yyyy")</f>
        <v>Jun-2024</v>
      </c>
      <c r="D451" s="3" t="str">
        <f t="shared" ref="D451:D514" si="136">"Q" &amp; ROUNDUP(MONTH(B451)/3,0) &amp; "-" &amp; YEAR(B451)</f>
        <v>Q2-2024</v>
      </c>
      <c r="E451" s="3">
        <v>45482</v>
      </c>
      <c r="F451" s="3" t="str">
        <f t="shared" ref="F451:F514" si="137">IF(E451&lt;B451,"Invalid RequiredDate","Valid")</f>
        <v>Valid</v>
      </c>
      <c r="G451" s="12">
        <f t="shared" ref="G451:G514" si="138">MEDIAN($E$2:$E$633-$B$2:$B$633)</f>
        <v>28</v>
      </c>
      <c r="H451" s="3">
        <f t="shared" ref="H451:H514" si="139">IF(E451&lt;B451,B451+$G$2,E451)</f>
        <v>45482</v>
      </c>
      <c r="I451" t="s">
        <v>646</v>
      </c>
      <c r="J451" t="str">
        <f t="shared" ref="J451:J514" si="140">I451 &amp; " → " &amp; L451 &amp; " → " &amp; M451</f>
        <v>Africa → Nigeria → Port Harcourt</v>
      </c>
      <c r="K451" s="3" t="str">
        <f t="shared" ref="K451:K514" si="141">L451 &amp; "-" &amp; TEXT(C451,"YYYY-MM")</f>
        <v>Nigeria-2024-06</v>
      </c>
      <c r="L451" t="s">
        <v>651</v>
      </c>
      <c r="M451" t="s">
        <v>663</v>
      </c>
      <c r="N451" t="s">
        <v>701</v>
      </c>
      <c r="O451" t="s">
        <v>709</v>
      </c>
      <c r="P451" t="s">
        <v>714</v>
      </c>
      <c r="Q451" t="s">
        <v>730</v>
      </c>
      <c r="R451" t="s">
        <v>1182</v>
      </c>
      <c r="S451" s="5">
        <v>895.54</v>
      </c>
      <c r="T451" s="5">
        <v>1045</v>
      </c>
      <c r="U451" s="5" t="str">
        <f t="shared" ref="U451:U514" si="142">IF(T451&lt;0,"Invalid Price","Valid")</f>
        <v>Valid</v>
      </c>
      <c r="V451" s="5">
        <f t="shared" si="133"/>
        <v>1045</v>
      </c>
      <c r="W451" s="5" t="str">
        <f t="shared" ref="W451:W514" si="143">IF(V451&lt;=616.86,"Low",IF(V451&lt;1912.05,"Medium","High"))</f>
        <v>Medium</v>
      </c>
      <c r="X451" s="5">
        <v>0.216</v>
      </c>
      <c r="Y451" s="5" t="str">
        <f t="shared" ref="Y451:Y514" si="144">IF(X451&gt;30%,"High Discount","Valid")</f>
        <v>Valid</v>
      </c>
      <c r="Z451" s="5">
        <f t="shared" ref="Z451:Z514" si="145">IF(X451&gt;30%,30%,X451)</f>
        <v>0.216</v>
      </c>
      <c r="AA451" s="5">
        <v>15</v>
      </c>
      <c r="AB451">
        <f t="shared" ref="AB451:AB514" si="146">V451 * AA451 * (1 - Z451)</f>
        <v>12289.2</v>
      </c>
      <c r="AC451">
        <f t="shared" si="134"/>
        <v>13433.099999999999</v>
      </c>
      <c r="AD451">
        <f t="shared" ref="AD451:AD514" si="147">AB451-AC451</f>
        <v>-1143.8999999999978</v>
      </c>
      <c r="AE451">
        <f t="shared" ref="AE451:AE514" si="148">IF(AB451=0, 0, AD451 / AB451)</f>
        <v>-9.3081730299775234E-2</v>
      </c>
      <c r="AF451">
        <f t="shared" ref="AF451:AF514" si="149">IF(G451&lt;=7,1,0)</f>
        <v>0</v>
      </c>
      <c r="AG451">
        <f t="shared" ref="AG451:AG514" si="150">IF(Z451&gt;20%,1,0)</f>
        <v>1</v>
      </c>
      <c r="AK451">
        <f>AA451*(1+What_if_Analysis!$B$4)</f>
        <v>18</v>
      </c>
      <c r="AL451" s="5">
        <f>MIN(Z451,What_if_Analysis!$B$2)</f>
        <v>0.05</v>
      </c>
      <c r="AM451">
        <f t="shared" ref="AM451:AM514" si="151">AK451*V451*(1-AL451)</f>
        <v>17869.5</v>
      </c>
      <c r="AN451">
        <f>AM451-(AK451*(T451*(1+What_if_Analysis!$B$3)))</f>
        <v>-2821.5</v>
      </c>
    </row>
    <row r="452" spans="1:40" x14ac:dyDescent="0.3">
      <c r="A452" t="s">
        <v>464</v>
      </c>
      <c r="B452" s="3">
        <v>45129</v>
      </c>
      <c r="C452" s="3" t="str">
        <f t="shared" si="135"/>
        <v>Jul-2023</v>
      </c>
      <c r="D452" s="3" t="str">
        <f t="shared" si="136"/>
        <v>Q3-2023</v>
      </c>
      <c r="E452" s="3">
        <v>45128</v>
      </c>
      <c r="F452" s="3" t="str">
        <f t="shared" si="137"/>
        <v>Invalid RequiredDate</v>
      </c>
      <c r="G452" s="12">
        <f t="shared" si="138"/>
        <v>-1</v>
      </c>
      <c r="H452" s="3">
        <f t="shared" si="139"/>
        <v>45155</v>
      </c>
      <c r="I452" t="s">
        <v>647</v>
      </c>
      <c r="J452" t="str">
        <f t="shared" si="140"/>
        <v>Asia → India → Delhi</v>
      </c>
      <c r="K452" s="3" t="str">
        <f t="shared" si="141"/>
        <v>India-2023-07</v>
      </c>
      <c r="L452" t="s">
        <v>654</v>
      </c>
      <c r="M452" t="s">
        <v>680</v>
      </c>
      <c r="N452" t="s">
        <v>705</v>
      </c>
      <c r="O452" t="s">
        <v>710</v>
      </c>
      <c r="P452" t="s">
        <v>718</v>
      </c>
      <c r="Q452" t="s">
        <v>728</v>
      </c>
      <c r="R452" t="s">
        <v>1183</v>
      </c>
      <c r="S452" s="5">
        <v>946.99</v>
      </c>
      <c r="T452" s="5">
        <v>2132.19</v>
      </c>
      <c r="U452" s="5" t="str">
        <f t="shared" si="142"/>
        <v>Valid</v>
      </c>
      <c r="V452" s="5">
        <f t="shared" si="133"/>
        <v>2132.19</v>
      </c>
      <c r="W452" s="5" t="str">
        <f t="shared" si="143"/>
        <v>High</v>
      </c>
      <c r="X452" s="5">
        <v>0.16500000000000001</v>
      </c>
      <c r="Y452" s="5" t="str">
        <f t="shared" si="144"/>
        <v>Valid</v>
      </c>
      <c r="Z452" s="5">
        <f t="shared" si="145"/>
        <v>0.16500000000000001</v>
      </c>
      <c r="AA452" s="5">
        <v>7</v>
      </c>
      <c r="AB452">
        <f t="shared" si="146"/>
        <v>12462.65055</v>
      </c>
      <c r="AC452">
        <f t="shared" si="134"/>
        <v>6628.93</v>
      </c>
      <c r="AD452">
        <f t="shared" si="147"/>
        <v>5833.72055</v>
      </c>
      <c r="AE452">
        <f t="shared" si="148"/>
        <v>0.46809629513362228</v>
      </c>
      <c r="AF452">
        <f t="shared" si="149"/>
        <v>1</v>
      </c>
      <c r="AG452">
        <f t="shared" si="150"/>
        <v>0</v>
      </c>
      <c r="AK452">
        <f>AA452*(1+What_if_Analysis!$B$4)</f>
        <v>8.4</v>
      </c>
      <c r="AL452" s="5">
        <f>MIN(Z452,What_if_Analysis!$B$2)</f>
        <v>0.05</v>
      </c>
      <c r="AM452">
        <f t="shared" si="151"/>
        <v>17014.876199999999</v>
      </c>
      <c r="AN452">
        <f>AM452-(AK452*(T452*(1+What_if_Analysis!$B$3)))</f>
        <v>-2686.5594000000019</v>
      </c>
    </row>
    <row r="453" spans="1:40" x14ac:dyDescent="0.3">
      <c r="A453" t="s">
        <v>465</v>
      </c>
      <c r="B453" s="3">
        <v>44945</v>
      </c>
      <c r="C453" s="3" t="str">
        <f t="shared" si="135"/>
        <v>Jan-2023</v>
      </c>
      <c r="D453" s="3" t="str">
        <f t="shared" si="136"/>
        <v>Q1-2023</v>
      </c>
      <c r="E453" s="3">
        <v>44960</v>
      </c>
      <c r="F453" s="3" t="str">
        <f t="shared" si="137"/>
        <v>Valid</v>
      </c>
      <c r="G453" s="12">
        <f t="shared" si="138"/>
        <v>15</v>
      </c>
      <c r="H453" s="3">
        <f t="shared" si="139"/>
        <v>44960</v>
      </c>
      <c r="I453" t="s">
        <v>649</v>
      </c>
      <c r="J453" t="str">
        <f t="shared" si="140"/>
        <v>Europe → United Kingdom → London</v>
      </c>
      <c r="K453" s="3" t="str">
        <f t="shared" si="141"/>
        <v>United Kingdom-2023-01</v>
      </c>
      <c r="L453" t="s">
        <v>658</v>
      </c>
      <c r="M453" t="s">
        <v>683</v>
      </c>
      <c r="N453" t="s">
        <v>706</v>
      </c>
      <c r="O453" t="s">
        <v>710</v>
      </c>
      <c r="P453" t="s">
        <v>715</v>
      </c>
      <c r="Q453" t="s">
        <v>733</v>
      </c>
      <c r="R453" t="s">
        <v>1184</v>
      </c>
      <c r="S453" s="5">
        <v>873.06</v>
      </c>
      <c r="T453" s="5">
        <v>2101.5500000000002</v>
      </c>
      <c r="U453" s="5" t="str">
        <f t="shared" si="142"/>
        <v>Valid</v>
      </c>
      <c r="V453" s="5">
        <f t="shared" si="133"/>
        <v>2101.5500000000002</v>
      </c>
      <c r="W453" s="5" t="str">
        <f t="shared" si="143"/>
        <v>High</v>
      </c>
      <c r="X453" s="5">
        <v>6.6000000000000003E-2</v>
      </c>
      <c r="Y453" s="5" t="str">
        <f t="shared" si="144"/>
        <v>Valid</v>
      </c>
      <c r="Z453" s="5">
        <f t="shared" si="145"/>
        <v>6.6000000000000003E-2</v>
      </c>
      <c r="AA453" s="5">
        <v>10</v>
      </c>
      <c r="AB453">
        <f t="shared" si="146"/>
        <v>19628.476999999999</v>
      </c>
      <c r="AC453">
        <f t="shared" si="134"/>
        <v>8730.5999999999985</v>
      </c>
      <c r="AD453">
        <f t="shared" si="147"/>
        <v>10897.877</v>
      </c>
      <c r="AE453">
        <f t="shared" si="148"/>
        <v>0.55520746719167269</v>
      </c>
      <c r="AF453">
        <f t="shared" si="149"/>
        <v>0</v>
      </c>
      <c r="AG453">
        <f t="shared" si="150"/>
        <v>0</v>
      </c>
      <c r="AK453">
        <f>AA453*(1+What_if_Analysis!$B$4)</f>
        <v>12</v>
      </c>
      <c r="AL453" s="5">
        <f>MIN(Z453,What_if_Analysis!$B$2)</f>
        <v>0.05</v>
      </c>
      <c r="AM453">
        <f t="shared" si="151"/>
        <v>23957.670000000002</v>
      </c>
      <c r="AN453">
        <f>AM453-(AK453*(T453*(1+What_if_Analysis!$B$3)))</f>
        <v>-3782.7900000000045</v>
      </c>
    </row>
    <row r="454" spans="1:40" x14ac:dyDescent="0.3">
      <c r="A454" t="s">
        <v>466</v>
      </c>
      <c r="B454" s="3">
        <v>45413</v>
      </c>
      <c r="C454" s="3" t="str">
        <f t="shared" si="135"/>
        <v>May-2024</v>
      </c>
      <c r="D454" s="3" t="str">
        <f t="shared" si="136"/>
        <v>Q2-2024</v>
      </c>
      <c r="E454" s="3">
        <v>45428</v>
      </c>
      <c r="F454" s="3" t="str">
        <f t="shared" si="137"/>
        <v>Valid</v>
      </c>
      <c r="G454" s="12">
        <f t="shared" si="138"/>
        <v>15</v>
      </c>
      <c r="H454" s="3">
        <f t="shared" si="139"/>
        <v>45428</v>
      </c>
      <c r="I454" t="s">
        <v>647</v>
      </c>
      <c r="J454" t="str">
        <f t="shared" si="140"/>
        <v>Asia → India → Bengaluru</v>
      </c>
      <c r="K454" s="3" t="str">
        <f t="shared" si="141"/>
        <v>India-2024-05</v>
      </c>
      <c r="L454" t="s">
        <v>654</v>
      </c>
      <c r="M454" t="s">
        <v>668</v>
      </c>
      <c r="N454" t="s">
        <v>705</v>
      </c>
      <c r="O454" t="s">
        <v>707</v>
      </c>
      <c r="P454" t="s">
        <v>716</v>
      </c>
      <c r="Q454" t="s">
        <v>727</v>
      </c>
      <c r="R454" t="s">
        <v>1185</v>
      </c>
      <c r="S454" s="5">
        <v>901.19</v>
      </c>
      <c r="T454" s="5">
        <v>2125.44</v>
      </c>
      <c r="U454" s="5" t="str">
        <f t="shared" si="142"/>
        <v>Valid</v>
      </c>
      <c r="V454" s="5">
        <f t="shared" si="133"/>
        <v>2125.44</v>
      </c>
      <c r="W454" s="5" t="str">
        <f t="shared" si="143"/>
        <v>High</v>
      </c>
      <c r="X454" s="5">
        <v>7.0999999999999994E-2</v>
      </c>
      <c r="Y454" s="5" t="str">
        <f t="shared" si="144"/>
        <v>Valid</v>
      </c>
      <c r="Z454" s="5">
        <f t="shared" si="145"/>
        <v>7.0999999999999994E-2</v>
      </c>
      <c r="AA454" s="5">
        <v>12</v>
      </c>
      <c r="AB454">
        <f t="shared" si="146"/>
        <v>23694.405119999999</v>
      </c>
      <c r="AC454">
        <f t="shared" si="134"/>
        <v>10814.28</v>
      </c>
      <c r="AD454">
        <f t="shared" si="147"/>
        <v>12880.125119999999</v>
      </c>
      <c r="AE454">
        <f t="shared" si="148"/>
        <v>0.54359352154100415</v>
      </c>
      <c r="AF454">
        <f t="shared" si="149"/>
        <v>0</v>
      </c>
      <c r="AG454">
        <f t="shared" si="150"/>
        <v>0</v>
      </c>
      <c r="AK454">
        <f>AA454*(1+What_if_Analysis!$B$4)</f>
        <v>14.399999999999999</v>
      </c>
      <c r="AL454" s="5">
        <f>MIN(Z454,What_if_Analysis!$B$2)</f>
        <v>0.05</v>
      </c>
      <c r="AM454">
        <f t="shared" si="151"/>
        <v>29076.019199999999</v>
      </c>
      <c r="AN454">
        <f>AM454-(AK454*(T454*(1+What_if_Analysis!$B$3)))</f>
        <v>-4590.9504000000052</v>
      </c>
    </row>
    <row r="455" spans="1:40" x14ac:dyDescent="0.3">
      <c r="A455" t="s">
        <v>467</v>
      </c>
      <c r="B455" s="3">
        <v>45817</v>
      </c>
      <c r="C455" s="3" t="str">
        <f t="shared" si="135"/>
        <v>Jun-2025</v>
      </c>
      <c r="D455" s="3" t="str">
        <f t="shared" si="136"/>
        <v>Q2-2025</v>
      </c>
      <c r="E455" s="3">
        <v>45832</v>
      </c>
      <c r="F455" s="3" t="str">
        <f t="shared" si="137"/>
        <v>Valid</v>
      </c>
      <c r="G455" s="12">
        <f t="shared" si="138"/>
        <v>15</v>
      </c>
      <c r="H455" s="3">
        <f t="shared" si="139"/>
        <v>45832</v>
      </c>
      <c r="I455" t="s">
        <v>647</v>
      </c>
      <c r="J455" t="str">
        <f t="shared" si="140"/>
        <v>Asia → Japan → Nagoya</v>
      </c>
      <c r="K455" s="3" t="str">
        <f t="shared" si="141"/>
        <v>Japan-2025-06</v>
      </c>
      <c r="L455" t="s">
        <v>652</v>
      </c>
      <c r="M455" t="s">
        <v>694</v>
      </c>
      <c r="N455" t="s">
        <v>701</v>
      </c>
      <c r="O455" t="s">
        <v>711</v>
      </c>
      <c r="P455" t="s">
        <v>717</v>
      </c>
      <c r="Q455" t="s">
        <v>730</v>
      </c>
      <c r="R455" t="s">
        <v>1186</v>
      </c>
      <c r="S455" s="5">
        <v>400.39</v>
      </c>
      <c r="T455" s="5">
        <v>712.75</v>
      </c>
      <c r="U455" s="5" t="str">
        <f t="shared" si="142"/>
        <v>Valid</v>
      </c>
      <c r="V455" s="5">
        <f t="shared" si="133"/>
        <v>712.75</v>
      </c>
      <c r="W455" s="5" t="str">
        <f t="shared" si="143"/>
        <v>Medium</v>
      </c>
      <c r="X455" s="5">
        <v>0.115</v>
      </c>
      <c r="Y455" s="5" t="str">
        <f t="shared" si="144"/>
        <v>Valid</v>
      </c>
      <c r="Z455" s="5">
        <f t="shared" si="145"/>
        <v>0.115</v>
      </c>
      <c r="AA455" s="5">
        <v>19</v>
      </c>
      <c r="AB455">
        <f t="shared" si="146"/>
        <v>11984.891250000001</v>
      </c>
      <c r="AC455">
        <f t="shared" si="134"/>
        <v>7607.41</v>
      </c>
      <c r="AD455">
        <f t="shared" si="147"/>
        <v>4377.4812500000007</v>
      </c>
      <c r="AE455">
        <f t="shared" si="148"/>
        <v>0.36524997671547504</v>
      </c>
      <c r="AF455">
        <f t="shared" si="149"/>
        <v>0</v>
      </c>
      <c r="AG455">
        <f t="shared" si="150"/>
        <v>0</v>
      </c>
      <c r="AK455">
        <f>AA455*(1+What_if_Analysis!$B$4)</f>
        <v>22.8</v>
      </c>
      <c r="AL455" s="5">
        <f>MIN(Z455,What_if_Analysis!$B$2)</f>
        <v>0.05</v>
      </c>
      <c r="AM455">
        <f t="shared" si="151"/>
        <v>15438.165000000001</v>
      </c>
      <c r="AN455">
        <f>AM455-(AK455*(T455*(1+What_if_Analysis!$B$3)))</f>
        <v>-2437.6050000000032</v>
      </c>
    </row>
    <row r="456" spans="1:40" x14ac:dyDescent="0.3">
      <c r="A456" t="s">
        <v>468</v>
      </c>
      <c r="B456" s="3">
        <v>45070</v>
      </c>
      <c r="C456" s="3" t="str">
        <f t="shared" si="135"/>
        <v>May-2023</v>
      </c>
      <c r="D456" s="3" t="str">
        <f t="shared" si="136"/>
        <v>Q2-2023</v>
      </c>
      <c r="E456" s="3">
        <v>45098</v>
      </c>
      <c r="F456" s="3" t="str">
        <f t="shared" si="137"/>
        <v>Valid</v>
      </c>
      <c r="G456" s="12">
        <f t="shared" si="138"/>
        <v>28</v>
      </c>
      <c r="H456" s="3">
        <f t="shared" si="139"/>
        <v>45098</v>
      </c>
      <c r="I456" t="s">
        <v>648</v>
      </c>
      <c r="J456" t="str">
        <f t="shared" si="140"/>
        <v>Americas → USA → Austin</v>
      </c>
      <c r="K456" s="3" t="str">
        <f t="shared" si="141"/>
        <v>USA-2023-05</v>
      </c>
      <c r="L456" t="s">
        <v>660</v>
      </c>
      <c r="M456" t="s">
        <v>697</v>
      </c>
      <c r="N456" t="s">
        <v>705</v>
      </c>
      <c r="O456" t="s">
        <v>709</v>
      </c>
      <c r="P456" t="s">
        <v>715</v>
      </c>
      <c r="Q456" t="s">
        <v>732</v>
      </c>
      <c r="R456" t="s">
        <v>1187</v>
      </c>
      <c r="S456" s="5">
        <v>813.97</v>
      </c>
      <c r="T456" s="5">
        <v>1568.83</v>
      </c>
      <c r="U456" s="5" t="str">
        <f t="shared" si="142"/>
        <v>Valid</v>
      </c>
      <c r="V456" s="5">
        <f t="shared" si="133"/>
        <v>1568.83</v>
      </c>
      <c r="W456" s="5" t="str">
        <f t="shared" si="143"/>
        <v>Medium</v>
      </c>
      <c r="X456" s="5">
        <v>1.7000000000000001E-2</v>
      </c>
      <c r="Y456" s="5" t="str">
        <f t="shared" si="144"/>
        <v>Valid</v>
      </c>
      <c r="Z456" s="5">
        <f t="shared" si="145"/>
        <v>1.7000000000000001E-2</v>
      </c>
      <c r="AA456" s="5">
        <v>15</v>
      </c>
      <c r="AB456">
        <f t="shared" si="146"/>
        <v>23132.398349999996</v>
      </c>
      <c r="AC456">
        <f t="shared" si="134"/>
        <v>12209.550000000001</v>
      </c>
      <c r="AD456">
        <f t="shared" si="147"/>
        <v>10922.848349999995</v>
      </c>
      <c r="AE456">
        <f t="shared" si="148"/>
        <v>0.4721883215364911</v>
      </c>
      <c r="AF456">
        <f t="shared" si="149"/>
        <v>0</v>
      </c>
      <c r="AG456">
        <f t="shared" si="150"/>
        <v>0</v>
      </c>
      <c r="AK456">
        <f>AA456*(1+What_if_Analysis!$B$4)</f>
        <v>18</v>
      </c>
      <c r="AL456" s="5">
        <f>MIN(Z456,What_if_Analysis!$B$2)</f>
        <v>1.7000000000000001E-2</v>
      </c>
      <c r="AM456">
        <f t="shared" si="151"/>
        <v>27758.878019999996</v>
      </c>
      <c r="AN456">
        <f>AM456-(AK456*(T456*(1+What_if_Analysis!$B$3)))</f>
        <v>-3303.9559800000025</v>
      </c>
    </row>
    <row r="457" spans="1:40" x14ac:dyDescent="0.3">
      <c r="A457" t="s">
        <v>469</v>
      </c>
      <c r="B457" s="3">
        <v>45653</v>
      </c>
      <c r="C457" s="3" t="str">
        <f t="shared" si="135"/>
        <v>Dec-2024</v>
      </c>
      <c r="D457" s="3" t="str">
        <f t="shared" si="136"/>
        <v>Q4-2024</v>
      </c>
      <c r="E457" s="3">
        <v>45655</v>
      </c>
      <c r="F457" s="3" t="str">
        <f t="shared" si="137"/>
        <v>Valid</v>
      </c>
      <c r="G457" s="12">
        <f t="shared" si="138"/>
        <v>2</v>
      </c>
      <c r="H457" s="3">
        <f t="shared" si="139"/>
        <v>45655</v>
      </c>
      <c r="I457" t="s">
        <v>648</v>
      </c>
      <c r="J457" t="str">
        <f t="shared" si="140"/>
        <v>Americas → Canada → Vancouver</v>
      </c>
      <c r="K457" s="3" t="str">
        <f t="shared" si="141"/>
        <v>Canada-2024-12</v>
      </c>
      <c r="L457" t="s">
        <v>653</v>
      </c>
      <c r="M457" t="s">
        <v>688</v>
      </c>
      <c r="N457" t="s">
        <v>706</v>
      </c>
      <c r="O457" t="s">
        <v>709</v>
      </c>
      <c r="P457" t="s">
        <v>712</v>
      </c>
      <c r="Q457" t="s">
        <v>733</v>
      </c>
      <c r="R457" t="s">
        <v>1188</v>
      </c>
      <c r="S457" s="5">
        <v>1146.72</v>
      </c>
      <c r="T457" s="5">
        <v>2074.34</v>
      </c>
      <c r="U457" s="5" t="str">
        <f t="shared" si="142"/>
        <v>Valid</v>
      </c>
      <c r="V457" s="5">
        <f t="shared" si="133"/>
        <v>2074.34</v>
      </c>
      <c r="W457" s="5" t="str">
        <f t="shared" si="143"/>
        <v>High</v>
      </c>
      <c r="X457" s="5">
        <v>0.111</v>
      </c>
      <c r="Y457" s="5" t="str">
        <f t="shared" si="144"/>
        <v>Valid</v>
      </c>
      <c r="Z457" s="5">
        <f t="shared" si="145"/>
        <v>0.111</v>
      </c>
      <c r="AA457" s="5">
        <v>8</v>
      </c>
      <c r="AB457">
        <f t="shared" si="146"/>
        <v>14752.706080000002</v>
      </c>
      <c r="AC457">
        <f t="shared" si="134"/>
        <v>9173.76</v>
      </c>
      <c r="AD457">
        <f t="shared" si="147"/>
        <v>5578.9460800000015</v>
      </c>
      <c r="AE457">
        <f t="shared" si="148"/>
        <v>0.37816425337472737</v>
      </c>
      <c r="AF457">
        <f t="shared" si="149"/>
        <v>1</v>
      </c>
      <c r="AG457">
        <f t="shared" si="150"/>
        <v>0</v>
      </c>
      <c r="AK457">
        <f>AA457*(1+What_if_Analysis!$B$4)</f>
        <v>9.6</v>
      </c>
      <c r="AL457" s="5">
        <f>MIN(Z457,What_if_Analysis!$B$2)</f>
        <v>0.05</v>
      </c>
      <c r="AM457">
        <f t="shared" si="151"/>
        <v>18917.980800000001</v>
      </c>
      <c r="AN457">
        <f>AM457-(AK457*(T457*(1+What_if_Analysis!$B$3)))</f>
        <v>-2987.0496000000021</v>
      </c>
    </row>
    <row r="458" spans="1:40" x14ac:dyDescent="0.3">
      <c r="A458" t="s">
        <v>470</v>
      </c>
      <c r="B458" s="3">
        <v>45265</v>
      </c>
      <c r="C458" s="3" t="str">
        <f t="shared" si="135"/>
        <v>Dec-2023</v>
      </c>
      <c r="D458" s="3" t="str">
        <f t="shared" si="136"/>
        <v>Q4-2023</v>
      </c>
      <c r="E458" s="3">
        <v>45272</v>
      </c>
      <c r="F458" s="3" t="str">
        <f t="shared" si="137"/>
        <v>Valid</v>
      </c>
      <c r="G458" s="12">
        <f t="shared" si="138"/>
        <v>7</v>
      </c>
      <c r="H458" s="3">
        <f t="shared" si="139"/>
        <v>45272</v>
      </c>
      <c r="I458" t="s">
        <v>648</v>
      </c>
      <c r="J458" t="str">
        <f t="shared" si="140"/>
        <v>Americas → Brazil → Brasília</v>
      </c>
      <c r="K458" s="3" t="str">
        <f t="shared" si="141"/>
        <v>Brazil-2023-12</v>
      </c>
      <c r="L458" t="s">
        <v>655</v>
      </c>
      <c r="M458" t="s">
        <v>672</v>
      </c>
      <c r="N458" t="s">
        <v>701</v>
      </c>
      <c r="O458" t="s">
        <v>711</v>
      </c>
      <c r="P458" t="s">
        <v>721</v>
      </c>
      <c r="Q458" t="s">
        <v>730</v>
      </c>
      <c r="R458" t="s">
        <v>1189</v>
      </c>
      <c r="S458" s="5">
        <v>307.43</v>
      </c>
      <c r="T458" s="5">
        <v>495.19</v>
      </c>
      <c r="U458" s="5" t="str">
        <f t="shared" si="142"/>
        <v>Valid</v>
      </c>
      <c r="V458" s="5">
        <f t="shared" si="133"/>
        <v>495.19</v>
      </c>
      <c r="W458" s="5" t="str">
        <f t="shared" si="143"/>
        <v>Low</v>
      </c>
      <c r="X458" s="5">
        <v>0</v>
      </c>
      <c r="Y458" s="5" t="str">
        <f t="shared" si="144"/>
        <v>Valid</v>
      </c>
      <c r="Z458" s="5">
        <f t="shared" si="145"/>
        <v>0</v>
      </c>
      <c r="AA458" s="5">
        <v>42</v>
      </c>
      <c r="AB458">
        <f t="shared" si="146"/>
        <v>20797.98</v>
      </c>
      <c r="AC458">
        <f t="shared" si="134"/>
        <v>12912.06</v>
      </c>
      <c r="AD458">
        <f t="shared" si="147"/>
        <v>7885.92</v>
      </c>
      <c r="AE458">
        <f t="shared" si="148"/>
        <v>0.37916759223732305</v>
      </c>
      <c r="AF458">
        <f t="shared" si="149"/>
        <v>1</v>
      </c>
      <c r="AG458">
        <f t="shared" si="150"/>
        <v>0</v>
      </c>
      <c r="AK458">
        <f>AA458*(1+What_if_Analysis!$B$4)</f>
        <v>50.4</v>
      </c>
      <c r="AL458" s="5">
        <f>MIN(Z458,What_if_Analysis!$B$2)</f>
        <v>0</v>
      </c>
      <c r="AM458">
        <f t="shared" si="151"/>
        <v>24957.576000000001</v>
      </c>
      <c r="AN458">
        <f>AM458-(AK458*(T458*(1+What_if_Analysis!$B$3)))</f>
        <v>-2495.7576000000008</v>
      </c>
    </row>
    <row r="459" spans="1:40" x14ac:dyDescent="0.3">
      <c r="A459" t="s">
        <v>471</v>
      </c>
      <c r="B459" s="3">
        <v>45048</v>
      </c>
      <c r="C459" s="3" t="str">
        <f t="shared" si="135"/>
        <v>May-2023</v>
      </c>
      <c r="D459" s="3" t="str">
        <f t="shared" si="136"/>
        <v>Q2-2023</v>
      </c>
      <c r="E459" s="3">
        <v>45065</v>
      </c>
      <c r="F459" s="3" t="str">
        <f t="shared" si="137"/>
        <v>Valid</v>
      </c>
      <c r="G459" s="12">
        <f t="shared" si="138"/>
        <v>17</v>
      </c>
      <c r="H459" s="3">
        <f t="shared" si="139"/>
        <v>45065</v>
      </c>
      <c r="I459" t="s">
        <v>647</v>
      </c>
      <c r="J459" t="str">
        <f t="shared" si="140"/>
        <v>Asia → China → Shanghai</v>
      </c>
      <c r="K459" s="3" t="str">
        <f t="shared" si="141"/>
        <v>China-2023-05</v>
      </c>
      <c r="L459" t="s">
        <v>659</v>
      </c>
      <c r="M459" t="s">
        <v>685</v>
      </c>
      <c r="N459" t="s">
        <v>703</v>
      </c>
      <c r="O459" t="s">
        <v>711</v>
      </c>
      <c r="P459" t="s">
        <v>713</v>
      </c>
      <c r="Q459" t="s">
        <v>732</v>
      </c>
      <c r="R459" t="s">
        <v>1190</v>
      </c>
      <c r="S459" s="5">
        <v>714.28</v>
      </c>
      <c r="T459" s="5">
        <v>757.59</v>
      </c>
      <c r="U459" s="5" t="str">
        <f t="shared" si="142"/>
        <v>Valid</v>
      </c>
      <c r="V459" s="5">
        <f t="shared" si="133"/>
        <v>757.59</v>
      </c>
      <c r="W459" s="5" t="str">
        <f t="shared" si="143"/>
        <v>Medium</v>
      </c>
      <c r="X459" s="5">
        <v>0.13600000000000001</v>
      </c>
      <c r="Y459" s="5" t="str">
        <f t="shared" si="144"/>
        <v>Valid</v>
      </c>
      <c r="Z459" s="5">
        <f t="shared" si="145"/>
        <v>0.13600000000000001</v>
      </c>
      <c r="AA459" s="5">
        <v>12</v>
      </c>
      <c r="AB459">
        <f t="shared" si="146"/>
        <v>7854.6931199999999</v>
      </c>
      <c r="AC459">
        <f t="shared" si="134"/>
        <v>8571.36</v>
      </c>
      <c r="AD459">
        <f t="shared" si="147"/>
        <v>-716.66688000000067</v>
      </c>
      <c r="AE459">
        <f t="shared" si="148"/>
        <v>-9.1240595787910383E-2</v>
      </c>
      <c r="AF459">
        <f t="shared" si="149"/>
        <v>0</v>
      </c>
      <c r="AG459">
        <f t="shared" si="150"/>
        <v>0</v>
      </c>
      <c r="AK459">
        <f>AA459*(1+What_if_Analysis!$B$4)</f>
        <v>14.399999999999999</v>
      </c>
      <c r="AL459" s="5">
        <f>MIN(Z459,What_if_Analysis!$B$2)</f>
        <v>0.05</v>
      </c>
      <c r="AM459">
        <f t="shared" si="151"/>
        <v>10363.831200000001</v>
      </c>
      <c r="AN459">
        <f>AM459-(AK459*(T459*(1+What_if_Analysis!$B$3)))</f>
        <v>-1636.3943999999992</v>
      </c>
    </row>
    <row r="460" spans="1:40" x14ac:dyDescent="0.3">
      <c r="A460" t="s">
        <v>472</v>
      </c>
      <c r="B460" s="3">
        <v>45260</v>
      </c>
      <c r="C460" s="3" t="str">
        <f t="shared" si="135"/>
        <v>Nov-2023</v>
      </c>
      <c r="D460" s="3" t="str">
        <f t="shared" si="136"/>
        <v>Q4-2023</v>
      </c>
      <c r="E460" s="3">
        <v>45270</v>
      </c>
      <c r="F460" s="3" t="str">
        <f t="shared" si="137"/>
        <v>Valid</v>
      </c>
      <c r="G460" s="12">
        <f t="shared" si="138"/>
        <v>10</v>
      </c>
      <c r="H460" s="3">
        <f t="shared" si="139"/>
        <v>45270</v>
      </c>
      <c r="I460" t="s">
        <v>649</v>
      </c>
      <c r="J460" t="str">
        <f t="shared" si="140"/>
        <v>Europe → Germany → Munich</v>
      </c>
      <c r="K460" s="3" t="str">
        <f t="shared" si="141"/>
        <v>Germany-2023-11</v>
      </c>
      <c r="L460" t="s">
        <v>656</v>
      </c>
      <c r="M460" t="s">
        <v>684</v>
      </c>
      <c r="N460" t="s">
        <v>705</v>
      </c>
      <c r="O460" t="s">
        <v>711</v>
      </c>
      <c r="P460" t="s">
        <v>721</v>
      </c>
      <c r="Q460" t="s">
        <v>731</v>
      </c>
      <c r="R460" t="s">
        <v>1191</v>
      </c>
      <c r="S460" s="5">
        <v>174.74</v>
      </c>
      <c r="T460" s="5">
        <v>415.96</v>
      </c>
      <c r="U460" s="5" t="str">
        <f t="shared" si="142"/>
        <v>Valid</v>
      </c>
      <c r="V460" s="5">
        <f t="shared" si="133"/>
        <v>415.96</v>
      </c>
      <c r="W460" s="5" t="str">
        <f t="shared" si="143"/>
        <v>Low</v>
      </c>
      <c r="X460" s="5">
        <v>0.125</v>
      </c>
      <c r="Y460" s="5" t="str">
        <f t="shared" si="144"/>
        <v>Valid</v>
      </c>
      <c r="Z460" s="5">
        <f t="shared" si="145"/>
        <v>0.125</v>
      </c>
      <c r="AA460" s="5">
        <v>21</v>
      </c>
      <c r="AB460">
        <f t="shared" si="146"/>
        <v>7643.2649999999994</v>
      </c>
      <c r="AC460">
        <f t="shared" si="134"/>
        <v>3669.54</v>
      </c>
      <c r="AD460">
        <f t="shared" si="147"/>
        <v>3973.7249999999995</v>
      </c>
      <c r="AE460">
        <f t="shared" si="148"/>
        <v>0.51989889137691803</v>
      </c>
      <c r="AF460">
        <f t="shared" si="149"/>
        <v>0</v>
      </c>
      <c r="AG460">
        <f t="shared" si="150"/>
        <v>0</v>
      </c>
      <c r="AK460">
        <f>AA460*(1+What_if_Analysis!$B$4)</f>
        <v>25.2</v>
      </c>
      <c r="AL460" s="5">
        <f>MIN(Z460,What_if_Analysis!$B$2)</f>
        <v>0.05</v>
      </c>
      <c r="AM460">
        <f t="shared" si="151"/>
        <v>9958.0823999999993</v>
      </c>
      <c r="AN460">
        <f>AM460-(AK460*(T460*(1+What_if_Analysis!$B$3)))</f>
        <v>-1572.3288000000011</v>
      </c>
    </row>
    <row r="461" spans="1:40" x14ac:dyDescent="0.3">
      <c r="A461" t="s">
        <v>473</v>
      </c>
      <c r="B461" s="3">
        <v>45417</v>
      </c>
      <c r="C461" s="3" t="str">
        <f t="shared" si="135"/>
        <v>May-2024</v>
      </c>
      <c r="D461" s="3" t="str">
        <f t="shared" si="136"/>
        <v>Q2-2024</v>
      </c>
      <c r="E461" s="3">
        <v>45430</v>
      </c>
      <c r="F461" s="3" t="str">
        <f t="shared" si="137"/>
        <v>Valid</v>
      </c>
      <c r="G461" s="12">
        <f t="shared" si="138"/>
        <v>13</v>
      </c>
      <c r="H461" s="3">
        <f t="shared" si="139"/>
        <v>45430</v>
      </c>
      <c r="I461" t="s">
        <v>649</v>
      </c>
      <c r="J461" t="str">
        <f t="shared" si="140"/>
        <v>Europe → France → Marseille</v>
      </c>
      <c r="K461" s="3" t="str">
        <f t="shared" si="141"/>
        <v>France-2024-05</v>
      </c>
      <c r="L461" t="s">
        <v>657</v>
      </c>
      <c r="M461" t="s">
        <v>673</v>
      </c>
      <c r="N461" t="s">
        <v>701</v>
      </c>
      <c r="O461" t="s">
        <v>709</v>
      </c>
      <c r="P461" t="s">
        <v>720</v>
      </c>
      <c r="Q461" t="s">
        <v>727</v>
      </c>
      <c r="R461" t="s">
        <v>1192</v>
      </c>
      <c r="S461" s="5">
        <v>1264.04</v>
      </c>
      <c r="T461" s="5">
        <v>1870.89</v>
      </c>
      <c r="U461" s="5" t="str">
        <f t="shared" si="142"/>
        <v>Valid</v>
      </c>
      <c r="V461" s="5">
        <f t="shared" si="133"/>
        <v>1870.89</v>
      </c>
      <c r="W461" s="5" t="str">
        <f t="shared" si="143"/>
        <v>Medium</v>
      </c>
      <c r="X461" s="5">
        <v>0</v>
      </c>
      <c r="Y461" s="5" t="str">
        <f t="shared" si="144"/>
        <v>Valid</v>
      </c>
      <c r="Z461" s="5">
        <f t="shared" si="145"/>
        <v>0</v>
      </c>
      <c r="AA461" s="5">
        <v>13</v>
      </c>
      <c r="AB461">
        <f t="shared" si="146"/>
        <v>24321.57</v>
      </c>
      <c r="AC461">
        <f t="shared" si="134"/>
        <v>16432.52</v>
      </c>
      <c r="AD461">
        <f t="shared" si="147"/>
        <v>7889.0499999999993</v>
      </c>
      <c r="AE461">
        <f t="shared" si="148"/>
        <v>0.32436433996653996</v>
      </c>
      <c r="AF461">
        <f t="shared" si="149"/>
        <v>0</v>
      </c>
      <c r="AG461">
        <f t="shared" si="150"/>
        <v>0</v>
      </c>
      <c r="AK461">
        <f>AA461*(1+What_if_Analysis!$B$4)</f>
        <v>15.6</v>
      </c>
      <c r="AL461" s="5">
        <f>MIN(Z461,What_if_Analysis!$B$2)</f>
        <v>0</v>
      </c>
      <c r="AM461">
        <f t="shared" si="151"/>
        <v>29185.884000000002</v>
      </c>
      <c r="AN461">
        <f>AM461-(AK461*(T461*(1+What_if_Analysis!$B$3)))</f>
        <v>-2918.5884000000005</v>
      </c>
    </row>
    <row r="462" spans="1:40" x14ac:dyDescent="0.3">
      <c r="A462" t="s">
        <v>474</v>
      </c>
      <c r="B462" s="3">
        <v>45116</v>
      </c>
      <c r="C462" s="3" t="str">
        <f t="shared" si="135"/>
        <v>Jul-2023</v>
      </c>
      <c r="D462" s="3" t="str">
        <f t="shared" si="136"/>
        <v>Q3-2023</v>
      </c>
      <c r="E462" s="3">
        <v>45126</v>
      </c>
      <c r="F462" s="3" t="str">
        <f t="shared" si="137"/>
        <v>Valid</v>
      </c>
      <c r="G462" s="12">
        <f t="shared" si="138"/>
        <v>10</v>
      </c>
      <c r="H462" s="3">
        <f t="shared" si="139"/>
        <v>45126</v>
      </c>
      <c r="I462" t="s">
        <v>647</v>
      </c>
      <c r="J462" t="str">
        <f t="shared" si="140"/>
        <v>Asia → Japan → Tokyo</v>
      </c>
      <c r="K462" s="3" t="str">
        <f t="shared" si="141"/>
        <v>Japan-2023-07</v>
      </c>
      <c r="L462" t="s">
        <v>652</v>
      </c>
      <c r="M462" t="s">
        <v>689</v>
      </c>
      <c r="N462" t="s">
        <v>706</v>
      </c>
      <c r="O462" t="s">
        <v>710</v>
      </c>
      <c r="P462" t="s">
        <v>725</v>
      </c>
      <c r="Q462" t="s">
        <v>727</v>
      </c>
      <c r="R462" t="s">
        <v>1193</v>
      </c>
      <c r="S462" s="5">
        <v>141.26</v>
      </c>
      <c r="T462" s="5">
        <v>206.88</v>
      </c>
      <c r="U462" s="5" t="str">
        <f t="shared" si="142"/>
        <v>Valid</v>
      </c>
      <c r="V462" s="5">
        <f t="shared" si="133"/>
        <v>206.88</v>
      </c>
      <c r="W462" s="5" t="str">
        <f t="shared" si="143"/>
        <v>Low</v>
      </c>
      <c r="X462" s="5">
        <v>0.107</v>
      </c>
      <c r="Y462" s="5" t="str">
        <f t="shared" si="144"/>
        <v>Valid</v>
      </c>
      <c r="Z462" s="5">
        <f t="shared" si="145"/>
        <v>0.107</v>
      </c>
      <c r="AA462" s="5">
        <v>9</v>
      </c>
      <c r="AB462">
        <f t="shared" si="146"/>
        <v>1662.6945600000001</v>
      </c>
      <c r="AC462">
        <f t="shared" si="134"/>
        <v>1271.3399999999999</v>
      </c>
      <c r="AD462">
        <f t="shared" si="147"/>
        <v>391.35456000000022</v>
      </c>
      <c r="AE462">
        <f t="shared" si="148"/>
        <v>0.23537369365062469</v>
      </c>
      <c r="AF462">
        <f t="shared" si="149"/>
        <v>0</v>
      </c>
      <c r="AG462">
        <f t="shared" si="150"/>
        <v>0</v>
      </c>
      <c r="AK462">
        <f>AA462*(1+What_if_Analysis!$B$4)</f>
        <v>10.799999999999999</v>
      </c>
      <c r="AL462" s="5">
        <f>MIN(Z462,What_if_Analysis!$B$2)</f>
        <v>0.05</v>
      </c>
      <c r="AM462">
        <f t="shared" si="151"/>
        <v>2122.5887999999995</v>
      </c>
      <c r="AN462">
        <f>AM462-(AK462*(T462*(1+What_if_Analysis!$B$3)))</f>
        <v>-335.14560000000029</v>
      </c>
    </row>
    <row r="463" spans="1:40" x14ac:dyDescent="0.3">
      <c r="A463" t="s">
        <v>475</v>
      </c>
      <c r="B463" s="3">
        <v>45063</v>
      </c>
      <c r="C463" s="3" t="str">
        <f t="shared" si="135"/>
        <v>May-2023</v>
      </c>
      <c r="D463" s="3" t="str">
        <f t="shared" si="136"/>
        <v>Q2-2023</v>
      </c>
      <c r="E463" s="3">
        <v>45092</v>
      </c>
      <c r="F463" s="3" t="str">
        <f t="shared" si="137"/>
        <v>Valid</v>
      </c>
      <c r="G463" s="12">
        <f t="shared" si="138"/>
        <v>29</v>
      </c>
      <c r="H463" s="3">
        <f t="shared" si="139"/>
        <v>45092</v>
      </c>
      <c r="I463" t="s">
        <v>646</v>
      </c>
      <c r="J463" t="str">
        <f t="shared" si="140"/>
        <v>Africa → South Africa → Durban</v>
      </c>
      <c r="K463" s="3" t="str">
        <f t="shared" si="141"/>
        <v>South Africa-2023-05</v>
      </c>
      <c r="L463" t="s">
        <v>661</v>
      </c>
      <c r="M463" t="s">
        <v>687</v>
      </c>
      <c r="N463" t="s">
        <v>706</v>
      </c>
      <c r="O463" t="s">
        <v>707</v>
      </c>
      <c r="P463" t="s">
        <v>723</v>
      </c>
      <c r="Q463" t="s">
        <v>733</v>
      </c>
      <c r="R463" t="s">
        <v>1194</v>
      </c>
      <c r="S463" s="5">
        <v>40.89</v>
      </c>
      <c r="T463" s="5">
        <v>62.82</v>
      </c>
      <c r="U463" s="5" t="str">
        <f t="shared" si="142"/>
        <v>Valid</v>
      </c>
      <c r="V463" s="5">
        <f t="shared" si="133"/>
        <v>62.82</v>
      </c>
      <c r="W463" s="5" t="str">
        <f t="shared" si="143"/>
        <v>Low</v>
      </c>
      <c r="X463" s="5">
        <v>0.129</v>
      </c>
      <c r="Y463" s="5" t="str">
        <f t="shared" si="144"/>
        <v>Valid</v>
      </c>
      <c r="Z463" s="5">
        <f t="shared" si="145"/>
        <v>0.129</v>
      </c>
      <c r="AA463" s="5">
        <v>17</v>
      </c>
      <c r="AB463">
        <f t="shared" si="146"/>
        <v>930.17574000000002</v>
      </c>
      <c r="AC463">
        <f t="shared" si="134"/>
        <v>695.13</v>
      </c>
      <c r="AD463">
        <f t="shared" si="147"/>
        <v>235.04574000000002</v>
      </c>
      <c r="AE463">
        <f t="shared" si="148"/>
        <v>0.25268960465470752</v>
      </c>
      <c r="AF463">
        <f t="shared" si="149"/>
        <v>0</v>
      </c>
      <c r="AG463">
        <f t="shared" si="150"/>
        <v>0</v>
      </c>
      <c r="AK463">
        <f>AA463*(1+What_if_Analysis!$B$4)</f>
        <v>20.399999999999999</v>
      </c>
      <c r="AL463" s="5">
        <f>MIN(Z463,What_if_Analysis!$B$2)</f>
        <v>0.05</v>
      </c>
      <c r="AM463">
        <f t="shared" si="151"/>
        <v>1217.4515999999999</v>
      </c>
      <c r="AN463">
        <f>AM463-(AK463*(T463*(1+What_if_Analysis!$B$3)))</f>
        <v>-192.22920000000022</v>
      </c>
    </row>
    <row r="464" spans="1:40" x14ac:dyDescent="0.3">
      <c r="A464" t="s">
        <v>476</v>
      </c>
      <c r="B464" s="3">
        <v>45358</v>
      </c>
      <c r="C464" s="3" t="str">
        <f t="shared" si="135"/>
        <v>Mar-2024</v>
      </c>
      <c r="D464" s="3" t="str">
        <f t="shared" si="136"/>
        <v>Q1-2024</v>
      </c>
      <c r="E464" s="3">
        <v>45385</v>
      </c>
      <c r="F464" s="3" t="str">
        <f t="shared" si="137"/>
        <v>Valid</v>
      </c>
      <c r="G464" s="12">
        <f t="shared" si="138"/>
        <v>27</v>
      </c>
      <c r="H464" s="3">
        <f t="shared" si="139"/>
        <v>45385</v>
      </c>
      <c r="I464" t="s">
        <v>649</v>
      </c>
      <c r="J464" t="str">
        <f t="shared" si="140"/>
        <v>Europe → Germany → Frankfurt</v>
      </c>
      <c r="K464" s="3" t="str">
        <f t="shared" si="141"/>
        <v>Germany-2024-03</v>
      </c>
      <c r="L464" t="s">
        <v>656</v>
      </c>
      <c r="M464" t="s">
        <v>698</v>
      </c>
      <c r="N464" t="s">
        <v>701</v>
      </c>
      <c r="O464" t="s">
        <v>711</v>
      </c>
      <c r="P464" t="s">
        <v>724</v>
      </c>
      <c r="Q464" t="s">
        <v>728</v>
      </c>
      <c r="R464" t="s">
        <v>1195</v>
      </c>
      <c r="S464" s="5">
        <v>738.16</v>
      </c>
      <c r="T464" s="5">
        <v>956.49</v>
      </c>
      <c r="U464" s="5" t="str">
        <f t="shared" si="142"/>
        <v>Valid</v>
      </c>
      <c r="V464" s="5">
        <f t="shared" si="133"/>
        <v>956.49</v>
      </c>
      <c r="W464" s="5" t="str">
        <f t="shared" si="143"/>
        <v>Medium</v>
      </c>
      <c r="X464" s="5">
        <v>0.152</v>
      </c>
      <c r="Y464" s="5" t="str">
        <f t="shared" si="144"/>
        <v>Valid</v>
      </c>
      <c r="Z464" s="5">
        <f t="shared" si="145"/>
        <v>0.152</v>
      </c>
      <c r="AA464" s="5">
        <v>5</v>
      </c>
      <c r="AB464">
        <f t="shared" si="146"/>
        <v>4055.5175999999997</v>
      </c>
      <c r="AC464">
        <f t="shared" si="134"/>
        <v>3690.7999999999997</v>
      </c>
      <c r="AD464">
        <f t="shared" si="147"/>
        <v>364.71759999999995</v>
      </c>
      <c r="AE464">
        <f t="shared" si="148"/>
        <v>8.9931208780847108E-2</v>
      </c>
      <c r="AF464">
        <f t="shared" si="149"/>
        <v>0</v>
      </c>
      <c r="AG464">
        <f t="shared" si="150"/>
        <v>0</v>
      </c>
      <c r="AK464">
        <f>AA464*(1+What_if_Analysis!$B$4)</f>
        <v>6</v>
      </c>
      <c r="AL464" s="5">
        <f>MIN(Z464,What_if_Analysis!$B$2)</f>
        <v>0.05</v>
      </c>
      <c r="AM464">
        <f t="shared" si="151"/>
        <v>5451.9930000000004</v>
      </c>
      <c r="AN464">
        <f>AM464-(AK464*(T464*(1+What_if_Analysis!$B$3)))</f>
        <v>-860.84100000000035</v>
      </c>
    </row>
    <row r="465" spans="1:40" x14ac:dyDescent="0.3">
      <c r="A465" t="s">
        <v>477</v>
      </c>
      <c r="B465" s="3">
        <v>45757</v>
      </c>
      <c r="C465" s="3" t="str">
        <f t="shared" si="135"/>
        <v>Apr-2025</v>
      </c>
      <c r="D465" s="3" t="str">
        <f t="shared" si="136"/>
        <v>Q2-2025</v>
      </c>
      <c r="E465" s="3">
        <v>45766</v>
      </c>
      <c r="F465" s="3" t="str">
        <f t="shared" si="137"/>
        <v>Valid</v>
      </c>
      <c r="G465" s="12">
        <f t="shared" si="138"/>
        <v>9</v>
      </c>
      <c r="H465" s="3">
        <f t="shared" si="139"/>
        <v>45766</v>
      </c>
      <c r="I465" t="s">
        <v>646</v>
      </c>
      <c r="J465" t="str">
        <f t="shared" si="140"/>
        <v>Africa → South Africa → Durban</v>
      </c>
      <c r="K465" s="3" t="str">
        <f t="shared" si="141"/>
        <v>South Africa-2025-04</v>
      </c>
      <c r="L465" t="s">
        <v>661</v>
      </c>
      <c r="M465" t="s">
        <v>687</v>
      </c>
      <c r="N465" t="s">
        <v>706</v>
      </c>
      <c r="O465" t="s">
        <v>1424</v>
      </c>
      <c r="P465" t="s">
        <v>715</v>
      </c>
      <c r="Q465" t="s">
        <v>729</v>
      </c>
      <c r="R465" t="s">
        <v>1196</v>
      </c>
      <c r="S465" s="5">
        <v>113.74</v>
      </c>
      <c r="T465" s="5">
        <v>165.7</v>
      </c>
      <c r="U465" s="5" t="str">
        <f t="shared" si="142"/>
        <v>Valid</v>
      </c>
      <c r="V465" s="5">
        <f t="shared" si="133"/>
        <v>165.7</v>
      </c>
      <c r="W465" s="5" t="str">
        <f t="shared" si="143"/>
        <v>Low</v>
      </c>
      <c r="X465" s="5">
        <v>0.124</v>
      </c>
      <c r="Y465" s="5" t="str">
        <f t="shared" si="144"/>
        <v>Valid</v>
      </c>
      <c r="Z465" s="5">
        <f t="shared" si="145"/>
        <v>0.124</v>
      </c>
      <c r="AA465" s="5">
        <v>13</v>
      </c>
      <c r="AB465">
        <f t="shared" si="146"/>
        <v>1886.9915999999998</v>
      </c>
      <c r="AC465">
        <f t="shared" si="134"/>
        <v>1478.62</v>
      </c>
      <c r="AD465">
        <f t="shared" si="147"/>
        <v>408.37159999999994</v>
      </c>
      <c r="AE465">
        <f t="shared" si="148"/>
        <v>0.21641410592394794</v>
      </c>
      <c r="AF465">
        <f t="shared" si="149"/>
        <v>0</v>
      </c>
      <c r="AG465">
        <f t="shared" si="150"/>
        <v>0</v>
      </c>
      <c r="AK465">
        <f>AA465*(1+What_if_Analysis!$B$4)</f>
        <v>15.6</v>
      </c>
      <c r="AL465" s="5">
        <f>MIN(Z465,What_if_Analysis!$B$2)</f>
        <v>0.05</v>
      </c>
      <c r="AM465">
        <f t="shared" si="151"/>
        <v>2455.6739999999995</v>
      </c>
      <c r="AN465">
        <f>AM465-(AK465*(T465*(1+What_if_Analysis!$B$3)))</f>
        <v>-387.73800000000074</v>
      </c>
    </row>
    <row r="466" spans="1:40" x14ac:dyDescent="0.3">
      <c r="A466" t="s">
        <v>478</v>
      </c>
      <c r="B466" s="3">
        <v>45865</v>
      </c>
      <c r="C466" s="3" t="str">
        <f t="shared" si="135"/>
        <v>Jul-2025</v>
      </c>
      <c r="D466" s="3" t="str">
        <f t="shared" si="136"/>
        <v>Q3-2025</v>
      </c>
      <c r="E466" s="3">
        <v>45884</v>
      </c>
      <c r="F466" s="3" t="str">
        <f t="shared" si="137"/>
        <v>Valid</v>
      </c>
      <c r="G466" s="12">
        <f t="shared" si="138"/>
        <v>19</v>
      </c>
      <c r="H466" s="3">
        <f t="shared" si="139"/>
        <v>45884</v>
      </c>
      <c r="I466" t="s">
        <v>647</v>
      </c>
      <c r="J466" t="str">
        <f t="shared" si="140"/>
        <v>Asia → Japan → Tokyo</v>
      </c>
      <c r="K466" s="3" t="str">
        <f t="shared" si="141"/>
        <v>Japan-2025-07</v>
      </c>
      <c r="L466" t="s">
        <v>652</v>
      </c>
      <c r="M466" t="s">
        <v>689</v>
      </c>
      <c r="N466" t="s">
        <v>705</v>
      </c>
      <c r="O466" t="s">
        <v>709</v>
      </c>
      <c r="P466" t="s">
        <v>713</v>
      </c>
      <c r="Q466" t="s">
        <v>727</v>
      </c>
      <c r="R466" t="s">
        <v>1197</v>
      </c>
      <c r="S466" s="5">
        <v>275.43</v>
      </c>
      <c r="T466" s="5">
        <v>608.36</v>
      </c>
      <c r="U466" s="5" t="str">
        <f t="shared" si="142"/>
        <v>Valid</v>
      </c>
      <c r="V466" s="5">
        <f t="shared" si="133"/>
        <v>608.36</v>
      </c>
      <c r="W466" s="5" t="str">
        <f t="shared" si="143"/>
        <v>Low</v>
      </c>
      <c r="X466" s="5">
        <v>0.25700000000000001</v>
      </c>
      <c r="Y466" s="5" t="str">
        <f t="shared" si="144"/>
        <v>Valid</v>
      </c>
      <c r="Z466" s="5">
        <f t="shared" si="145"/>
        <v>0.25700000000000001</v>
      </c>
      <c r="AA466" s="5">
        <v>4</v>
      </c>
      <c r="AB466">
        <f t="shared" si="146"/>
        <v>1808.04592</v>
      </c>
      <c r="AC466">
        <f t="shared" si="134"/>
        <v>1101.72</v>
      </c>
      <c r="AD466">
        <f t="shared" si="147"/>
        <v>706.32592</v>
      </c>
      <c r="AE466">
        <f t="shared" si="148"/>
        <v>0.39065706915231446</v>
      </c>
      <c r="AF466">
        <f t="shared" si="149"/>
        <v>0</v>
      </c>
      <c r="AG466">
        <f t="shared" si="150"/>
        <v>1</v>
      </c>
      <c r="AK466">
        <f>AA466*(1+What_if_Analysis!$B$4)</f>
        <v>4.8</v>
      </c>
      <c r="AL466" s="5">
        <f>MIN(Z466,What_if_Analysis!$B$2)</f>
        <v>0.05</v>
      </c>
      <c r="AM466">
        <f t="shared" si="151"/>
        <v>2774.1215999999999</v>
      </c>
      <c r="AN466">
        <f>AM466-(AK466*(T466*(1+What_if_Analysis!$B$3)))</f>
        <v>-438.01920000000018</v>
      </c>
    </row>
    <row r="467" spans="1:40" x14ac:dyDescent="0.3">
      <c r="A467" t="s">
        <v>479</v>
      </c>
      <c r="B467" s="3">
        <v>45618</v>
      </c>
      <c r="C467" s="3" t="str">
        <f t="shared" si="135"/>
        <v>Nov-2024</v>
      </c>
      <c r="D467" s="3" t="str">
        <f t="shared" si="136"/>
        <v>Q4-2024</v>
      </c>
      <c r="E467" s="3">
        <v>45641</v>
      </c>
      <c r="F467" s="3" t="str">
        <f t="shared" si="137"/>
        <v>Valid</v>
      </c>
      <c r="G467" s="12">
        <f t="shared" si="138"/>
        <v>23</v>
      </c>
      <c r="H467" s="3">
        <f t="shared" si="139"/>
        <v>45641</v>
      </c>
      <c r="I467" t="s">
        <v>646</v>
      </c>
      <c r="J467" t="str">
        <f t="shared" si="140"/>
        <v>Africa → Kenya → Mombasa</v>
      </c>
      <c r="K467" s="3" t="str">
        <f t="shared" si="141"/>
        <v>Kenya-2024-11</v>
      </c>
      <c r="L467" t="s">
        <v>650</v>
      </c>
      <c r="M467" t="s">
        <v>675</v>
      </c>
      <c r="N467" t="s">
        <v>703</v>
      </c>
      <c r="O467" t="s">
        <v>710</v>
      </c>
      <c r="P467" t="s">
        <v>712</v>
      </c>
      <c r="Q467" t="s">
        <v>727</v>
      </c>
      <c r="R467" t="s">
        <v>1198</v>
      </c>
      <c r="S467" s="5">
        <v>1335.76</v>
      </c>
      <c r="T467" s="5">
        <v>2665.91</v>
      </c>
      <c r="U467" s="5" t="str">
        <f t="shared" si="142"/>
        <v>Valid</v>
      </c>
      <c r="V467" s="5">
        <f t="shared" si="133"/>
        <v>2665.91</v>
      </c>
      <c r="W467" s="5" t="str">
        <f t="shared" si="143"/>
        <v>High</v>
      </c>
      <c r="X467" s="5">
        <v>0.21099999999999999</v>
      </c>
      <c r="Y467" s="5" t="str">
        <f t="shared" si="144"/>
        <v>Valid</v>
      </c>
      <c r="Z467" s="5">
        <f t="shared" si="145"/>
        <v>0.21099999999999999</v>
      </c>
      <c r="AA467" s="5">
        <v>40</v>
      </c>
      <c r="AB467">
        <f t="shared" si="146"/>
        <v>84136.119600000005</v>
      </c>
      <c r="AC467">
        <f t="shared" si="134"/>
        <v>53430.400000000001</v>
      </c>
      <c r="AD467">
        <f t="shared" si="147"/>
        <v>30705.719600000004</v>
      </c>
      <c r="AE467">
        <f t="shared" si="148"/>
        <v>0.36495288522909253</v>
      </c>
      <c r="AF467">
        <f t="shared" si="149"/>
        <v>0</v>
      </c>
      <c r="AG467">
        <f t="shared" si="150"/>
        <v>1</v>
      </c>
      <c r="AK467">
        <f>AA467*(1+What_if_Analysis!$B$4)</f>
        <v>48</v>
      </c>
      <c r="AL467" s="5">
        <f>MIN(Z467,What_if_Analysis!$B$2)</f>
        <v>0.05</v>
      </c>
      <c r="AM467">
        <f t="shared" si="151"/>
        <v>121565.49599999998</v>
      </c>
      <c r="AN467">
        <f>AM467-(AK467*(T467*(1+What_if_Analysis!$B$3)))</f>
        <v>-19194.552000000025</v>
      </c>
    </row>
    <row r="468" spans="1:40" x14ac:dyDescent="0.3">
      <c r="A468" t="s">
        <v>480</v>
      </c>
      <c r="B468" s="3">
        <v>45466</v>
      </c>
      <c r="C468" s="3" t="str">
        <f t="shared" si="135"/>
        <v>Jun-2024</v>
      </c>
      <c r="D468" s="3" t="str">
        <f t="shared" si="136"/>
        <v>Q2-2024</v>
      </c>
      <c r="E468" s="3">
        <v>45471</v>
      </c>
      <c r="F468" s="3" t="str">
        <f t="shared" si="137"/>
        <v>Valid</v>
      </c>
      <c r="G468" s="12">
        <f t="shared" si="138"/>
        <v>5</v>
      </c>
      <c r="H468" s="3">
        <f t="shared" si="139"/>
        <v>45471</v>
      </c>
      <c r="I468" t="s">
        <v>646</v>
      </c>
      <c r="J468" t="str">
        <f t="shared" si="140"/>
        <v>Africa → Nigeria → Port Harcourt</v>
      </c>
      <c r="K468" s="3" t="str">
        <f t="shared" si="141"/>
        <v>Nigeria-2024-06</v>
      </c>
      <c r="L468" t="s">
        <v>651</v>
      </c>
      <c r="M468" t="s">
        <v>663</v>
      </c>
      <c r="N468" t="s">
        <v>703</v>
      </c>
      <c r="O468" t="s">
        <v>711</v>
      </c>
      <c r="P468" t="s">
        <v>724</v>
      </c>
      <c r="Q468" t="s">
        <v>733</v>
      </c>
      <c r="R468" t="s">
        <v>1199</v>
      </c>
      <c r="S468" s="5">
        <v>242.31</v>
      </c>
      <c r="T468" s="5">
        <v>587.95000000000005</v>
      </c>
      <c r="U468" s="5" t="str">
        <f t="shared" si="142"/>
        <v>Valid</v>
      </c>
      <c r="V468" s="5">
        <f t="shared" si="133"/>
        <v>587.95000000000005</v>
      </c>
      <c r="W468" s="5" t="str">
        <f t="shared" si="143"/>
        <v>Low</v>
      </c>
      <c r="X468" s="5">
        <v>0.22900000000000001</v>
      </c>
      <c r="Y468" s="5" t="str">
        <f t="shared" si="144"/>
        <v>Valid</v>
      </c>
      <c r="Z468" s="5">
        <f t="shared" si="145"/>
        <v>0.22900000000000001</v>
      </c>
      <c r="AA468" s="5">
        <v>6</v>
      </c>
      <c r="AB468">
        <f t="shared" si="146"/>
        <v>2719.8567000000003</v>
      </c>
      <c r="AC468">
        <f t="shared" si="134"/>
        <v>1453.8600000000001</v>
      </c>
      <c r="AD468">
        <f t="shared" si="147"/>
        <v>1265.9967000000001</v>
      </c>
      <c r="AE468">
        <f t="shared" si="148"/>
        <v>0.46546448568411714</v>
      </c>
      <c r="AF468">
        <f t="shared" si="149"/>
        <v>1</v>
      </c>
      <c r="AG468">
        <f t="shared" si="150"/>
        <v>1</v>
      </c>
      <c r="AK468">
        <f>AA468*(1+What_if_Analysis!$B$4)</f>
        <v>7.1999999999999993</v>
      </c>
      <c r="AL468" s="5">
        <f>MIN(Z468,What_if_Analysis!$B$2)</f>
        <v>0.05</v>
      </c>
      <c r="AM468">
        <f t="shared" si="151"/>
        <v>4021.5779999999995</v>
      </c>
      <c r="AN468">
        <f>AM468-(AK468*(T468*(1+What_if_Analysis!$B$3)))</f>
        <v>-634.98600000000079</v>
      </c>
    </row>
    <row r="469" spans="1:40" x14ac:dyDescent="0.3">
      <c r="A469" t="s">
        <v>481</v>
      </c>
      <c r="B469" s="3">
        <v>45278</v>
      </c>
      <c r="C469" s="3" t="str">
        <f t="shared" si="135"/>
        <v>Dec-2023</v>
      </c>
      <c r="D469" s="3" t="str">
        <f t="shared" si="136"/>
        <v>Q4-2023</v>
      </c>
      <c r="E469" s="3">
        <v>45305</v>
      </c>
      <c r="F469" s="3" t="str">
        <f t="shared" si="137"/>
        <v>Valid</v>
      </c>
      <c r="G469" s="12">
        <f t="shared" si="138"/>
        <v>27</v>
      </c>
      <c r="H469" s="3">
        <f t="shared" si="139"/>
        <v>45305</v>
      </c>
      <c r="I469" t="s">
        <v>647</v>
      </c>
      <c r="J469" t="str">
        <f t="shared" si="140"/>
        <v>Asia → India → Mumbai</v>
      </c>
      <c r="K469" s="3" t="str">
        <f t="shared" si="141"/>
        <v>India-2023-12</v>
      </c>
      <c r="L469" t="s">
        <v>654</v>
      </c>
      <c r="M469" t="s">
        <v>691</v>
      </c>
      <c r="N469" t="s">
        <v>704</v>
      </c>
      <c r="O469" t="s">
        <v>710</v>
      </c>
      <c r="P469" t="s">
        <v>726</v>
      </c>
      <c r="Q469" t="s">
        <v>729</v>
      </c>
      <c r="R469" t="s">
        <v>1200</v>
      </c>
      <c r="S469" s="5">
        <v>1408.3</v>
      </c>
      <c r="T469" s="5">
        <v>2193.13</v>
      </c>
      <c r="U469" s="5" t="str">
        <f t="shared" si="142"/>
        <v>Valid</v>
      </c>
      <c r="V469" s="5">
        <f t="shared" si="133"/>
        <v>2193.13</v>
      </c>
      <c r="W469" s="5" t="str">
        <f t="shared" si="143"/>
        <v>High</v>
      </c>
      <c r="X469" s="5">
        <v>7.0999999999999994E-2</v>
      </c>
      <c r="Y469" s="5" t="str">
        <f t="shared" si="144"/>
        <v>Valid</v>
      </c>
      <c r="Z469" s="5">
        <f t="shared" si="145"/>
        <v>7.0999999999999994E-2</v>
      </c>
      <c r="AA469" s="5">
        <v>7</v>
      </c>
      <c r="AB469">
        <f t="shared" si="146"/>
        <v>14261.92439</v>
      </c>
      <c r="AC469">
        <f t="shared" si="134"/>
        <v>9858.1</v>
      </c>
      <c r="AD469">
        <f t="shared" si="147"/>
        <v>4403.8243899999998</v>
      </c>
      <c r="AE469">
        <f t="shared" si="148"/>
        <v>0.30878191957656281</v>
      </c>
      <c r="AF469">
        <f t="shared" si="149"/>
        <v>0</v>
      </c>
      <c r="AG469">
        <f t="shared" si="150"/>
        <v>0</v>
      </c>
      <c r="AK469">
        <f>AA469*(1+What_if_Analysis!$B$4)</f>
        <v>8.4</v>
      </c>
      <c r="AL469" s="5">
        <f>MIN(Z469,What_if_Analysis!$B$2)</f>
        <v>0.05</v>
      </c>
      <c r="AM469">
        <f t="shared" si="151"/>
        <v>17501.1774</v>
      </c>
      <c r="AN469">
        <f>AM469-(AK469*(T469*(1+What_if_Analysis!$B$3)))</f>
        <v>-2763.3438000000024</v>
      </c>
    </row>
    <row r="470" spans="1:40" x14ac:dyDescent="0.3">
      <c r="A470" t="s">
        <v>482</v>
      </c>
      <c r="B470" s="3">
        <v>45809</v>
      </c>
      <c r="C470" s="3" t="str">
        <f t="shared" si="135"/>
        <v>Jun-2025</v>
      </c>
      <c r="D470" s="3" t="str">
        <f t="shared" si="136"/>
        <v>Q2-2025</v>
      </c>
      <c r="E470" s="3">
        <v>45813</v>
      </c>
      <c r="F470" s="3" t="str">
        <f t="shared" si="137"/>
        <v>Valid</v>
      </c>
      <c r="G470" s="12">
        <f t="shared" si="138"/>
        <v>4</v>
      </c>
      <c r="H470" s="3">
        <f t="shared" si="139"/>
        <v>45813</v>
      </c>
      <c r="I470" t="s">
        <v>649</v>
      </c>
      <c r="J470" t="str">
        <f t="shared" si="140"/>
        <v>Europe → Germany → Munich</v>
      </c>
      <c r="K470" s="3" t="str">
        <f t="shared" si="141"/>
        <v>Germany-2025-06</v>
      </c>
      <c r="L470" t="s">
        <v>656</v>
      </c>
      <c r="M470" t="s">
        <v>684</v>
      </c>
      <c r="N470" t="s">
        <v>706</v>
      </c>
      <c r="O470" t="s">
        <v>711</v>
      </c>
      <c r="P470" t="s">
        <v>724</v>
      </c>
      <c r="Q470" t="s">
        <v>727</v>
      </c>
      <c r="R470" t="s">
        <v>1201</v>
      </c>
      <c r="S470" s="5">
        <v>1171.42</v>
      </c>
      <c r="T470" s="5">
        <v>2187.8000000000002</v>
      </c>
      <c r="U470" s="5" t="str">
        <f t="shared" si="142"/>
        <v>Valid</v>
      </c>
      <c r="V470" s="5">
        <f t="shared" si="133"/>
        <v>2187.8000000000002</v>
      </c>
      <c r="W470" s="5" t="str">
        <f t="shared" si="143"/>
        <v>High</v>
      </c>
      <c r="X470" s="5">
        <v>0.23</v>
      </c>
      <c r="Y470" s="5" t="str">
        <f t="shared" si="144"/>
        <v>Valid</v>
      </c>
      <c r="Z470" s="5">
        <f t="shared" si="145"/>
        <v>0.23</v>
      </c>
      <c r="AA470" s="5">
        <v>15</v>
      </c>
      <c r="AB470">
        <f t="shared" si="146"/>
        <v>25269.09</v>
      </c>
      <c r="AC470">
        <f t="shared" si="134"/>
        <v>17571.300000000003</v>
      </c>
      <c r="AD470">
        <f t="shared" si="147"/>
        <v>7697.7899999999972</v>
      </c>
      <c r="AE470">
        <f t="shared" si="148"/>
        <v>0.30463265594447592</v>
      </c>
      <c r="AF470">
        <f t="shared" si="149"/>
        <v>1</v>
      </c>
      <c r="AG470">
        <f t="shared" si="150"/>
        <v>1</v>
      </c>
      <c r="AK470">
        <f>AA470*(1+What_if_Analysis!$B$4)</f>
        <v>18</v>
      </c>
      <c r="AL470" s="5">
        <f>MIN(Z470,What_if_Analysis!$B$2)</f>
        <v>0.05</v>
      </c>
      <c r="AM470">
        <f t="shared" si="151"/>
        <v>37411.379999999997</v>
      </c>
      <c r="AN470">
        <f>AM470-(AK470*(T470*(1+What_if_Analysis!$B$3)))</f>
        <v>-5907.0600000000122</v>
      </c>
    </row>
    <row r="471" spans="1:40" x14ac:dyDescent="0.3">
      <c r="A471" t="s">
        <v>483</v>
      </c>
      <c r="B471" s="3">
        <v>45739</v>
      </c>
      <c r="C471" s="3" t="str">
        <f t="shared" si="135"/>
        <v>Mar-2025</v>
      </c>
      <c r="D471" s="3" t="str">
        <f t="shared" si="136"/>
        <v>Q1-2025</v>
      </c>
      <c r="E471" s="3">
        <v>45749</v>
      </c>
      <c r="F471" s="3" t="str">
        <f t="shared" si="137"/>
        <v>Valid</v>
      </c>
      <c r="G471" s="12">
        <f t="shared" si="138"/>
        <v>10</v>
      </c>
      <c r="H471" s="3">
        <f t="shared" si="139"/>
        <v>45749</v>
      </c>
      <c r="I471" t="s">
        <v>649</v>
      </c>
      <c r="J471" t="str">
        <f t="shared" si="140"/>
        <v>Europe → Germany → Berlin</v>
      </c>
      <c r="K471" s="3" t="str">
        <f t="shared" si="141"/>
        <v>Germany-2025-03</v>
      </c>
      <c r="L471" t="s">
        <v>656</v>
      </c>
      <c r="M471" t="s">
        <v>671</v>
      </c>
      <c r="N471" t="s">
        <v>706</v>
      </c>
      <c r="O471" t="s">
        <v>708</v>
      </c>
      <c r="P471" t="s">
        <v>718</v>
      </c>
      <c r="Q471" t="s">
        <v>728</v>
      </c>
      <c r="R471" t="s">
        <v>1202</v>
      </c>
      <c r="S471" s="5">
        <v>663.61</v>
      </c>
      <c r="T471" s="5">
        <v>1002.11</v>
      </c>
      <c r="U471" s="5" t="str">
        <f t="shared" si="142"/>
        <v>Valid</v>
      </c>
      <c r="V471" s="5">
        <f t="shared" si="133"/>
        <v>1002.11</v>
      </c>
      <c r="W471" s="5" t="str">
        <f t="shared" si="143"/>
        <v>Medium</v>
      </c>
      <c r="X471" s="5">
        <v>4.5999999999999999E-2</v>
      </c>
      <c r="Y471" s="5" t="str">
        <f t="shared" si="144"/>
        <v>Valid</v>
      </c>
      <c r="Z471" s="5">
        <f t="shared" si="145"/>
        <v>4.5999999999999999E-2</v>
      </c>
      <c r="AA471" s="5">
        <v>17</v>
      </c>
      <c r="AB471">
        <f t="shared" si="146"/>
        <v>16252.219979999998</v>
      </c>
      <c r="AC471">
        <f t="shared" si="134"/>
        <v>11281.37</v>
      </c>
      <c r="AD471">
        <f t="shared" si="147"/>
        <v>4970.8499799999972</v>
      </c>
      <c r="AE471">
        <f t="shared" si="148"/>
        <v>0.30585667595670812</v>
      </c>
      <c r="AF471">
        <f t="shared" si="149"/>
        <v>0</v>
      </c>
      <c r="AG471">
        <f t="shared" si="150"/>
        <v>0</v>
      </c>
      <c r="AK471">
        <f>AA471*(1+What_if_Analysis!$B$4)</f>
        <v>20.399999999999999</v>
      </c>
      <c r="AL471" s="5">
        <f>MIN(Z471,What_if_Analysis!$B$2)</f>
        <v>4.5999999999999999E-2</v>
      </c>
      <c r="AM471">
        <f t="shared" si="151"/>
        <v>19502.663975999996</v>
      </c>
      <c r="AN471">
        <f>AM471-(AK471*(T471*(1+What_if_Analysis!$B$3)))</f>
        <v>-2984.6844240000064</v>
      </c>
    </row>
    <row r="472" spans="1:40" x14ac:dyDescent="0.3">
      <c r="A472" t="s">
        <v>484</v>
      </c>
      <c r="B472" s="3">
        <v>45060</v>
      </c>
      <c r="C472" s="3" t="str">
        <f t="shared" si="135"/>
        <v>May-2023</v>
      </c>
      <c r="D472" s="3" t="str">
        <f t="shared" si="136"/>
        <v>Q2-2023</v>
      </c>
      <c r="E472" s="3">
        <v>45068</v>
      </c>
      <c r="F472" s="3" t="str">
        <f t="shared" si="137"/>
        <v>Valid</v>
      </c>
      <c r="G472" s="12">
        <f t="shared" si="138"/>
        <v>8</v>
      </c>
      <c r="H472" s="3">
        <f t="shared" si="139"/>
        <v>45068</v>
      </c>
      <c r="I472" t="s">
        <v>646</v>
      </c>
      <c r="J472" t="str">
        <f t="shared" si="140"/>
        <v>Africa → Kenya → Mombasa</v>
      </c>
      <c r="K472" s="3" t="str">
        <f t="shared" si="141"/>
        <v>Kenya-2023-05</v>
      </c>
      <c r="L472" t="s">
        <v>650</v>
      </c>
      <c r="M472" t="s">
        <v>675</v>
      </c>
      <c r="N472" t="s">
        <v>705</v>
      </c>
      <c r="O472" t="s">
        <v>710</v>
      </c>
      <c r="P472" t="s">
        <v>721</v>
      </c>
      <c r="Q472" t="s">
        <v>728</v>
      </c>
      <c r="R472" t="s">
        <v>1203</v>
      </c>
      <c r="S472" s="5">
        <v>432.01</v>
      </c>
      <c r="T472" s="5">
        <v>913.78</v>
      </c>
      <c r="U472" s="5" t="str">
        <f t="shared" si="142"/>
        <v>Valid</v>
      </c>
      <c r="V472" s="5">
        <f t="shared" si="133"/>
        <v>913.78</v>
      </c>
      <c r="W472" s="5" t="str">
        <f t="shared" si="143"/>
        <v>Medium</v>
      </c>
      <c r="X472" s="5">
        <v>4.9000000000000002E-2</v>
      </c>
      <c r="Y472" s="5" t="str">
        <f t="shared" si="144"/>
        <v>Valid</v>
      </c>
      <c r="Z472" s="5">
        <f t="shared" si="145"/>
        <v>4.9000000000000002E-2</v>
      </c>
      <c r="AA472" s="5">
        <v>12</v>
      </c>
      <c r="AB472">
        <f t="shared" si="146"/>
        <v>10428.057360000001</v>
      </c>
      <c r="AC472">
        <f t="shared" si="134"/>
        <v>5184.12</v>
      </c>
      <c r="AD472">
        <f t="shared" si="147"/>
        <v>5243.9373600000008</v>
      </c>
      <c r="AE472">
        <f t="shared" si="148"/>
        <v>0.50286809699711899</v>
      </c>
      <c r="AF472">
        <f t="shared" si="149"/>
        <v>0</v>
      </c>
      <c r="AG472">
        <f t="shared" si="150"/>
        <v>0</v>
      </c>
      <c r="AK472">
        <f>AA472*(1+What_if_Analysis!$B$4)</f>
        <v>14.399999999999999</v>
      </c>
      <c r="AL472" s="5">
        <f>MIN(Z472,What_if_Analysis!$B$2)</f>
        <v>4.9000000000000002E-2</v>
      </c>
      <c r="AM472">
        <f t="shared" si="151"/>
        <v>12513.668831999998</v>
      </c>
      <c r="AN472">
        <f>AM472-(AK472*(T472*(1+What_if_Analysis!$B$3)))</f>
        <v>-1960.6063680000007</v>
      </c>
    </row>
    <row r="473" spans="1:40" x14ac:dyDescent="0.3">
      <c r="A473" t="s">
        <v>485</v>
      </c>
      <c r="B473" s="3">
        <v>45167</v>
      </c>
      <c r="C473" s="3" t="str">
        <f t="shared" si="135"/>
        <v>Aug-2023</v>
      </c>
      <c r="D473" s="3" t="str">
        <f t="shared" si="136"/>
        <v>Q3-2023</v>
      </c>
      <c r="E473" s="3">
        <v>45188</v>
      </c>
      <c r="F473" s="3" t="str">
        <f t="shared" si="137"/>
        <v>Valid</v>
      </c>
      <c r="G473" s="12">
        <f t="shared" si="138"/>
        <v>21</v>
      </c>
      <c r="H473" s="3">
        <f t="shared" si="139"/>
        <v>45188</v>
      </c>
      <c r="I473" t="s">
        <v>649</v>
      </c>
      <c r="J473" t="str">
        <f t="shared" si="140"/>
        <v>Europe → France → Lyon</v>
      </c>
      <c r="K473" s="3" t="str">
        <f t="shared" si="141"/>
        <v>France-2023-08</v>
      </c>
      <c r="L473" t="s">
        <v>657</v>
      </c>
      <c r="M473" t="s">
        <v>679</v>
      </c>
      <c r="N473" t="s">
        <v>705</v>
      </c>
      <c r="O473" t="s">
        <v>711</v>
      </c>
      <c r="P473" t="s">
        <v>717</v>
      </c>
      <c r="Q473" t="s">
        <v>728</v>
      </c>
      <c r="R473" t="s">
        <v>1204</v>
      </c>
      <c r="S473" s="5">
        <v>784.46</v>
      </c>
      <c r="T473" s="5">
        <v>1843.51</v>
      </c>
      <c r="U473" s="5" t="str">
        <f t="shared" si="142"/>
        <v>Valid</v>
      </c>
      <c r="V473" s="5">
        <f t="shared" si="133"/>
        <v>1843.51</v>
      </c>
      <c r="W473" s="5" t="str">
        <f t="shared" si="143"/>
        <v>Medium</v>
      </c>
      <c r="X473" s="5">
        <v>0.13800000000000001</v>
      </c>
      <c r="Y473" s="5" t="str">
        <f t="shared" si="144"/>
        <v>Valid</v>
      </c>
      <c r="Z473" s="5">
        <f t="shared" si="145"/>
        <v>0.13800000000000001</v>
      </c>
      <c r="AA473" s="5">
        <v>23</v>
      </c>
      <c r="AB473">
        <f t="shared" si="146"/>
        <v>36549.429260000004</v>
      </c>
      <c r="AC473">
        <f t="shared" si="134"/>
        <v>18042.580000000002</v>
      </c>
      <c r="AD473">
        <f t="shared" si="147"/>
        <v>18506.849260000003</v>
      </c>
      <c r="AE473">
        <f t="shared" si="148"/>
        <v>0.50635125184441798</v>
      </c>
      <c r="AF473">
        <f t="shared" si="149"/>
        <v>0</v>
      </c>
      <c r="AG473">
        <f t="shared" si="150"/>
        <v>0</v>
      </c>
      <c r="AK473">
        <f>AA473*(1+What_if_Analysis!$B$4)</f>
        <v>27.599999999999998</v>
      </c>
      <c r="AL473" s="5">
        <f>MIN(Z473,What_if_Analysis!$B$2)</f>
        <v>0.05</v>
      </c>
      <c r="AM473">
        <f t="shared" si="151"/>
        <v>48336.832199999997</v>
      </c>
      <c r="AN473">
        <f>AM473-(AK473*(T473*(1+What_if_Analysis!$B$3)))</f>
        <v>-7632.1313999999984</v>
      </c>
    </row>
    <row r="474" spans="1:40" x14ac:dyDescent="0.3">
      <c r="A474" t="s">
        <v>486</v>
      </c>
      <c r="B474" s="3">
        <v>45841</v>
      </c>
      <c r="C474" s="3" t="str">
        <f t="shared" si="135"/>
        <v>Jul-2025</v>
      </c>
      <c r="D474" s="3" t="str">
        <f t="shared" si="136"/>
        <v>Q3-2025</v>
      </c>
      <c r="E474" s="3">
        <v>45861</v>
      </c>
      <c r="F474" s="3" t="str">
        <f t="shared" si="137"/>
        <v>Valid</v>
      </c>
      <c r="G474" s="12">
        <f t="shared" si="138"/>
        <v>20</v>
      </c>
      <c r="H474" s="3">
        <f t="shared" si="139"/>
        <v>45861</v>
      </c>
      <c r="I474" t="s">
        <v>647</v>
      </c>
      <c r="J474" t="str">
        <f t="shared" si="140"/>
        <v>Asia → China → Beijing</v>
      </c>
      <c r="K474" s="3" t="str">
        <f t="shared" si="141"/>
        <v>China-2025-07</v>
      </c>
      <c r="L474" t="s">
        <v>659</v>
      </c>
      <c r="M474" t="s">
        <v>699</v>
      </c>
      <c r="N474" t="s">
        <v>705</v>
      </c>
      <c r="O474" t="s">
        <v>708</v>
      </c>
      <c r="P474" t="s">
        <v>724</v>
      </c>
      <c r="Q474" t="s">
        <v>727</v>
      </c>
      <c r="R474" t="s">
        <v>1205</v>
      </c>
      <c r="S474" s="5">
        <v>647.36</v>
      </c>
      <c r="T474" s="5">
        <v>1383.6</v>
      </c>
      <c r="U474" s="5" t="str">
        <f t="shared" si="142"/>
        <v>Valid</v>
      </c>
      <c r="V474" s="5">
        <f t="shared" si="133"/>
        <v>1383.6</v>
      </c>
      <c r="W474" s="5" t="str">
        <f t="shared" si="143"/>
        <v>Medium</v>
      </c>
      <c r="X474" s="5">
        <v>7.3999999999999996E-2</v>
      </c>
      <c r="Y474" s="5" t="str">
        <f t="shared" si="144"/>
        <v>Valid</v>
      </c>
      <c r="Z474" s="5">
        <f t="shared" si="145"/>
        <v>7.3999999999999996E-2</v>
      </c>
      <c r="AA474" s="5">
        <v>12</v>
      </c>
      <c r="AB474">
        <f t="shared" si="146"/>
        <v>15374.563199999999</v>
      </c>
      <c r="AC474">
        <f t="shared" si="134"/>
        <v>7768.32</v>
      </c>
      <c r="AD474">
        <f t="shared" si="147"/>
        <v>7606.243199999999</v>
      </c>
      <c r="AE474">
        <f t="shared" si="148"/>
        <v>0.49472906000997802</v>
      </c>
      <c r="AF474">
        <f t="shared" si="149"/>
        <v>0</v>
      </c>
      <c r="AG474">
        <f t="shared" si="150"/>
        <v>0</v>
      </c>
      <c r="AK474">
        <f>AA474*(1+What_if_Analysis!$B$4)</f>
        <v>14.399999999999999</v>
      </c>
      <c r="AL474" s="5">
        <f>MIN(Z474,What_if_Analysis!$B$2)</f>
        <v>0.05</v>
      </c>
      <c r="AM474">
        <f t="shared" si="151"/>
        <v>18927.647999999997</v>
      </c>
      <c r="AN474">
        <f>AM474-(AK474*(T474*(1+What_if_Analysis!$B$3)))</f>
        <v>-2988.5760000000009</v>
      </c>
    </row>
    <row r="475" spans="1:40" x14ac:dyDescent="0.3">
      <c r="A475" t="s">
        <v>487</v>
      </c>
      <c r="B475" s="3">
        <v>45328</v>
      </c>
      <c r="C475" s="3" t="str">
        <f t="shared" si="135"/>
        <v>Feb-2024</v>
      </c>
      <c r="D475" s="3" t="str">
        <f t="shared" si="136"/>
        <v>Q1-2024</v>
      </c>
      <c r="E475" s="3">
        <v>45350</v>
      </c>
      <c r="F475" s="3" t="str">
        <f t="shared" si="137"/>
        <v>Valid</v>
      </c>
      <c r="G475" s="12">
        <f t="shared" si="138"/>
        <v>22</v>
      </c>
      <c r="H475" s="3">
        <f t="shared" si="139"/>
        <v>45350</v>
      </c>
      <c r="I475" t="s">
        <v>646</v>
      </c>
      <c r="J475" t="str">
        <f t="shared" si="140"/>
        <v>Africa → Kenya → Kisumu</v>
      </c>
      <c r="K475" s="3" t="str">
        <f t="shared" si="141"/>
        <v>Kenya-2024-02</v>
      </c>
      <c r="L475" t="s">
        <v>650</v>
      </c>
      <c r="M475" t="s">
        <v>662</v>
      </c>
      <c r="N475" t="s">
        <v>703</v>
      </c>
      <c r="O475" t="s">
        <v>708</v>
      </c>
      <c r="P475" t="s">
        <v>723</v>
      </c>
      <c r="Q475" t="s">
        <v>732</v>
      </c>
      <c r="R475" t="s">
        <v>1206</v>
      </c>
      <c r="S475" s="5">
        <v>834.93</v>
      </c>
      <c r="T475" s="5">
        <v>1588.53</v>
      </c>
      <c r="U475" s="5" t="str">
        <f t="shared" si="142"/>
        <v>Valid</v>
      </c>
      <c r="V475" s="5">
        <f t="shared" si="133"/>
        <v>1588.53</v>
      </c>
      <c r="W475" s="5" t="str">
        <f t="shared" si="143"/>
        <v>Medium</v>
      </c>
      <c r="X475" s="5">
        <v>0.126</v>
      </c>
      <c r="Y475" s="5" t="str">
        <f t="shared" si="144"/>
        <v>Valid</v>
      </c>
      <c r="Z475" s="5">
        <f t="shared" si="145"/>
        <v>0.126</v>
      </c>
      <c r="AA475" s="5">
        <v>6</v>
      </c>
      <c r="AB475">
        <f t="shared" si="146"/>
        <v>8330.2513199999994</v>
      </c>
      <c r="AC475">
        <f t="shared" si="134"/>
        <v>5009.58</v>
      </c>
      <c r="AD475">
        <f t="shared" si="147"/>
        <v>3320.6713199999995</v>
      </c>
      <c r="AE475">
        <f t="shared" si="148"/>
        <v>0.39862798761274343</v>
      </c>
      <c r="AF475">
        <f t="shared" si="149"/>
        <v>0</v>
      </c>
      <c r="AG475">
        <f t="shared" si="150"/>
        <v>0</v>
      </c>
      <c r="AK475">
        <f>AA475*(1+What_if_Analysis!$B$4)</f>
        <v>7.1999999999999993</v>
      </c>
      <c r="AL475" s="5">
        <f>MIN(Z475,What_if_Analysis!$B$2)</f>
        <v>0.05</v>
      </c>
      <c r="AM475">
        <f t="shared" si="151"/>
        <v>10865.545199999999</v>
      </c>
      <c r="AN475">
        <f>AM475-(AK475*(T475*(1+What_if_Analysis!$B$3)))</f>
        <v>-1715.6124</v>
      </c>
    </row>
    <row r="476" spans="1:40" x14ac:dyDescent="0.3">
      <c r="A476" t="s">
        <v>488</v>
      </c>
      <c r="B476" s="3">
        <v>45882</v>
      </c>
      <c r="C476" s="3" t="str">
        <f t="shared" si="135"/>
        <v>Aug-2025</v>
      </c>
      <c r="D476" s="3" t="str">
        <f t="shared" si="136"/>
        <v>Q3-2025</v>
      </c>
      <c r="E476" s="3">
        <v>45903</v>
      </c>
      <c r="F476" s="3" t="str">
        <f t="shared" si="137"/>
        <v>Valid</v>
      </c>
      <c r="G476" s="12">
        <f t="shared" si="138"/>
        <v>21</v>
      </c>
      <c r="H476" s="3">
        <f t="shared" si="139"/>
        <v>45903</v>
      </c>
      <c r="I476" t="s">
        <v>649</v>
      </c>
      <c r="J476" t="str">
        <f t="shared" si="140"/>
        <v>Europe → France → Paris</v>
      </c>
      <c r="K476" s="3" t="str">
        <f t="shared" si="141"/>
        <v>France-2025-08</v>
      </c>
      <c r="L476" t="s">
        <v>657</v>
      </c>
      <c r="M476" t="s">
        <v>690</v>
      </c>
      <c r="N476" t="s">
        <v>702</v>
      </c>
      <c r="O476" t="s">
        <v>707</v>
      </c>
      <c r="P476" t="s">
        <v>714</v>
      </c>
      <c r="Q476" t="s">
        <v>730</v>
      </c>
      <c r="R476" t="s">
        <v>1207</v>
      </c>
      <c r="S476" s="5">
        <v>603.47</v>
      </c>
      <c r="T476" s="5">
        <v>1344.05</v>
      </c>
      <c r="U476" s="5" t="str">
        <f t="shared" si="142"/>
        <v>Valid</v>
      </c>
      <c r="V476" s="5">
        <f t="shared" si="133"/>
        <v>1344.05</v>
      </c>
      <c r="W476" s="5" t="str">
        <f t="shared" si="143"/>
        <v>Medium</v>
      </c>
      <c r="X476" s="5">
        <v>0.20499999999999999</v>
      </c>
      <c r="Y476" s="5" t="str">
        <f t="shared" si="144"/>
        <v>Valid</v>
      </c>
      <c r="Z476" s="5">
        <f t="shared" si="145"/>
        <v>0.20499999999999999</v>
      </c>
      <c r="AA476" s="5">
        <v>18</v>
      </c>
      <c r="AB476">
        <f t="shared" si="146"/>
        <v>19233.355499999998</v>
      </c>
      <c r="AC476">
        <f t="shared" si="134"/>
        <v>10862.460000000001</v>
      </c>
      <c r="AD476">
        <f t="shared" si="147"/>
        <v>8370.8954999999969</v>
      </c>
      <c r="AE476">
        <f t="shared" si="148"/>
        <v>0.43522803392262976</v>
      </c>
      <c r="AF476">
        <f t="shared" si="149"/>
        <v>0</v>
      </c>
      <c r="AG476">
        <f t="shared" si="150"/>
        <v>1</v>
      </c>
      <c r="AK476">
        <f>AA476*(1+What_if_Analysis!$B$4)</f>
        <v>21.599999999999998</v>
      </c>
      <c r="AL476" s="5">
        <f>MIN(Z476,What_if_Analysis!$B$2)</f>
        <v>0.05</v>
      </c>
      <c r="AM476">
        <f t="shared" si="151"/>
        <v>27579.905999999995</v>
      </c>
      <c r="AN476">
        <f>AM476-(AK476*(T476*(1+What_if_Analysis!$B$3)))</f>
        <v>-4354.7220000000052</v>
      </c>
    </row>
    <row r="477" spans="1:40" x14ac:dyDescent="0.3">
      <c r="A477" t="s">
        <v>489</v>
      </c>
      <c r="B477" s="3">
        <v>45069</v>
      </c>
      <c r="C477" s="3" t="str">
        <f t="shared" si="135"/>
        <v>May-2023</v>
      </c>
      <c r="D477" s="3" t="str">
        <f t="shared" si="136"/>
        <v>Q2-2023</v>
      </c>
      <c r="E477" s="3">
        <v>45071</v>
      </c>
      <c r="F477" s="3" t="str">
        <f t="shared" si="137"/>
        <v>Valid</v>
      </c>
      <c r="G477" s="12">
        <f t="shared" si="138"/>
        <v>2</v>
      </c>
      <c r="H477" s="3">
        <f t="shared" si="139"/>
        <v>45071</v>
      </c>
      <c r="I477" t="s">
        <v>648</v>
      </c>
      <c r="J477" t="str">
        <f t="shared" si="140"/>
        <v>Americas → Brazil → Rio de Janeiro</v>
      </c>
      <c r="K477" s="3" t="str">
        <f t="shared" si="141"/>
        <v>Brazil-2023-05</v>
      </c>
      <c r="L477" t="s">
        <v>655</v>
      </c>
      <c r="M477" t="s">
        <v>692</v>
      </c>
      <c r="N477" t="s">
        <v>706</v>
      </c>
      <c r="O477" t="s">
        <v>707</v>
      </c>
      <c r="P477" t="s">
        <v>724</v>
      </c>
      <c r="Q477" t="s">
        <v>728</v>
      </c>
      <c r="R477" t="s">
        <v>1208</v>
      </c>
      <c r="S477" s="5">
        <v>690.49</v>
      </c>
      <c r="T477" s="5">
        <v>1290.29</v>
      </c>
      <c r="U477" s="5" t="str">
        <f t="shared" si="142"/>
        <v>Valid</v>
      </c>
      <c r="V477" s="5">
        <f t="shared" si="133"/>
        <v>1290.29</v>
      </c>
      <c r="W477" s="5" t="str">
        <f t="shared" si="143"/>
        <v>Medium</v>
      </c>
      <c r="X477" s="5">
        <v>4.2000000000000003E-2</v>
      </c>
      <c r="Y477" s="5" t="str">
        <f t="shared" si="144"/>
        <v>Valid</v>
      </c>
      <c r="Z477" s="5">
        <f t="shared" si="145"/>
        <v>4.2000000000000003E-2</v>
      </c>
      <c r="AA477" s="5">
        <v>22</v>
      </c>
      <c r="AB477">
        <f t="shared" si="146"/>
        <v>27194.152039999997</v>
      </c>
      <c r="AC477">
        <f t="shared" si="134"/>
        <v>15190.78</v>
      </c>
      <c r="AD477">
        <f t="shared" si="147"/>
        <v>12003.372039999997</v>
      </c>
      <c r="AE477">
        <f t="shared" si="148"/>
        <v>0.44139534199647718</v>
      </c>
      <c r="AF477">
        <f t="shared" si="149"/>
        <v>1</v>
      </c>
      <c r="AG477">
        <f t="shared" si="150"/>
        <v>0</v>
      </c>
      <c r="AK477">
        <f>AA477*(1+What_if_Analysis!$B$4)</f>
        <v>26.4</v>
      </c>
      <c r="AL477" s="5">
        <f>MIN(Z477,What_if_Analysis!$B$2)</f>
        <v>4.2000000000000003E-2</v>
      </c>
      <c r="AM477">
        <f t="shared" si="151"/>
        <v>32632.982447999995</v>
      </c>
      <c r="AN477">
        <f>AM477-(AK477*(T477*(1+What_if_Analysis!$B$3)))</f>
        <v>-4837.0391520000048</v>
      </c>
    </row>
    <row r="478" spans="1:40" x14ac:dyDescent="0.3">
      <c r="A478" t="s">
        <v>490</v>
      </c>
      <c r="B478" s="3">
        <v>45422</v>
      </c>
      <c r="C478" s="3" t="str">
        <f t="shared" si="135"/>
        <v>May-2024</v>
      </c>
      <c r="D478" s="3" t="str">
        <f t="shared" si="136"/>
        <v>Q2-2024</v>
      </c>
      <c r="E478" s="3">
        <v>45428</v>
      </c>
      <c r="F478" s="3" t="str">
        <f t="shared" si="137"/>
        <v>Valid</v>
      </c>
      <c r="G478" s="12">
        <f t="shared" si="138"/>
        <v>6</v>
      </c>
      <c r="H478" s="3">
        <f t="shared" si="139"/>
        <v>45428</v>
      </c>
      <c r="I478" t="s">
        <v>649</v>
      </c>
      <c r="J478" t="str">
        <f t="shared" si="140"/>
        <v>Europe → United Kingdom → Birmingham</v>
      </c>
      <c r="K478" s="3" t="str">
        <f t="shared" si="141"/>
        <v>United Kingdom-2024-05</v>
      </c>
      <c r="L478" t="s">
        <v>658</v>
      </c>
      <c r="M478" t="s">
        <v>674</v>
      </c>
      <c r="N478" t="s">
        <v>703</v>
      </c>
      <c r="O478" t="s">
        <v>711</v>
      </c>
      <c r="P478" t="s">
        <v>715</v>
      </c>
      <c r="Q478" t="s">
        <v>731</v>
      </c>
      <c r="R478" t="s">
        <v>1209</v>
      </c>
      <c r="S478" s="5">
        <v>210.76</v>
      </c>
      <c r="T478" s="5">
        <v>221.58</v>
      </c>
      <c r="U478" s="5" t="str">
        <f t="shared" si="142"/>
        <v>Valid</v>
      </c>
      <c r="V478" s="5">
        <f t="shared" si="133"/>
        <v>221.58</v>
      </c>
      <c r="W478" s="5" t="str">
        <f t="shared" si="143"/>
        <v>Low</v>
      </c>
      <c r="X478" s="5">
        <v>8.8999999999999996E-2</v>
      </c>
      <c r="Y478" s="5" t="str">
        <f t="shared" si="144"/>
        <v>Valid</v>
      </c>
      <c r="Z478" s="5">
        <f t="shared" si="145"/>
        <v>8.8999999999999996E-2</v>
      </c>
      <c r="AA478" s="5">
        <v>5</v>
      </c>
      <c r="AB478">
        <f t="shared" si="146"/>
        <v>1009.2969000000002</v>
      </c>
      <c r="AC478">
        <f t="shared" si="134"/>
        <v>1053.8</v>
      </c>
      <c r="AD478">
        <f t="shared" si="147"/>
        <v>-44.50309999999979</v>
      </c>
      <c r="AE478">
        <f t="shared" si="148"/>
        <v>-4.4093170205912434E-2</v>
      </c>
      <c r="AF478">
        <f t="shared" si="149"/>
        <v>1</v>
      </c>
      <c r="AG478">
        <f t="shared" si="150"/>
        <v>0</v>
      </c>
      <c r="AK478">
        <f>AA478*(1+What_if_Analysis!$B$4)</f>
        <v>6</v>
      </c>
      <c r="AL478" s="5">
        <f>MIN(Z478,What_if_Analysis!$B$2)</f>
        <v>0.05</v>
      </c>
      <c r="AM478">
        <f t="shared" si="151"/>
        <v>1263.0059999999999</v>
      </c>
      <c r="AN478">
        <f>AM478-(AK478*(T478*(1+What_if_Analysis!$B$3)))</f>
        <v>-199.42200000000025</v>
      </c>
    </row>
    <row r="479" spans="1:40" x14ac:dyDescent="0.3">
      <c r="A479" t="s">
        <v>491</v>
      </c>
      <c r="B479" s="3">
        <v>44999</v>
      </c>
      <c r="C479" s="3" t="str">
        <f t="shared" si="135"/>
        <v>Mar-2023</v>
      </c>
      <c r="D479" s="3" t="str">
        <f t="shared" si="136"/>
        <v>Q1-2023</v>
      </c>
      <c r="E479" s="3">
        <v>45003</v>
      </c>
      <c r="F479" s="3" t="str">
        <f t="shared" si="137"/>
        <v>Valid</v>
      </c>
      <c r="G479" s="12">
        <f t="shared" si="138"/>
        <v>4</v>
      </c>
      <c r="H479" s="3">
        <f t="shared" si="139"/>
        <v>45003</v>
      </c>
      <c r="I479" t="s">
        <v>649</v>
      </c>
      <c r="J479" t="str">
        <f t="shared" si="140"/>
        <v>Europe → Germany → Frankfurt</v>
      </c>
      <c r="K479" s="3" t="str">
        <f t="shared" si="141"/>
        <v>Germany-2023-03</v>
      </c>
      <c r="L479" t="s">
        <v>656</v>
      </c>
      <c r="M479" t="s">
        <v>698</v>
      </c>
      <c r="N479" t="s">
        <v>706</v>
      </c>
      <c r="O479" t="s">
        <v>711</v>
      </c>
      <c r="P479" t="s">
        <v>720</v>
      </c>
      <c r="Q479" t="s">
        <v>727</v>
      </c>
      <c r="R479" t="s">
        <v>1210</v>
      </c>
      <c r="S479" s="5">
        <v>472.33</v>
      </c>
      <c r="T479" s="5">
        <v>360.34</v>
      </c>
      <c r="U479" s="5" t="str">
        <f t="shared" si="142"/>
        <v>Valid</v>
      </c>
      <c r="V479" s="5">
        <f t="shared" si="133"/>
        <v>360.34</v>
      </c>
      <c r="W479" s="5" t="str">
        <f t="shared" si="143"/>
        <v>Low</v>
      </c>
      <c r="X479" s="5">
        <v>0.16500000000000001</v>
      </c>
      <c r="Y479" s="5" t="str">
        <f t="shared" si="144"/>
        <v>Valid</v>
      </c>
      <c r="Z479" s="5">
        <f t="shared" si="145"/>
        <v>0.16500000000000001</v>
      </c>
      <c r="AA479" s="5">
        <v>14</v>
      </c>
      <c r="AB479">
        <f t="shared" si="146"/>
        <v>4212.3745999999992</v>
      </c>
      <c r="AC479">
        <f t="shared" si="134"/>
        <v>6612.62</v>
      </c>
      <c r="AD479">
        <f t="shared" si="147"/>
        <v>-2400.2454000000007</v>
      </c>
      <c r="AE479">
        <f t="shared" si="148"/>
        <v>-0.56980815523861561</v>
      </c>
      <c r="AF479">
        <f t="shared" si="149"/>
        <v>1</v>
      </c>
      <c r="AG479">
        <f t="shared" si="150"/>
        <v>0</v>
      </c>
      <c r="AK479">
        <f>AA479*(1+What_if_Analysis!$B$4)</f>
        <v>16.8</v>
      </c>
      <c r="AL479" s="5">
        <f>MIN(Z479,What_if_Analysis!$B$2)</f>
        <v>0.05</v>
      </c>
      <c r="AM479">
        <f t="shared" si="151"/>
        <v>5751.0263999999997</v>
      </c>
      <c r="AN479">
        <f>AM479-(AK479*(T479*(1+What_if_Analysis!$B$3)))</f>
        <v>-908.0568000000012</v>
      </c>
    </row>
    <row r="480" spans="1:40" x14ac:dyDescent="0.3">
      <c r="A480" t="s">
        <v>492</v>
      </c>
      <c r="B480" s="3">
        <v>45123</v>
      </c>
      <c r="C480" s="3" t="str">
        <f t="shared" si="135"/>
        <v>Jul-2023</v>
      </c>
      <c r="D480" s="3" t="str">
        <f t="shared" si="136"/>
        <v>Q3-2023</v>
      </c>
      <c r="E480" s="3">
        <v>45151</v>
      </c>
      <c r="F480" s="3" t="str">
        <f t="shared" si="137"/>
        <v>Valid</v>
      </c>
      <c r="G480" s="12">
        <f t="shared" si="138"/>
        <v>28</v>
      </c>
      <c r="H480" s="3">
        <f t="shared" si="139"/>
        <v>45151</v>
      </c>
      <c r="I480" t="s">
        <v>649</v>
      </c>
      <c r="J480" t="str">
        <f t="shared" si="140"/>
        <v>Europe → United Kingdom → Manchester</v>
      </c>
      <c r="K480" s="3" t="str">
        <f t="shared" si="141"/>
        <v>United Kingdom-2023-07</v>
      </c>
      <c r="L480" t="s">
        <v>658</v>
      </c>
      <c r="M480" t="s">
        <v>693</v>
      </c>
      <c r="N480" t="s">
        <v>703</v>
      </c>
      <c r="O480" t="s">
        <v>708</v>
      </c>
      <c r="P480" t="s">
        <v>713</v>
      </c>
      <c r="Q480" t="s">
        <v>731</v>
      </c>
      <c r="R480" t="s">
        <v>1211</v>
      </c>
      <c r="S480" s="5">
        <v>1039.03</v>
      </c>
      <c r="T480" s="5">
        <v>2545.81</v>
      </c>
      <c r="U480" s="5" t="str">
        <f t="shared" si="142"/>
        <v>Valid</v>
      </c>
      <c r="V480" s="5">
        <f t="shared" si="133"/>
        <v>2545.81</v>
      </c>
      <c r="W480" s="5" t="str">
        <f t="shared" si="143"/>
        <v>High</v>
      </c>
      <c r="X480" s="5">
        <v>0.216</v>
      </c>
      <c r="Y480" s="5" t="str">
        <f t="shared" si="144"/>
        <v>Valid</v>
      </c>
      <c r="Z480" s="5">
        <f t="shared" si="145"/>
        <v>0.216</v>
      </c>
      <c r="AA480" s="5">
        <v>21</v>
      </c>
      <c r="AB480">
        <f t="shared" si="146"/>
        <v>41914.215840000004</v>
      </c>
      <c r="AC480">
        <f t="shared" si="134"/>
        <v>21819.63</v>
      </c>
      <c r="AD480">
        <f t="shared" si="147"/>
        <v>20094.585840000003</v>
      </c>
      <c r="AE480">
        <f t="shared" si="148"/>
        <v>0.47942172929364774</v>
      </c>
      <c r="AF480">
        <f t="shared" si="149"/>
        <v>0</v>
      </c>
      <c r="AG480">
        <f t="shared" si="150"/>
        <v>1</v>
      </c>
      <c r="AK480">
        <f>AA480*(1+What_if_Analysis!$B$4)</f>
        <v>25.2</v>
      </c>
      <c r="AL480" s="5">
        <f>MIN(Z480,What_if_Analysis!$B$2)</f>
        <v>0.05</v>
      </c>
      <c r="AM480">
        <f t="shared" si="151"/>
        <v>60946.691399999996</v>
      </c>
      <c r="AN480">
        <f>AM480-(AK480*(T480*(1+What_if_Analysis!$B$3)))</f>
        <v>-9623.1618000000017</v>
      </c>
    </row>
    <row r="481" spans="1:40" x14ac:dyDescent="0.3">
      <c r="A481" t="s">
        <v>493</v>
      </c>
      <c r="B481" s="3">
        <v>45032</v>
      </c>
      <c r="C481" s="3" t="str">
        <f t="shared" si="135"/>
        <v>Apr-2023</v>
      </c>
      <c r="D481" s="3" t="str">
        <f t="shared" si="136"/>
        <v>Q2-2023</v>
      </c>
      <c r="E481" s="3">
        <v>45035</v>
      </c>
      <c r="F481" s="3" t="str">
        <f t="shared" si="137"/>
        <v>Valid</v>
      </c>
      <c r="G481" s="12">
        <f t="shared" si="138"/>
        <v>3</v>
      </c>
      <c r="H481" s="3">
        <f t="shared" si="139"/>
        <v>45035</v>
      </c>
      <c r="I481" t="s">
        <v>649</v>
      </c>
      <c r="J481" t="str">
        <f t="shared" si="140"/>
        <v>Europe → Germany → Munich</v>
      </c>
      <c r="K481" s="3" t="str">
        <f t="shared" si="141"/>
        <v>Germany-2023-04</v>
      </c>
      <c r="L481" t="s">
        <v>656</v>
      </c>
      <c r="M481" t="s">
        <v>684</v>
      </c>
      <c r="N481" t="s">
        <v>701</v>
      </c>
      <c r="O481" t="s">
        <v>711</v>
      </c>
      <c r="P481" t="s">
        <v>717</v>
      </c>
      <c r="Q481" t="s">
        <v>733</v>
      </c>
      <c r="R481" t="s">
        <v>1212</v>
      </c>
      <c r="S481" s="5">
        <v>553.61</v>
      </c>
      <c r="T481" s="5">
        <v>699.47</v>
      </c>
      <c r="U481" s="5" t="str">
        <f t="shared" si="142"/>
        <v>Valid</v>
      </c>
      <c r="V481" s="5">
        <f t="shared" si="133"/>
        <v>699.47</v>
      </c>
      <c r="W481" s="5" t="str">
        <f t="shared" si="143"/>
        <v>Medium</v>
      </c>
      <c r="X481" s="5">
        <v>0.02</v>
      </c>
      <c r="Y481" s="5" t="str">
        <f t="shared" si="144"/>
        <v>Valid</v>
      </c>
      <c r="Z481" s="5">
        <f t="shared" si="145"/>
        <v>0.02</v>
      </c>
      <c r="AA481" s="5">
        <v>33</v>
      </c>
      <c r="AB481">
        <f t="shared" si="146"/>
        <v>22620.859800000002</v>
      </c>
      <c r="AC481">
        <f t="shared" si="134"/>
        <v>18269.13</v>
      </c>
      <c r="AD481">
        <f t="shared" si="147"/>
        <v>4351.729800000001</v>
      </c>
      <c r="AE481">
        <f t="shared" si="148"/>
        <v>0.19237685209472014</v>
      </c>
      <c r="AF481">
        <f t="shared" si="149"/>
        <v>1</v>
      </c>
      <c r="AG481">
        <f t="shared" si="150"/>
        <v>0</v>
      </c>
      <c r="AK481">
        <f>AA481*(1+What_if_Analysis!$B$4)</f>
        <v>39.6</v>
      </c>
      <c r="AL481" s="5">
        <f>MIN(Z481,What_if_Analysis!$B$2)</f>
        <v>0.02</v>
      </c>
      <c r="AM481">
        <f t="shared" si="151"/>
        <v>27145.031760000002</v>
      </c>
      <c r="AN481">
        <f>AM481-(AK481*(T481*(1+What_if_Analysis!$B$3)))</f>
        <v>-3323.8814400000047</v>
      </c>
    </row>
    <row r="482" spans="1:40" x14ac:dyDescent="0.3">
      <c r="A482" t="s">
        <v>494</v>
      </c>
      <c r="B482" s="3">
        <v>45293</v>
      </c>
      <c r="C482" s="3" t="str">
        <f t="shared" si="135"/>
        <v>Jan-2024</v>
      </c>
      <c r="D482" s="3" t="str">
        <f t="shared" si="136"/>
        <v>Q1-2024</v>
      </c>
      <c r="E482" s="3">
        <v>45306</v>
      </c>
      <c r="F482" s="3" t="str">
        <f t="shared" si="137"/>
        <v>Valid</v>
      </c>
      <c r="G482" s="12">
        <f t="shared" si="138"/>
        <v>13</v>
      </c>
      <c r="H482" s="3">
        <f t="shared" si="139"/>
        <v>45306</v>
      </c>
      <c r="I482" t="s">
        <v>647</v>
      </c>
      <c r="J482" t="str">
        <f t="shared" si="140"/>
        <v>Asia → Japan → Nagoya</v>
      </c>
      <c r="K482" s="3" t="str">
        <f t="shared" si="141"/>
        <v>Japan-2024-01</v>
      </c>
      <c r="L482" t="s">
        <v>652</v>
      </c>
      <c r="M482" t="s">
        <v>694</v>
      </c>
      <c r="N482" t="s">
        <v>705</v>
      </c>
      <c r="O482" t="s">
        <v>709</v>
      </c>
      <c r="P482" t="s">
        <v>715</v>
      </c>
      <c r="Q482" t="s">
        <v>729</v>
      </c>
      <c r="R482" t="s">
        <v>1213</v>
      </c>
      <c r="S482" s="5">
        <v>1219.06</v>
      </c>
      <c r="T482" s="5">
        <v>2738.69</v>
      </c>
      <c r="U482" s="5" t="str">
        <f t="shared" si="142"/>
        <v>Valid</v>
      </c>
      <c r="V482" s="5">
        <f t="shared" si="133"/>
        <v>2738.69</v>
      </c>
      <c r="W482" s="5" t="str">
        <f t="shared" si="143"/>
        <v>High</v>
      </c>
      <c r="X482" s="5">
        <v>7.5999999999999998E-2</v>
      </c>
      <c r="Y482" s="5" t="str">
        <f t="shared" si="144"/>
        <v>Valid</v>
      </c>
      <c r="Z482" s="5">
        <f t="shared" si="145"/>
        <v>7.5999999999999998E-2</v>
      </c>
      <c r="AA482" s="5">
        <v>16</v>
      </c>
      <c r="AB482">
        <f t="shared" si="146"/>
        <v>40488.792960000006</v>
      </c>
      <c r="AC482">
        <f t="shared" si="134"/>
        <v>19504.96</v>
      </c>
      <c r="AD482">
        <f t="shared" si="147"/>
        <v>20983.832960000007</v>
      </c>
      <c r="AE482">
        <f t="shared" si="148"/>
        <v>0.51826274447673737</v>
      </c>
      <c r="AF482">
        <f t="shared" si="149"/>
        <v>0</v>
      </c>
      <c r="AG482">
        <f t="shared" si="150"/>
        <v>0</v>
      </c>
      <c r="AK482">
        <f>AA482*(1+What_if_Analysis!$B$4)</f>
        <v>19.2</v>
      </c>
      <c r="AL482" s="5">
        <f>MIN(Z482,What_if_Analysis!$B$2)</f>
        <v>0.05</v>
      </c>
      <c r="AM482">
        <f t="shared" si="151"/>
        <v>49953.705599999994</v>
      </c>
      <c r="AN482">
        <f>AM482-(AK482*(T482*(1+What_if_Analysis!$B$3)))</f>
        <v>-7887.4272000000055</v>
      </c>
    </row>
    <row r="483" spans="1:40" x14ac:dyDescent="0.3">
      <c r="A483" t="s">
        <v>495</v>
      </c>
      <c r="B483" s="3">
        <v>45538</v>
      </c>
      <c r="C483" s="3" t="str">
        <f t="shared" si="135"/>
        <v>Sept-2024</v>
      </c>
      <c r="D483" s="3" t="str">
        <f t="shared" si="136"/>
        <v>Q3-2024</v>
      </c>
      <c r="E483" s="3">
        <v>45542</v>
      </c>
      <c r="F483" s="3" t="str">
        <f t="shared" si="137"/>
        <v>Valid</v>
      </c>
      <c r="G483" s="12">
        <f t="shared" si="138"/>
        <v>4</v>
      </c>
      <c r="H483" s="3">
        <f t="shared" si="139"/>
        <v>45542</v>
      </c>
      <c r="I483" t="s">
        <v>647</v>
      </c>
      <c r="J483" t="str">
        <f t="shared" si="140"/>
        <v>Asia → Japan → Tokyo</v>
      </c>
      <c r="K483" s="3" t="str">
        <f t="shared" si="141"/>
        <v>Japan-2024-09</v>
      </c>
      <c r="L483" t="s">
        <v>652</v>
      </c>
      <c r="M483" t="s">
        <v>689</v>
      </c>
      <c r="N483" t="s">
        <v>705</v>
      </c>
      <c r="O483" t="s">
        <v>710</v>
      </c>
      <c r="P483" t="s">
        <v>725</v>
      </c>
      <c r="Q483" t="s">
        <v>728</v>
      </c>
      <c r="R483" t="s">
        <v>1214</v>
      </c>
      <c r="S483" s="5">
        <v>43.23</v>
      </c>
      <c r="T483" s="5">
        <v>94.78</v>
      </c>
      <c r="U483" s="5" t="str">
        <f t="shared" si="142"/>
        <v>Valid</v>
      </c>
      <c r="V483" s="5">
        <f t="shared" si="133"/>
        <v>94.78</v>
      </c>
      <c r="W483" s="5" t="str">
        <f t="shared" si="143"/>
        <v>Low</v>
      </c>
      <c r="X483" s="5">
        <v>9.0999999999999998E-2</v>
      </c>
      <c r="Y483" s="5" t="str">
        <f t="shared" si="144"/>
        <v>Valid</v>
      </c>
      <c r="Z483" s="5">
        <f t="shared" si="145"/>
        <v>9.0999999999999998E-2</v>
      </c>
      <c r="AA483" s="5">
        <v>55</v>
      </c>
      <c r="AB483">
        <f t="shared" si="146"/>
        <v>4738.5261</v>
      </c>
      <c r="AC483">
        <f t="shared" si="134"/>
        <v>2377.6499999999996</v>
      </c>
      <c r="AD483">
        <f t="shared" si="147"/>
        <v>2360.8761000000004</v>
      </c>
      <c r="AE483">
        <f t="shared" si="148"/>
        <v>0.49823005090127082</v>
      </c>
      <c r="AF483">
        <f t="shared" si="149"/>
        <v>1</v>
      </c>
      <c r="AG483">
        <f t="shared" si="150"/>
        <v>0</v>
      </c>
      <c r="AK483">
        <f>AA483*(1+What_if_Analysis!$B$4)</f>
        <v>66</v>
      </c>
      <c r="AL483" s="5">
        <f>MIN(Z483,What_if_Analysis!$B$2)</f>
        <v>0.05</v>
      </c>
      <c r="AM483">
        <f t="shared" si="151"/>
        <v>5942.7060000000001</v>
      </c>
      <c r="AN483">
        <f>AM483-(AK483*(T483*(1+What_if_Analysis!$B$3)))</f>
        <v>-938.32200000000012</v>
      </c>
    </row>
    <row r="484" spans="1:40" x14ac:dyDescent="0.3">
      <c r="A484" t="s">
        <v>496</v>
      </c>
      <c r="B484" s="3">
        <v>45899</v>
      </c>
      <c r="C484" s="3" t="str">
        <f t="shared" si="135"/>
        <v>Aug-2025</v>
      </c>
      <c r="D484" s="3" t="str">
        <f t="shared" si="136"/>
        <v>Q3-2025</v>
      </c>
      <c r="E484" s="3">
        <v>45903</v>
      </c>
      <c r="F484" s="3" t="str">
        <f t="shared" si="137"/>
        <v>Valid</v>
      </c>
      <c r="G484" s="12">
        <f t="shared" si="138"/>
        <v>4</v>
      </c>
      <c r="H484" s="3">
        <f t="shared" si="139"/>
        <v>45903</v>
      </c>
      <c r="I484" t="s">
        <v>649</v>
      </c>
      <c r="J484" t="str">
        <f t="shared" si="140"/>
        <v>Europe → France → Marseille</v>
      </c>
      <c r="K484" s="3" t="str">
        <f t="shared" si="141"/>
        <v>France-2025-08</v>
      </c>
      <c r="L484" t="s">
        <v>657</v>
      </c>
      <c r="M484" t="s">
        <v>673</v>
      </c>
      <c r="N484" t="s">
        <v>705</v>
      </c>
      <c r="O484" t="s">
        <v>709</v>
      </c>
      <c r="P484" t="s">
        <v>713</v>
      </c>
      <c r="Q484" t="s">
        <v>731</v>
      </c>
      <c r="R484" t="s">
        <v>1215</v>
      </c>
      <c r="S484" s="5">
        <v>1286.56</v>
      </c>
      <c r="T484" s="5">
        <v>2777.35</v>
      </c>
      <c r="U484" s="5" t="str">
        <f t="shared" si="142"/>
        <v>Valid</v>
      </c>
      <c r="V484" s="5">
        <f t="shared" si="133"/>
        <v>2777.35</v>
      </c>
      <c r="W484" s="5" t="str">
        <f t="shared" si="143"/>
        <v>High</v>
      </c>
      <c r="X484" s="5">
        <v>0.13200000000000001</v>
      </c>
      <c r="Y484" s="5" t="str">
        <f t="shared" si="144"/>
        <v>Valid</v>
      </c>
      <c r="Z484" s="5">
        <f t="shared" si="145"/>
        <v>0.13200000000000001</v>
      </c>
      <c r="AA484" s="5">
        <v>15</v>
      </c>
      <c r="AB484">
        <f t="shared" si="146"/>
        <v>36161.097000000002</v>
      </c>
      <c r="AC484">
        <f t="shared" si="134"/>
        <v>19298.399999999998</v>
      </c>
      <c r="AD484">
        <f t="shared" si="147"/>
        <v>16862.697000000004</v>
      </c>
      <c r="AE484">
        <f t="shared" si="148"/>
        <v>0.46632150014696744</v>
      </c>
      <c r="AF484">
        <f t="shared" si="149"/>
        <v>1</v>
      </c>
      <c r="AG484">
        <f t="shared" si="150"/>
        <v>0</v>
      </c>
      <c r="AK484">
        <f>AA484*(1+What_if_Analysis!$B$4)</f>
        <v>18</v>
      </c>
      <c r="AL484" s="5">
        <f>MIN(Z484,What_if_Analysis!$B$2)</f>
        <v>0.05</v>
      </c>
      <c r="AM484">
        <f t="shared" si="151"/>
        <v>47492.68499999999</v>
      </c>
      <c r="AN484">
        <f>AM484-(AK484*(T484*(1+What_if_Analysis!$B$3)))</f>
        <v>-7498.8450000000084</v>
      </c>
    </row>
    <row r="485" spans="1:40" x14ac:dyDescent="0.3">
      <c r="A485" t="s">
        <v>497</v>
      </c>
      <c r="B485" s="3">
        <v>45775</v>
      </c>
      <c r="C485" s="3" t="str">
        <f t="shared" si="135"/>
        <v>Apr-2025</v>
      </c>
      <c r="D485" s="3" t="str">
        <f t="shared" si="136"/>
        <v>Q2-2025</v>
      </c>
      <c r="E485" s="3">
        <v>45796</v>
      </c>
      <c r="F485" s="3" t="str">
        <f t="shared" si="137"/>
        <v>Valid</v>
      </c>
      <c r="G485" s="12">
        <f t="shared" si="138"/>
        <v>21</v>
      </c>
      <c r="H485" s="3">
        <f t="shared" si="139"/>
        <v>45796</v>
      </c>
      <c r="I485" t="s">
        <v>649</v>
      </c>
      <c r="J485" t="str">
        <f t="shared" si="140"/>
        <v>Europe → Germany → Berlin</v>
      </c>
      <c r="K485" s="3" t="str">
        <f t="shared" si="141"/>
        <v>Germany-2025-04</v>
      </c>
      <c r="L485" t="s">
        <v>656</v>
      </c>
      <c r="M485" t="s">
        <v>671</v>
      </c>
      <c r="N485" t="s">
        <v>701</v>
      </c>
      <c r="O485" t="s">
        <v>710</v>
      </c>
      <c r="P485" t="s">
        <v>717</v>
      </c>
      <c r="Q485" t="s">
        <v>730</v>
      </c>
      <c r="R485" t="s">
        <v>1216</v>
      </c>
      <c r="S485" s="5">
        <v>350.76</v>
      </c>
      <c r="T485" s="5">
        <v>492.18</v>
      </c>
      <c r="U485" s="5" t="str">
        <f t="shared" si="142"/>
        <v>Valid</v>
      </c>
      <c r="V485" s="5">
        <f t="shared" si="133"/>
        <v>492.18</v>
      </c>
      <c r="W485" s="5" t="str">
        <f t="shared" si="143"/>
        <v>Low</v>
      </c>
      <c r="X485" s="5">
        <v>5.2999999999999999E-2</v>
      </c>
      <c r="Y485" s="5" t="str">
        <f t="shared" si="144"/>
        <v>Valid</v>
      </c>
      <c r="Z485" s="5">
        <f t="shared" si="145"/>
        <v>5.2999999999999999E-2</v>
      </c>
      <c r="AA485" s="5">
        <v>11</v>
      </c>
      <c r="AB485">
        <f t="shared" si="146"/>
        <v>5127.0390600000001</v>
      </c>
      <c r="AC485">
        <f t="shared" si="134"/>
        <v>3858.3599999999997</v>
      </c>
      <c r="AD485">
        <f t="shared" si="147"/>
        <v>1268.6790600000004</v>
      </c>
      <c r="AE485">
        <f t="shared" si="148"/>
        <v>0.24744868239798437</v>
      </c>
      <c r="AF485">
        <f t="shared" si="149"/>
        <v>0</v>
      </c>
      <c r="AG485">
        <f t="shared" si="150"/>
        <v>0</v>
      </c>
      <c r="AK485">
        <f>AA485*(1+What_if_Analysis!$B$4)</f>
        <v>13.2</v>
      </c>
      <c r="AL485" s="5">
        <f>MIN(Z485,What_if_Analysis!$B$2)</f>
        <v>0.05</v>
      </c>
      <c r="AM485">
        <f t="shared" si="151"/>
        <v>6171.9371999999994</v>
      </c>
      <c r="AN485">
        <f>AM485-(AK485*(T485*(1+What_if_Analysis!$B$3)))</f>
        <v>-974.51640000000043</v>
      </c>
    </row>
    <row r="486" spans="1:40" x14ac:dyDescent="0.3">
      <c r="A486" t="s">
        <v>498</v>
      </c>
      <c r="B486" s="3">
        <v>45148</v>
      </c>
      <c r="C486" s="3" t="str">
        <f t="shared" si="135"/>
        <v>Aug-2023</v>
      </c>
      <c r="D486" s="3" t="str">
        <f t="shared" si="136"/>
        <v>Q3-2023</v>
      </c>
      <c r="E486" s="3">
        <v>45153</v>
      </c>
      <c r="F486" s="3" t="str">
        <f t="shared" si="137"/>
        <v>Valid</v>
      </c>
      <c r="G486" s="12">
        <f t="shared" si="138"/>
        <v>5</v>
      </c>
      <c r="H486" s="3">
        <f t="shared" si="139"/>
        <v>45153</v>
      </c>
      <c r="I486" t="s">
        <v>648</v>
      </c>
      <c r="J486" t="str">
        <f t="shared" si="140"/>
        <v>Americas → Brazil → São Paulo</v>
      </c>
      <c r="K486" s="3" t="str">
        <f t="shared" si="141"/>
        <v>Brazil-2023-08</v>
      </c>
      <c r="L486" t="s">
        <v>655</v>
      </c>
      <c r="M486" t="s">
        <v>670</v>
      </c>
      <c r="N486" t="s">
        <v>702</v>
      </c>
      <c r="O486" t="s">
        <v>711</v>
      </c>
      <c r="P486" t="s">
        <v>715</v>
      </c>
      <c r="Q486" t="s">
        <v>729</v>
      </c>
      <c r="R486" t="s">
        <v>1217</v>
      </c>
      <c r="S486" s="5">
        <v>1307.52</v>
      </c>
      <c r="T486" s="5">
        <v>1921.65</v>
      </c>
      <c r="U486" s="5" t="str">
        <f t="shared" si="142"/>
        <v>Valid</v>
      </c>
      <c r="V486" s="5">
        <f t="shared" si="133"/>
        <v>1921.65</v>
      </c>
      <c r="W486" s="5" t="str">
        <f t="shared" si="143"/>
        <v>High</v>
      </c>
      <c r="X486" s="5">
        <v>0.123</v>
      </c>
      <c r="Y486" s="5" t="str">
        <f t="shared" si="144"/>
        <v>Valid</v>
      </c>
      <c r="Z486" s="5">
        <f t="shared" si="145"/>
        <v>0.123</v>
      </c>
      <c r="AA486" s="5">
        <v>13</v>
      </c>
      <c r="AB486">
        <f t="shared" si="146"/>
        <v>21908.731650000002</v>
      </c>
      <c r="AC486">
        <f t="shared" si="134"/>
        <v>16997.759999999998</v>
      </c>
      <c r="AD486">
        <f t="shared" si="147"/>
        <v>4910.9716500000031</v>
      </c>
      <c r="AE486">
        <f t="shared" si="148"/>
        <v>0.22415590863289445</v>
      </c>
      <c r="AF486">
        <f t="shared" si="149"/>
        <v>1</v>
      </c>
      <c r="AG486">
        <f t="shared" si="150"/>
        <v>0</v>
      </c>
      <c r="AK486">
        <f>AA486*(1+What_if_Analysis!$B$4)</f>
        <v>15.6</v>
      </c>
      <c r="AL486" s="5">
        <f>MIN(Z486,What_if_Analysis!$B$2)</f>
        <v>0.05</v>
      </c>
      <c r="AM486">
        <f t="shared" si="151"/>
        <v>28478.852999999999</v>
      </c>
      <c r="AN486">
        <f>AM486-(AK486*(T486*(1+What_if_Analysis!$B$3)))</f>
        <v>-4496.6610000000037</v>
      </c>
    </row>
    <row r="487" spans="1:40" x14ac:dyDescent="0.3">
      <c r="A487" t="s">
        <v>499</v>
      </c>
      <c r="B487" s="3">
        <v>45634</v>
      </c>
      <c r="C487" s="3" t="str">
        <f t="shared" si="135"/>
        <v>Dec-2024</v>
      </c>
      <c r="D487" s="3" t="str">
        <f t="shared" si="136"/>
        <v>Q4-2024</v>
      </c>
      <c r="E487" s="3">
        <v>45634</v>
      </c>
      <c r="F487" s="3" t="str">
        <f t="shared" si="137"/>
        <v>Valid</v>
      </c>
      <c r="G487" s="12">
        <f t="shared" si="138"/>
        <v>0</v>
      </c>
      <c r="H487" s="3">
        <f t="shared" si="139"/>
        <v>45634</v>
      </c>
      <c r="I487" t="s">
        <v>649</v>
      </c>
      <c r="J487" t="str">
        <f t="shared" si="140"/>
        <v>Europe → France → Lyon</v>
      </c>
      <c r="K487" s="3" t="str">
        <f t="shared" si="141"/>
        <v>France-2024-12</v>
      </c>
      <c r="L487" t="s">
        <v>657</v>
      </c>
      <c r="M487" t="s">
        <v>679</v>
      </c>
      <c r="N487" t="s">
        <v>706</v>
      </c>
      <c r="O487" t="s">
        <v>707</v>
      </c>
      <c r="P487" t="s">
        <v>722</v>
      </c>
      <c r="Q487" t="s">
        <v>727</v>
      </c>
      <c r="R487" t="s">
        <v>1218</v>
      </c>
      <c r="S487" s="5">
        <v>257.44</v>
      </c>
      <c r="T487" s="5">
        <v>290.33</v>
      </c>
      <c r="U487" s="5" t="str">
        <f t="shared" si="142"/>
        <v>Valid</v>
      </c>
      <c r="V487" s="5">
        <f t="shared" si="133"/>
        <v>290.33</v>
      </c>
      <c r="W487" s="5" t="str">
        <f t="shared" si="143"/>
        <v>Low</v>
      </c>
      <c r="X487" s="5">
        <v>9.1999999999999998E-2</v>
      </c>
      <c r="Y487" s="5" t="str">
        <f t="shared" si="144"/>
        <v>Valid</v>
      </c>
      <c r="Z487" s="5">
        <f t="shared" si="145"/>
        <v>9.1999999999999998E-2</v>
      </c>
      <c r="AA487" s="5">
        <v>23</v>
      </c>
      <c r="AB487">
        <f t="shared" si="146"/>
        <v>6063.2517199999993</v>
      </c>
      <c r="AC487">
        <f t="shared" si="134"/>
        <v>5921.12</v>
      </c>
      <c r="AD487">
        <f t="shared" si="147"/>
        <v>142.1317199999994</v>
      </c>
      <c r="AE487">
        <f t="shared" si="148"/>
        <v>2.3441500792581216E-2</v>
      </c>
      <c r="AF487">
        <f t="shared" si="149"/>
        <v>1</v>
      </c>
      <c r="AG487">
        <f t="shared" si="150"/>
        <v>0</v>
      </c>
      <c r="AK487">
        <f>AA487*(1+What_if_Analysis!$B$4)</f>
        <v>27.599999999999998</v>
      </c>
      <c r="AL487" s="5">
        <f>MIN(Z487,What_if_Analysis!$B$2)</f>
        <v>0.05</v>
      </c>
      <c r="AM487">
        <f t="shared" si="151"/>
        <v>7612.4525999999987</v>
      </c>
      <c r="AN487">
        <f>AM487-(AK487*(T487*(1+What_if_Analysis!$B$3)))</f>
        <v>-1201.9662000000008</v>
      </c>
    </row>
    <row r="488" spans="1:40" x14ac:dyDescent="0.3">
      <c r="A488" t="s">
        <v>500</v>
      </c>
      <c r="B488" s="3">
        <v>45224</v>
      </c>
      <c r="C488" s="3" t="str">
        <f t="shared" si="135"/>
        <v>Oct-2023</v>
      </c>
      <c r="D488" s="3" t="str">
        <f t="shared" si="136"/>
        <v>Q4-2023</v>
      </c>
      <c r="E488" s="3">
        <v>45254</v>
      </c>
      <c r="F488" s="3" t="str">
        <f t="shared" si="137"/>
        <v>Valid</v>
      </c>
      <c r="G488" s="12">
        <f t="shared" si="138"/>
        <v>30</v>
      </c>
      <c r="H488" s="3">
        <f t="shared" si="139"/>
        <v>45254</v>
      </c>
      <c r="I488" t="s">
        <v>649</v>
      </c>
      <c r="J488" t="str">
        <f t="shared" si="140"/>
        <v>Europe → France → Paris</v>
      </c>
      <c r="K488" s="3" t="str">
        <f t="shared" si="141"/>
        <v>France-2023-10</v>
      </c>
      <c r="L488" t="s">
        <v>657</v>
      </c>
      <c r="M488" t="s">
        <v>690</v>
      </c>
      <c r="N488" t="s">
        <v>706</v>
      </c>
      <c r="O488" t="s">
        <v>710</v>
      </c>
      <c r="P488" t="s">
        <v>712</v>
      </c>
      <c r="Q488" t="s">
        <v>730</v>
      </c>
      <c r="R488" t="s">
        <v>1219</v>
      </c>
      <c r="S488" s="5">
        <v>287.85000000000002</v>
      </c>
      <c r="T488" s="5">
        <v>602.91999999999996</v>
      </c>
      <c r="U488" s="5" t="str">
        <f t="shared" si="142"/>
        <v>Valid</v>
      </c>
      <c r="V488" s="5">
        <f t="shared" si="133"/>
        <v>602.91999999999996</v>
      </c>
      <c r="W488" s="5" t="str">
        <f t="shared" si="143"/>
        <v>Low</v>
      </c>
      <c r="X488" s="5">
        <v>0.222</v>
      </c>
      <c r="Y488" s="5" t="str">
        <f t="shared" si="144"/>
        <v>Valid</v>
      </c>
      <c r="Z488" s="5">
        <f t="shared" si="145"/>
        <v>0.222</v>
      </c>
      <c r="AA488" s="5">
        <v>11</v>
      </c>
      <c r="AB488">
        <f t="shared" si="146"/>
        <v>5159.7893599999998</v>
      </c>
      <c r="AC488">
        <f t="shared" si="134"/>
        <v>3166.3500000000004</v>
      </c>
      <c r="AD488">
        <f t="shared" si="147"/>
        <v>1993.4393599999994</v>
      </c>
      <c r="AE488">
        <f t="shared" si="148"/>
        <v>0.38634122847216373</v>
      </c>
      <c r="AF488">
        <f t="shared" si="149"/>
        <v>0</v>
      </c>
      <c r="AG488">
        <f t="shared" si="150"/>
        <v>1</v>
      </c>
      <c r="AK488">
        <f>AA488*(1+What_if_Analysis!$B$4)</f>
        <v>13.2</v>
      </c>
      <c r="AL488" s="5">
        <f>MIN(Z488,What_if_Analysis!$B$2)</f>
        <v>0.05</v>
      </c>
      <c r="AM488">
        <f t="shared" si="151"/>
        <v>7560.6167999999989</v>
      </c>
      <c r="AN488">
        <f>AM488-(AK488*(T488*(1+What_if_Analysis!$B$3)))</f>
        <v>-1193.7816000000012</v>
      </c>
    </row>
    <row r="489" spans="1:40" x14ac:dyDescent="0.3">
      <c r="A489" t="s">
        <v>501</v>
      </c>
      <c r="B489" s="3">
        <v>45613</v>
      </c>
      <c r="C489" s="3" t="str">
        <f t="shared" si="135"/>
        <v>Nov-2024</v>
      </c>
      <c r="D489" s="3" t="str">
        <f t="shared" si="136"/>
        <v>Q4-2024</v>
      </c>
      <c r="E489" s="3">
        <v>45624</v>
      </c>
      <c r="F489" s="3" t="str">
        <f t="shared" si="137"/>
        <v>Valid</v>
      </c>
      <c r="G489" s="12">
        <f t="shared" si="138"/>
        <v>11</v>
      </c>
      <c r="H489" s="3">
        <f t="shared" si="139"/>
        <v>45624</v>
      </c>
      <c r="I489" t="s">
        <v>648</v>
      </c>
      <c r="J489" t="str">
        <f t="shared" si="140"/>
        <v>Americas → Canada → unknown</v>
      </c>
      <c r="K489" s="3" t="str">
        <f t="shared" si="141"/>
        <v>Canada-2024-11</v>
      </c>
      <c r="L489" t="s">
        <v>653</v>
      </c>
      <c r="M489" t="s">
        <v>1422</v>
      </c>
      <c r="N489" t="s">
        <v>704</v>
      </c>
      <c r="O489" t="s">
        <v>710</v>
      </c>
      <c r="P489" t="s">
        <v>720</v>
      </c>
      <c r="Q489" t="s">
        <v>728</v>
      </c>
      <c r="R489" t="s">
        <v>1220</v>
      </c>
      <c r="S489" s="5">
        <v>1008.16</v>
      </c>
      <c r="T489" s="5">
        <v>2077.5</v>
      </c>
      <c r="U489" s="5" t="str">
        <f t="shared" si="142"/>
        <v>Valid</v>
      </c>
      <c r="V489" s="5">
        <f t="shared" si="133"/>
        <v>2077.5</v>
      </c>
      <c r="W489" s="5" t="str">
        <f t="shared" si="143"/>
        <v>High</v>
      </c>
      <c r="X489" s="5">
        <v>7.3999999999999996E-2</v>
      </c>
      <c r="Y489" s="5" t="str">
        <f t="shared" si="144"/>
        <v>Valid</v>
      </c>
      <c r="Z489" s="5">
        <f t="shared" si="145"/>
        <v>7.3999999999999996E-2</v>
      </c>
      <c r="AA489" s="5">
        <v>15</v>
      </c>
      <c r="AB489">
        <f t="shared" si="146"/>
        <v>28856.475000000002</v>
      </c>
      <c r="AC489">
        <f t="shared" si="134"/>
        <v>15122.4</v>
      </c>
      <c r="AD489">
        <f t="shared" si="147"/>
        <v>13734.075000000003</v>
      </c>
      <c r="AE489">
        <f t="shared" si="148"/>
        <v>0.47594430712691005</v>
      </c>
      <c r="AF489">
        <f t="shared" si="149"/>
        <v>0</v>
      </c>
      <c r="AG489">
        <f t="shared" si="150"/>
        <v>0</v>
      </c>
      <c r="AK489">
        <f>AA489*(1+What_if_Analysis!$B$4)</f>
        <v>18</v>
      </c>
      <c r="AL489" s="5">
        <f>MIN(Z489,What_if_Analysis!$B$2)</f>
        <v>0.05</v>
      </c>
      <c r="AM489">
        <f t="shared" si="151"/>
        <v>35525.25</v>
      </c>
      <c r="AN489">
        <f>AM489-(AK489*(T489*(1+What_if_Analysis!$B$3)))</f>
        <v>-5609.25</v>
      </c>
    </row>
    <row r="490" spans="1:40" x14ac:dyDescent="0.3">
      <c r="A490" t="s">
        <v>502</v>
      </c>
      <c r="B490" s="3">
        <v>45424</v>
      </c>
      <c r="C490" s="3" t="str">
        <f t="shared" si="135"/>
        <v>May-2024</v>
      </c>
      <c r="D490" s="3" t="str">
        <f t="shared" si="136"/>
        <v>Q2-2024</v>
      </c>
      <c r="E490" s="3">
        <v>45436</v>
      </c>
      <c r="F490" s="3" t="str">
        <f t="shared" si="137"/>
        <v>Valid</v>
      </c>
      <c r="G490" s="12">
        <f t="shared" si="138"/>
        <v>12</v>
      </c>
      <c r="H490" s="3">
        <f t="shared" si="139"/>
        <v>45436</v>
      </c>
      <c r="I490" t="s">
        <v>649</v>
      </c>
      <c r="J490" t="str">
        <f t="shared" si="140"/>
        <v>Europe → United Kingdom → Manchester</v>
      </c>
      <c r="K490" s="3" t="str">
        <f t="shared" si="141"/>
        <v>United Kingdom-2024-05</v>
      </c>
      <c r="L490" t="s">
        <v>658</v>
      </c>
      <c r="M490" t="s">
        <v>693</v>
      </c>
      <c r="N490" t="s">
        <v>702</v>
      </c>
      <c r="O490" t="s">
        <v>709</v>
      </c>
      <c r="P490" t="s">
        <v>723</v>
      </c>
      <c r="Q490" t="s">
        <v>728</v>
      </c>
      <c r="R490" t="s">
        <v>1221</v>
      </c>
      <c r="S490" s="5">
        <v>111.02</v>
      </c>
      <c r="T490" s="5">
        <v>172.88</v>
      </c>
      <c r="U490" s="5" t="str">
        <f t="shared" si="142"/>
        <v>Valid</v>
      </c>
      <c r="V490" s="5">
        <f t="shared" si="133"/>
        <v>172.88</v>
      </c>
      <c r="W490" s="5" t="str">
        <f t="shared" si="143"/>
        <v>Low</v>
      </c>
      <c r="X490" s="5">
        <v>0.19700000000000001</v>
      </c>
      <c r="Y490" s="5" t="str">
        <f t="shared" si="144"/>
        <v>Valid</v>
      </c>
      <c r="Z490" s="5">
        <f t="shared" si="145"/>
        <v>0.19700000000000001</v>
      </c>
      <c r="AA490" s="5">
        <v>29</v>
      </c>
      <c r="AB490">
        <f t="shared" si="146"/>
        <v>4025.8565599999993</v>
      </c>
      <c r="AC490">
        <f t="shared" si="134"/>
        <v>3219.58</v>
      </c>
      <c r="AD490">
        <f t="shared" si="147"/>
        <v>806.27655999999934</v>
      </c>
      <c r="AE490">
        <f t="shared" si="148"/>
        <v>0.20027453735212053</v>
      </c>
      <c r="AF490">
        <f t="shared" si="149"/>
        <v>0</v>
      </c>
      <c r="AG490">
        <f t="shared" si="150"/>
        <v>0</v>
      </c>
      <c r="AK490">
        <f>AA490*(1+What_if_Analysis!$B$4)</f>
        <v>34.799999999999997</v>
      </c>
      <c r="AL490" s="5">
        <f>MIN(Z490,What_if_Analysis!$B$2)</f>
        <v>0.05</v>
      </c>
      <c r="AM490">
        <f t="shared" si="151"/>
        <v>5715.4127999999992</v>
      </c>
      <c r="AN490">
        <f>AM490-(AK490*(T490*(1+What_if_Analysis!$B$3)))</f>
        <v>-902.4336000000003</v>
      </c>
    </row>
    <row r="491" spans="1:40" x14ac:dyDescent="0.3">
      <c r="A491" t="s">
        <v>503</v>
      </c>
      <c r="B491" s="3">
        <v>45792</v>
      </c>
      <c r="C491" s="3" t="str">
        <f t="shared" si="135"/>
        <v>May-2025</v>
      </c>
      <c r="D491" s="3" t="str">
        <f t="shared" si="136"/>
        <v>Q2-2025</v>
      </c>
      <c r="E491" s="3">
        <v>45813</v>
      </c>
      <c r="F491" s="3" t="str">
        <f t="shared" si="137"/>
        <v>Valid</v>
      </c>
      <c r="G491" s="12">
        <f t="shared" si="138"/>
        <v>21</v>
      </c>
      <c r="H491" s="3">
        <f t="shared" si="139"/>
        <v>45813</v>
      </c>
      <c r="I491" t="s">
        <v>647</v>
      </c>
      <c r="J491" t="str">
        <f t="shared" si="140"/>
        <v>Asia → Japan → Osaka</v>
      </c>
      <c r="K491" s="3" t="str">
        <f t="shared" si="141"/>
        <v>Japan-2025-05</v>
      </c>
      <c r="L491" t="s">
        <v>652</v>
      </c>
      <c r="M491" t="s">
        <v>666</v>
      </c>
      <c r="N491" t="s">
        <v>706</v>
      </c>
      <c r="O491" t="s">
        <v>711</v>
      </c>
      <c r="P491" t="s">
        <v>722</v>
      </c>
      <c r="Q491" t="s">
        <v>730</v>
      </c>
      <c r="R491" t="s">
        <v>1222</v>
      </c>
      <c r="S491" s="5">
        <v>1466.5</v>
      </c>
      <c r="T491" s="5">
        <v>2778.74</v>
      </c>
      <c r="U491" s="5" t="str">
        <f t="shared" si="142"/>
        <v>Valid</v>
      </c>
      <c r="V491" s="5">
        <f t="shared" si="133"/>
        <v>2778.74</v>
      </c>
      <c r="W491" s="5" t="str">
        <f t="shared" si="143"/>
        <v>High</v>
      </c>
      <c r="X491" s="5">
        <v>0.13500000000000001</v>
      </c>
      <c r="Y491" s="5" t="str">
        <f t="shared" si="144"/>
        <v>Valid</v>
      </c>
      <c r="Z491" s="5">
        <f t="shared" si="145"/>
        <v>0.13500000000000001</v>
      </c>
      <c r="AA491" s="5">
        <v>4</v>
      </c>
      <c r="AB491">
        <f t="shared" si="146"/>
        <v>9614.4403999999995</v>
      </c>
      <c r="AC491">
        <f t="shared" si="134"/>
        <v>5866</v>
      </c>
      <c r="AD491">
        <f t="shared" si="147"/>
        <v>3748.4403999999995</v>
      </c>
      <c r="AE491">
        <f t="shared" si="148"/>
        <v>0.38987608680792279</v>
      </c>
      <c r="AF491">
        <f t="shared" si="149"/>
        <v>0</v>
      </c>
      <c r="AG491">
        <f t="shared" si="150"/>
        <v>0</v>
      </c>
      <c r="AK491">
        <f>AA491*(1+What_if_Analysis!$B$4)</f>
        <v>4.8</v>
      </c>
      <c r="AL491" s="5">
        <f>MIN(Z491,What_if_Analysis!$B$2)</f>
        <v>0.05</v>
      </c>
      <c r="AM491">
        <f t="shared" si="151"/>
        <v>12671.054399999999</v>
      </c>
      <c r="AN491">
        <f>AM491-(AK491*(T491*(1+What_if_Analysis!$B$3)))</f>
        <v>-2000.6928000000007</v>
      </c>
    </row>
    <row r="492" spans="1:40" x14ac:dyDescent="0.3">
      <c r="A492" t="s">
        <v>504</v>
      </c>
      <c r="B492" s="3">
        <v>45403</v>
      </c>
      <c r="C492" s="3" t="str">
        <f t="shared" si="135"/>
        <v>Apr-2024</v>
      </c>
      <c r="D492" s="3" t="str">
        <f t="shared" si="136"/>
        <v>Q2-2024</v>
      </c>
      <c r="E492" s="3">
        <v>45431</v>
      </c>
      <c r="F492" s="3" t="str">
        <f t="shared" si="137"/>
        <v>Valid</v>
      </c>
      <c r="G492" s="12">
        <f t="shared" si="138"/>
        <v>28</v>
      </c>
      <c r="H492" s="3">
        <f t="shared" si="139"/>
        <v>45431</v>
      </c>
      <c r="I492" t="s">
        <v>646</v>
      </c>
      <c r="J492" t="str">
        <f t="shared" si="140"/>
        <v>Africa → Nigeria → Lagos</v>
      </c>
      <c r="K492" s="3" t="str">
        <f t="shared" si="141"/>
        <v>Nigeria-2024-04</v>
      </c>
      <c r="L492" t="s">
        <v>651</v>
      </c>
      <c r="M492" t="s">
        <v>665</v>
      </c>
      <c r="N492" t="s">
        <v>701</v>
      </c>
      <c r="O492" t="s">
        <v>710</v>
      </c>
      <c r="P492" t="s">
        <v>720</v>
      </c>
      <c r="Q492" t="s">
        <v>733</v>
      </c>
      <c r="R492" t="s">
        <v>1223</v>
      </c>
      <c r="S492" s="5">
        <v>187.22</v>
      </c>
      <c r="T492" s="5">
        <v>309.47000000000003</v>
      </c>
      <c r="U492" s="5" t="str">
        <f t="shared" si="142"/>
        <v>Valid</v>
      </c>
      <c r="V492" s="5">
        <f t="shared" si="133"/>
        <v>309.47000000000003</v>
      </c>
      <c r="W492" s="5" t="str">
        <f t="shared" si="143"/>
        <v>Low</v>
      </c>
      <c r="X492" s="5">
        <v>0</v>
      </c>
      <c r="Y492" s="5" t="str">
        <f t="shared" si="144"/>
        <v>Valid</v>
      </c>
      <c r="Z492" s="5">
        <f t="shared" si="145"/>
        <v>0</v>
      </c>
      <c r="AA492" s="5">
        <v>5</v>
      </c>
      <c r="AB492">
        <f t="shared" si="146"/>
        <v>1547.3500000000001</v>
      </c>
      <c r="AC492">
        <f t="shared" si="134"/>
        <v>936.1</v>
      </c>
      <c r="AD492">
        <f t="shared" si="147"/>
        <v>611.25000000000011</v>
      </c>
      <c r="AE492">
        <f t="shared" si="148"/>
        <v>0.39503021294471197</v>
      </c>
      <c r="AF492">
        <f t="shared" si="149"/>
        <v>0</v>
      </c>
      <c r="AG492">
        <f t="shared" si="150"/>
        <v>0</v>
      </c>
      <c r="AK492">
        <f>AA492*(1+What_if_Analysis!$B$4)</f>
        <v>6</v>
      </c>
      <c r="AL492" s="5">
        <f>MIN(Z492,What_if_Analysis!$B$2)</f>
        <v>0</v>
      </c>
      <c r="AM492">
        <f t="shared" si="151"/>
        <v>1856.8200000000002</v>
      </c>
      <c r="AN492">
        <f>AM492-(AK492*(T492*(1+What_if_Analysis!$B$3)))</f>
        <v>-185.68200000000002</v>
      </c>
    </row>
    <row r="493" spans="1:40" x14ac:dyDescent="0.3">
      <c r="A493" t="s">
        <v>505</v>
      </c>
      <c r="B493" s="3">
        <v>45523</v>
      </c>
      <c r="C493" s="3" t="str">
        <f t="shared" si="135"/>
        <v>Aug-2024</v>
      </c>
      <c r="D493" s="3" t="str">
        <f t="shared" si="136"/>
        <v>Q3-2024</v>
      </c>
      <c r="E493" s="3">
        <v>45542</v>
      </c>
      <c r="F493" s="3" t="str">
        <f t="shared" si="137"/>
        <v>Valid</v>
      </c>
      <c r="G493" s="12">
        <f t="shared" si="138"/>
        <v>19</v>
      </c>
      <c r="H493" s="3">
        <f t="shared" si="139"/>
        <v>45542</v>
      </c>
      <c r="I493" t="s">
        <v>649</v>
      </c>
      <c r="J493" t="str">
        <f t="shared" si="140"/>
        <v>Europe → France → Lyon</v>
      </c>
      <c r="K493" s="3" t="str">
        <f t="shared" si="141"/>
        <v>France-2024-08</v>
      </c>
      <c r="L493" t="s">
        <v>657</v>
      </c>
      <c r="M493" t="s">
        <v>679</v>
      </c>
      <c r="N493" t="s">
        <v>701</v>
      </c>
      <c r="O493" t="s">
        <v>711</v>
      </c>
      <c r="P493" t="s">
        <v>713</v>
      </c>
      <c r="Q493" t="s">
        <v>727</v>
      </c>
      <c r="R493" t="s">
        <v>1224</v>
      </c>
      <c r="S493" s="5">
        <v>297.58999999999997</v>
      </c>
      <c r="T493" s="5">
        <v>666.41</v>
      </c>
      <c r="U493" s="5" t="str">
        <f t="shared" si="142"/>
        <v>Valid</v>
      </c>
      <c r="V493" s="5">
        <f t="shared" si="133"/>
        <v>666.41</v>
      </c>
      <c r="W493" s="5" t="str">
        <f t="shared" si="143"/>
        <v>Medium</v>
      </c>
      <c r="X493" s="5">
        <v>0</v>
      </c>
      <c r="Y493" s="5" t="str">
        <f t="shared" si="144"/>
        <v>Valid</v>
      </c>
      <c r="Z493" s="5">
        <f t="shared" si="145"/>
        <v>0</v>
      </c>
      <c r="AA493" s="5">
        <v>10</v>
      </c>
      <c r="AB493">
        <f t="shared" si="146"/>
        <v>6664.0999999999995</v>
      </c>
      <c r="AC493">
        <f t="shared" si="134"/>
        <v>2975.8999999999996</v>
      </c>
      <c r="AD493">
        <f t="shared" si="147"/>
        <v>3688.2</v>
      </c>
      <c r="AE493">
        <f t="shared" si="148"/>
        <v>0.55344307558409989</v>
      </c>
      <c r="AF493">
        <f t="shared" si="149"/>
        <v>0</v>
      </c>
      <c r="AG493">
        <f t="shared" si="150"/>
        <v>0</v>
      </c>
      <c r="AK493">
        <f>AA493*(1+What_if_Analysis!$B$4)</f>
        <v>12</v>
      </c>
      <c r="AL493" s="5">
        <f>MIN(Z493,What_if_Analysis!$B$2)</f>
        <v>0</v>
      </c>
      <c r="AM493">
        <f t="shared" si="151"/>
        <v>7996.92</v>
      </c>
      <c r="AN493">
        <f>AM493-(AK493*(T493*(1+What_if_Analysis!$B$3)))</f>
        <v>-799.69200000000092</v>
      </c>
    </row>
    <row r="494" spans="1:40" x14ac:dyDescent="0.3">
      <c r="A494" t="s">
        <v>506</v>
      </c>
      <c r="B494" s="3">
        <v>45861</v>
      </c>
      <c r="C494" s="3" t="str">
        <f t="shared" si="135"/>
        <v>Jul-2025</v>
      </c>
      <c r="D494" s="3" t="str">
        <f t="shared" si="136"/>
        <v>Q3-2025</v>
      </c>
      <c r="E494" s="3">
        <v>45888</v>
      </c>
      <c r="F494" s="3" t="str">
        <f t="shared" si="137"/>
        <v>Valid</v>
      </c>
      <c r="G494" s="12">
        <f t="shared" si="138"/>
        <v>27</v>
      </c>
      <c r="H494" s="3">
        <f t="shared" si="139"/>
        <v>45888</v>
      </c>
      <c r="I494" t="s">
        <v>647</v>
      </c>
      <c r="J494" t="str">
        <f t="shared" si="140"/>
        <v>Asia → Japan → Nagoya</v>
      </c>
      <c r="K494" s="3" t="str">
        <f t="shared" si="141"/>
        <v>Japan-2025-07</v>
      </c>
      <c r="L494" t="s">
        <v>652</v>
      </c>
      <c r="M494" t="s">
        <v>694</v>
      </c>
      <c r="N494" t="s">
        <v>704</v>
      </c>
      <c r="O494" t="s">
        <v>709</v>
      </c>
      <c r="P494" t="s">
        <v>717</v>
      </c>
      <c r="Q494" t="s">
        <v>733</v>
      </c>
      <c r="R494" t="s">
        <v>1225</v>
      </c>
      <c r="S494" s="5">
        <v>896.09</v>
      </c>
      <c r="T494" s="5">
        <v>744.27</v>
      </c>
      <c r="U494" s="5" t="str">
        <f t="shared" si="142"/>
        <v>Valid</v>
      </c>
      <c r="V494" s="5">
        <f t="shared" si="133"/>
        <v>744.27</v>
      </c>
      <c r="W494" s="5" t="str">
        <f t="shared" si="143"/>
        <v>Medium</v>
      </c>
      <c r="X494" s="5">
        <v>8.3000000000000004E-2</v>
      </c>
      <c r="Y494" s="5" t="str">
        <f t="shared" si="144"/>
        <v>Valid</v>
      </c>
      <c r="Z494" s="5">
        <f t="shared" si="145"/>
        <v>8.3000000000000004E-2</v>
      </c>
      <c r="AA494" s="5">
        <v>11</v>
      </c>
      <c r="AB494">
        <f t="shared" si="146"/>
        <v>7507.4514899999995</v>
      </c>
      <c r="AC494">
        <f t="shared" si="134"/>
        <v>9856.99</v>
      </c>
      <c r="AD494">
        <f t="shared" si="147"/>
        <v>-2349.5385100000003</v>
      </c>
      <c r="AE494">
        <f t="shared" si="148"/>
        <v>-0.31296086469950679</v>
      </c>
      <c r="AF494">
        <f t="shared" si="149"/>
        <v>0</v>
      </c>
      <c r="AG494">
        <f t="shared" si="150"/>
        <v>0</v>
      </c>
      <c r="AK494">
        <f>AA494*(1+What_if_Analysis!$B$4)</f>
        <v>13.2</v>
      </c>
      <c r="AL494" s="5">
        <f>MIN(Z494,What_if_Analysis!$B$2)</f>
        <v>0.05</v>
      </c>
      <c r="AM494">
        <f t="shared" si="151"/>
        <v>9333.1457999999984</v>
      </c>
      <c r="AN494">
        <f>AM494-(AK494*(T494*(1+What_if_Analysis!$B$3)))</f>
        <v>-1473.6546000000017</v>
      </c>
    </row>
    <row r="495" spans="1:40" x14ac:dyDescent="0.3">
      <c r="A495" t="s">
        <v>507</v>
      </c>
      <c r="B495" s="3">
        <v>45352</v>
      </c>
      <c r="C495" s="3" t="str">
        <f t="shared" si="135"/>
        <v>Mar-2024</v>
      </c>
      <c r="D495" s="3" t="str">
        <f t="shared" si="136"/>
        <v>Q1-2024</v>
      </c>
      <c r="E495" s="3">
        <v>45351</v>
      </c>
      <c r="F495" s="3" t="str">
        <f t="shared" si="137"/>
        <v>Invalid RequiredDate</v>
      </c>
      <c r="G495" s="12">
        <f t="shared" si="138"/>
        <v>-1</v>
      </c>
      <c r="H495" s="3">
        <f t="shared" si="139"/>
        <v>45378</v>
      </c>
      <c r="I495" t="s">
        <v>648</v>
      </c>
      <c r="J495" t="str">
        <f t="shared" si="140"/>
        <v>Americas → Brazil → São Paulo</v>
      </c>
      <c r="K495" s="3" t="str">
        <f t="shared" si="141"/>
        <v>Brazil-2024-03</v>
      </c>
      <c r="L495" t="s">
        <v>655</v>
      </c>
      <c r="M495" t="s">
        <v>670</v>
      </c>
      <c r="N495" t="s">
        <v>703</v>
      </c>
      <c r="O495" t="s">
        <v>711</v>
      </c>
      <c r="P495" t="s">
        <v>714</v>
      </c>
      <c r="Q495" t="s">
        <v>730</v>
      </c>
      <c r="R495" t="s">
        <v>1226</v>
      </c>
      <c r="S495" s="5">
        <v>5.34</v>
      </c>
      <c r="T495" s="5">
        <v>12.69</v>
      </c>
      <c r="U495" s="5" t="str">
        <f t="shared" si="142"/>
        <v>Valid</v>
      </c>
      <c r="V495" s="5">
        <f t="shared" si="133"/>
        <v>12.69</v>
      </c>
      <c r="W495" s="5" t="str">
        <f t="shared" si="143"/>
        <v>Low</v>
      </c>
      <c r="X495" s="5">
        <v>0.13200000000000001</v>
      </c>
      <c r="Y495" s="5" t="str">
        <f t="shared" si="144"/>
        <v>Valid</v>
      </c>
      <c r="Z495" s="5">
        <f t="shared" si="145"/>
        <v>0.13200000000000001</v>
      </c>
      <c r="AA495" s="5">
        <v>10</v>
      </c>
      <c r="AB495">
        <f t="shared" si="146"/>
        <v>110.14919999999999</v>
      </c>
      <c r="AC495">
        <f t="shared" si="134"/>
        <v>53.4</v>
      </c>
      <c r="AD495">
        <f t="shared" si="147"/>
        <v>56.749199999999995</v>
      </c>
      <c r="AE495">
        <f t="shared" si="148"/>
        <v>0.51520301554618642</v>
      </c>
      <c r="AF495">
        <f t="shared" si="149"/>
        <v>1</v>
      </c>
      <c r="AG495">
        <f t="shared" si="150"/>
        <v>0</v>
      </c>
      <c r="AK495">
        <f>AA495*(1+What_if_Analysis!$B$4)</f>
        <v>12</v>
      </c>
      <c r="AL495" s="5">
        <f>MIN(Z495,What_if_Analysis!$B$2)</f>
        <v>0.05</v>
      </c>
      <c r="AM495">
        <f t="shared" si="151"/>
        <v>144.666</v>
      </c>
      <c r="AN495">
        <f>AM495-(AK495*(T495*(1+What_if_Analysis!$B$3)))</f>
        <v>-22.842000000000013</v>
      </c>
    </row>
    <row r="496" spans="1:40" x14ac:dyDescent="0.3">
      <c r="A496" t="s">
        <v>508</v>
      </c>
      <c r="B496" s="3">
        <v>45439</v>
      </c>
      <c r="C496" s="3" t="str">
        <f t="shared" si="135"/>
        <v>May-2024</v>
      </c>
      <c r="D496" s="3" t="str">
        <f t="shared" si="136"/>
        <v>Q2-2024</v>
      </c>
      <c r="E496" s="3">
        <v>45460</v>
      </c>
      <c r="F496" s="3" t="str">
        <f t="shared" si="137"/>
        <v>Valid</v>
      </c>
      <c r="G496" s="12">
        <f t="shared" si="138"/>
        <v>21</v>
      </c>
      <c r="H496" s="3">
        <f t="shared" si="139"/>
        <v>45460</v>
      </c>
      <c r="I496" t="s">
        <v>647</v>
      </c>
      <c r="J496" t="str">
        <f t="shared" si="140"/>
        <v>Asia → India → Delhi</v>
      </c>
      <c r="K496" s="3" t="str">
        <f t="shared" si="141"/>
        <v>India-2024-05</v>
      </c>
      <c r="L496" t="s">
        <v>654</v>
      </c>
      <c r="M496" t="s">
        <v>680</v>
      </c>
      <c r="N496" t="s">
        <v>705</v>
      </c>
      <c r="O496" t="s">
        <v>708</v>
      </c>
      <c r="P496" t="s">
        <v>722</v>
      </c>
      <c r="Q496" t="s">
        <v>733</v>
      </c>
      <c r="R496" t="s">
        <v>1227</v>
      </c>
      <c r="S496" s="5">
        <v>465.02</v>
      </c>
      <c r="T496" s="5">
        <v>651.55999999999995</v>
      </c>
      <c r="U496" s="5" t="str">
        <f t="shared" si="142"/>
        <v>Valid</v>
      </c>
      <c r="V496" s="5">
        <f t="shared" si="133"/>
        <v>651.55999999999995</v>
      </c>
      <c r="W496" s="5" t="str">
        <f t="shared" si="143"/>
        <v>Medium</v>
      </c>
      <c r="X496" s="5">
        <v>4.2000000000000003E-2</v>
      </c>
      <c r="Y496" s="5" t="str">
        <f t="shared" si="144"/>
        <v>Valid</v>
      </c>
      <c r="Z496" s="5">
        <f t="shared" si="145"/>
        <v>4.2000000000000003E-2</v>
      </c>
      <c r="AA496" s="5">
        <v>19</v>
      </c>
      <c r="AB496">
        <f t="shared" si="146"/>
        <v>11859.695119999998</v>
      </c>
      <c r="AC496">
        <f t="shared" si="134"/>
        <v>8835.3799999999992</v>
      </c>
      <c r="AD496">
        <f t="shared" si="147"/>
        <v>3024.3151199999993</v>
      </c>
      <c r="AE496">
        <f t="shared" si="148"/>
        <v>0.25500783025187918</v>
      </c>
      <c r="AF496">
        <f t="shared" si="149"/>
        <v>0</v>
      </c>
      <c r="AG496">
        <f t="shared" si="150"/>
        <v>0</v>
      </c>
      <c r="AK496">
        <f>AA496*(1+What_if_Analysis!$B$4)</f>
        <v>22.8</v>
      </c>
      <c r="AL496" s="5">
        <f>MIN(Z496,What_if_Analysis!$B$2)</f>
        <v>4.2000000000000003E-2</v>
      </c>
      <c r="AM496">
        <f t="shared" si="151"/>
        <v>14231.634144</v>
      </c>
      <c r="AN496">
        <f>AM496-(AK496*(T496*(1+What_if_Analysis!$B$3)))</f>
        <v>-2109.4906560000018</v>
      </c>
    </row>
    <row r="497" spans="1:40" x14ac:dyDescent="0.3">
      <c r="A497" t="s">
        <v>509</v>
      </c>
      <c r="B497" s="3">
        <v>45508</v>
      </c>
      <c r="C497" s="3" t="str">
        <f t="shared" si="135"/>
        <v>Aug-2024</v>
      </c>
      <c r="D497" s="3" t="str">
        <f t="shared" si="136"/>
        <v>Q3-2024</v>
      </c>
      <c r="E497" s="3">
        <v>45521</v>
      </c>
      <c r="F497" s="3" t="str">
        <f t="shared" si="137"/>
        <v>Valid</v>
      </c>
      <c r="G497" s="12">
        <f t="shared" si="138"/>
        <v>13</v>
      </c>
      <c r="H497" s="3">
        <f t="shared" si="139"/>
        <v>45521</v>
      </c>
      <c r="I497" t="s">
        <v>648</v>
      </c>
      <c r="J497" t="str">
        <f t="shared" si="140"/>
        <v>Americas → USA → Austin</v>
      </c>
      <c r="K497" s="3" t="str">
        <f t="shared" si="141"/>
        <v>USA-2024-08</v>
      </c>
      <c r="L497" t="s">
        <v>660</v>
      </c>
      <c r="M497" t="s">
        <v>697</v>
      </c>
      <c r="N497" t="s">
        <v>704</v>
      </c>
      <c r="O497" t="s">
        <v>707</v>
      </c>
      <c r="P497" t="s">
        <v>726</v>
      </c>
      <c r="Q497" t="s">
        <v>732</v>
      </c>
      <c r="R497" t="s">
        <v>1228</v>
      </c>
      <c r="S497" s="5">
        <v>352.79</v>
      </c>
      <c r="T497" s="5">
        <v>754.22</v>
      </c>
      <c r="U497" s="5" t="str">
        <f t="shared" si="142"/>
        <v>Valid</v>
      </c>
      <c r="V497" s="5">
        <f t="shared" si="133"/>
        <v>754.22</v>
      </c>
      <c r="W497" s="5" t="str">
        <f t="shared" si="143"/>
        <v>Medium</v>
      </c>
      <c r="X497" s="5">
        <v>0.113</v>
      </c>
      <c r="Y497" s="5" t="str">
        <f t="shared" si="144"/>
        <v>Valid</v>
      </c>
      <c r="Z497" s="5">
        <f t="shared" si="145"/>
        <v>0.113</v>
      </c>
      <c r="AA497" s="5">
        <v>7</v>
      </c>
      <c r="AB497">
        <f t="shared" si="146"/>
        <v>4682.9519799999998</v>
      </c>
      <c r="AC497">
        <f t="shared" si="134"/>
        <v>2469.5300000000002</v>
      </c>
      <c r="AD497">
        <f t="shared" si="147"/>
        <v>2213.4219799999996</v>
      </c>
      <c r="AE497">
        <f t="shared" si="148"/>
        <v>0.47265528014233443</v>
      </c>
      <c r="AF497">
        <f t="shared" si="149"/>
        <v>0</v>
      </c>
      <c r="AG497">
        <f t="shared" si="150"/>
        <v>0</v>
      </c>
      <c r="AK497">
        <f>AA497*(1+What_if_Analysis!$B$4)</f>
        <v>8.4</v>
      </c>
      <c r="AL497" s="5">
        <f>MIN(Z497,What_if_Analysis!$B$2)</f>
        <v>0.05</v>
      </c>
      <c r="AM497">
        <f t="shared" si="151"/>
        <v>6018.6755999999996</v>
      </c>
      <c r="AN497">
        <f>AM497-(AK497*(T497*(1+What_if_Analysis!$B$3)))</f>
        <v>-950.31720000000132</v>
      </c>
    </row>
    <row r="498" spans="1:40" x14ac:dyDescent="0.3">
      <c r="A498" t="s">
        <v>510</v>
      </c>
      <c r="B498" s="3">
        <v>45097</v>
      </c>
      <c r="C498" s="3" t="str">
        <f t="shared" si="135"/>
        <v>Jun-2023</v>
      </c>
      <c r="D498" s="3" t="str">
        <f t="shared" si="136"/>
        <v>Q2-2023</v>
      </c>
      <c r="E498" s="3">
        <v>45111</v>
      </c>
      <c r="F498" s="3" t="str">
        <f t="shared" si="137"/>
        <v>Valid</v>
      </c>
      <c r="G498" s="12">
        <f t="shared" si="138"/>
        <v>14</v>
      </c>
      <c r="H498" s="3">
        <f t="shared" si="139"/>
        <v>45111</v>
      </c>
      <c r="I498" t="s">
        <v>648</v>
      </c>
      <c r="J498" t="str">
        <f t="shared" si="140"/>
        <v>Americas → Brazil → Brasília</v>
      </c>
      <c r="K498" s="3" t="str">
        <f t="shared" si="141"/>
        <v>Brazil-2023-06</v>
      </c>
      <c r="L498" t="s">
        <v>655</v>
      </c>
      <c r="M498" t="s">
        <v>672</v>
      </c>
      <c r="N498" t="s">
        <v>703</v>
      </c>
      <c r="O498" t="s">
        <v>711</v>
      </c>
      <c r="P498" t="s">
        <v>712</v>
      </c>
      <c r="Q498" t="s">
        <v>729</v>
      </c>
      <c r="R498" t="s">
        <v>1229</v>
      </c>
      <c r="S498" s="5">
        <v>1292.8599999999999</v>
      </c>
      <c r="T498" s="5">
        <v>2981.01</v>
      </c>
      <c r="U498" s="5" t="str">
        <f t="shared" si="142"/>
        <v>Valid</v>
      </c>
      <c r="V498" s="5">
        <f t="shared" si="133"/>
        <v>2981.01</v>
      </c>
      <c r="W498" s="5" t="str">
        <f t="shared" si="143"/>
        <v>High</v>
      </c>
      <c r="X498" s="5">
        <v>0.14199999999999999</v>
      </c>
      <c r="Y498" s="5" t="str">
        <f t="shared" si="144"/>
        <v>Valid</v>
      </c>
      <c r="Z498" s="5">
        <f t="shared" si="145"/>
        <v>0.14199999999999999</v>
      </c>
      <c r="AA498" s="5">
        <v>12</v>
      </c>
      <c r="AB498">
        <f t="shared" si="146"/>
        <v>30692.47896</v>
      </c>
      <c r="AC498">
        <f t="shared" si="134"/>
        <v>15514.32</v>
      </c>
      <c r="AD498">
        <f t="shared" si="147"/>
        <v>15178.158960000001</v>
      </c>
      <c r="AE498">
        <f t="shared" si="148"/>
        <v>0.49452372288927687</v>
      </c>
      <c r="AF498">
        <f t="shared" si="149"/>
        <v>0</v>
      </c>
      <c r="AG498">
        <f t="shared" si="150"/>
        <v>0</v>
      </c>
      <c r="AK498">
        <f>AA498*(1+What_if_Analysis!$B$4)</f>
        <v>14.399999999999999</v>
      </c>
      <c r="AL498" s="5">
        <f>MIN(Z498,What_if_Analysis!$B$2)</f>
        <v>0.05</v>
      </c>
      <c r="AM498">
        <f t="shared" si="151"/>
        <v>40780.216800000002</v>
      </c>
      <c r="AN498">
        <f>AM498-(AK498*(T498*(1+What_if_Analysis!$B$3)))</f>
        <v>-6438.9815999999992</v>
      </c>
    </row>
    <row r="499" spans="1:40" x14ac:dyDescent="0.3">
      <c r="A499" t="s">
        <v>511</v>
      </c>
      <c r="B499" s="3">
        <v>45544</v>
      </c>
      <c r="C499" s="3" t="str">
        <f t="shared" si="135"/>
        <v>Sept-2024</v>
      </c>
      <c r="D499" s="3" t="str">
        <f t="shared" si="136"/>
        <v>Q3-2024</v>
      </c>
      <c r="E499" s="3">
        <v>45548</v>
      </c>
      <c r="F499" s="3" t="str">
        <f t="shared" si="137"/>
        <v>Valid</v>
      </c>
      <c r="G499" s="12">
        <f t="shared" si="138"/>
        <v>4</v>
      </c>
      <c r="H499" s="3">
        <f t="shared" si="139"/>
        <v>45548</v>
      </c>
      <c r="I499" t="s">
        <v>649</v>
      </c>
      <c r="J499" t="str">
        <f t="shared" si="140"/>
        <v>Europe → United Kingdom → London</v>
      </c>
      <c r="K499" s="3" t="str">
        <f t="shared" si="141"/>
        <v>United Kingdom-2024-09</v>
      </c>
      <c r="L499" t="s">
        <v>658</v>
      </c>
      <c r="M499" t="s">
        <v>683</v>
      </c>
      <c r="N499" t="s">
        <v>704</v>
      </c>
      <c r="O499" t="s">
        <v>709</v>
      </c>
      <c r="P499" t="s">
        <v>721</v>
      </c>
      <c r="Q499" t="s">
        <v>729</v>
      </c>
      <c r="R499" t="s">
        <v>1230</v>
      </c>
      <c r="S499" s="5">
        <v>1133.08</v>
      </c>
      <c r="T499" s="5">
        <v>976.17</v>
      </c>
      <c r="U499" s="5" t="str">
        <f t="shared" si="142"/>
        <v>Valid</v>
      </c>
      <c r="V499" s="5">
        <f t="shared" si="133"/>
        <v>976.17</v>
      </c>
      <c r="W499" s="5" t="str">
        <f t="shared" si="143"/>
        <v>Medium</v>
      </c>
      <c r="X499" s="5">
        <v>4.2000000000000003E-2</v>
      </c>
      <c r="Y499" s="5" t="str">
        <f t="shared" si="144"/>
        <v>Valid</v>
      </c>
      <c r="Z499" s="5">
        <f t="shared" si="145"/>
        <v>4.2000000000000003E-2</v>
      </c>
      <c r="AA499" s="5">
        <v>27</v>
      </c>
      <c r="AB499">
        <f t="shared" si="146"/>
        <v>25249.613219999999</v>
      </c>
      <c r="AC499">
        <f t="shared" si="134"/>
        <v>30593.159999999996</v>
      </c>
      <c r="AD499">
        <f t="shared" si="147"/>
        <v>-5343.5467799999969</v>
      </c>
      <c r="AE499">
        <f t="shared" si="148"/>
        <v>-0.21162885678452373</v>
      </c>
      <c r="AF499">
        <f t="shared" si="149"/>
        <v>1</v>
      </c>
      <c r="AG499">
        <f t="shared" si="150"/>
        <v>0</v>
      </c>
      <c r="AK499">
        <f>AA499*(1+What_if_Analysis!$B$4)</f>
        <v>32.4</v>
      </c>
      <c r="AL499" s="5">
        <f>MIN(Z499,What_if_Analysis!$B$2)</f>
        <v>4.2000000000000003E-2</v>
      </c>
      <c r="AM499">
        <f t="shared" si="151"/>
        <v>30299.535863999994</v>
      </c>
      <c r="AN499">
        <f>AM499-(AK499*(T499*(1+What_if_Analysis!$B$3)))</f>
        <v>-4491.1629360000043</v>
      </c>
    </row>
    <row r="500" spans="1:40" x14ac:dyDescent="0.3">
      <c r="A500" t="s">
        <v>512</v>
      </c>
      <c r="B500" s="3">
        <v>45224</v>
      </c>
      <c r="C500" s="3" t="str">
        <f t="shared" si="135"/>
        <v>Oct-2023</v>
      </c>
      <c r="D500" s="3" t="str">
        <f t="shared" si="136"/>
        <v>Q4-2023</v>
      </c>
      <c r="E500" s="3">
        <v>45227</v>
      </c>
      <c r="F500" s="3" t="str">
        <f t="shared" si="137"/>
        <v>Valid</v>
      </c>
      <c r="G500" s="12">
        <f t="shared" si="138"/>
        <v>3</v>
      </c>
      <c r="H500" s="3">
        <f t="shared" si="139"/>
        <v>45227</v>
      </c>
      <c r="I500" t="s">
        <v>648</v>
      </c>
      <c r="J500" t="str">
        <f t="shared" si="140"/>
        <v>Americas → Brazil → Brasília</v>
      </c>
      <c r="K500" s="3" t="str">
        <f t="shared" si="141"/>
        <v>Brazil-2023-10</v>
      </c>
      <c r="L500" t="s">
        <v>655</v>
      </c>
      <c r="M500" t="s">
        <v>672</v>
      </c>
      <c r="N500" t="s">
        <v>701</v>
      </c>
      <c r="O500" t="s">
        <v>710</v>
      </c>
      <c r="P500" t="s">
        <v>716</v>
      </c>
      <c r="Q500" t="s">
        <v>733</v>
      </c>
      <c r="R500" t="s">
        <v>1231</v>
      </c>
      <c r="S500" s="5">
        <v>509.31</v>
      </c>
      <c r="T500" s="5">
        <v>1145.9000000000001</v>
      </c>
      <c r="U500" s="5" t="str">
        <f t="shared" si="142"/>
        <v>Valid</v>
      </c>
      <c r="V500" s="5">
        <f t="shared" si="133"/>
        <v>1145.9000000000001</v>
      </c>
      <c r="W500" s="5" t="str">
        <f t="shared" si="143"/>
        <v>Medium</v>
      </c>
      <c r="X500" s="5">
        <v>5.7000000000000002E-2</v>
      </c>
      <c r="Y500" s="5" t="str">
        <f t="shared" si="144"/>
        <v>Valid</v>
      </c>
      <c r="Z500" s="5">
        <f t="shared" si="145"/>
        <v>5.7000000000000002E-2</v>
      </c>
      <c r="AA500" s="5">
        <v>8</v>
      </c>
      <c r="AB500">
        <f t="shared" si="146"/>
        <v>8644.6696000000011</v>
      </c>
      <c r="AC500">
        <f t="shared" si="134"/>
        <v>4074.48</v>
      </c>
      <c r="AD500">
        <f t="shared" si="147"/>
        <v>4570.1896000000015</v>
      </c>
      <c r="AE500">
        <f t="shared" si="148"/>
        <v>0.52867140231709964</v>
      </c>
      <c r="AF500">
        <f t="shared" si="149"/>
        <v>1</v>
      </c>
      <c r="AG500">
        <f t="shared" si="150"/>
        <v>0</v>
      </c>
      <c r="AK500">
        <f>AA500*(1+What_if_Analysis!$B$4)</f>
        <v>9.6</v>
      </c>
      <c r="AL500" s="5">
        <f>MIN(Z500,What_if_Analysis!$B$2)</f>
        <v>0.05</v>
      </c>
      <c r="AM500">
        <f t="shared" si="151"/>
        <v>10450.608</v>
      </c>
      <c r="AN500">
        <f>AM500-(AK500*(T500*(1+What_if_Analysis!$B$3)))</f>
        <v>-1650.0960000000014</v>
      </c>
    </row>
    <row r="501" spans="1:40" x14ac:dyDescent="0.3">
      <c r="A501" t="s">
        <v>513</v>
      </c>
      <c r="B501" s="3">
        <v>45908</v>
      </c>
      <c r="C501" s="3" t="str">
        <f t="shared" si="135"/>
        <v>Sept-2025</v>
      </c>
      <c r="D501" s="3" t="str">
        <f t="shared" si="136"/>
        <v>Q3-2025</v>
      </c>
      <c r="E501" s="3">
        <v>45935</v>
      </c>
      <c r="F501" s="3" t="str">
        <f t="shared" si="137"/>
        <v>Valid</v>
      </c>
      <c r="G501" s="12">
        <f t="shared" si="138"/>
        <v>27</v>
      </c>
      <c r="H501" s="3">
        <f t="shared" si="139"/>
        <v>45935</v>
      </c>
      <c r="I501" t="s">
        <v>648</v>
      </c>
      <c r="J501" t="str">
        <f t="shared" si="140"/>
        <v>Americas → Brazil → Rio de Janeiro</v>
      </c>
      <c r="K501" s="3" t="str">
        <f t="shared" si="141"/>
        <v>Brazil-2025-09</v>
      </c>
      <c r="L501" t="s">
        <v>655</v>
      </c>
      <c r="M501" t="s">
        <v>692</v>
      </c>
      <c r="N501" t="s">
        <v>702</v>
      </c>
      <c r="O501" t="s">
        <v>708</v>
      </c>
      <c r="P501" t="s">
        <v>712</v>
      </c>
      <c r="Q501" t="s">
        <v>732</v>
      </c>
      <c r="R501" t="s">
        <v>1232</v>
      </c>
      <c r="S501" s="5">
        <v>660.78</v>
      </c>
      <c r="T501" s="5">
        <v>1630.39</v>
      </c>
      <c r="U501" s="5" t="str">
        <f t="shared" si="142"/>
        <v>Valid</v>
      </c>
      <c r="V501" s="5">
        <f t="shared" si="133"/>
        <v>1630.39</v>
      </c>
      <c r="W501" s="5" t="str">
        <f t="shared" si="143"/>
        <v>Medium</v>
      </c>
      <c r="X501" s="5">
        <v>0.218</v>
      </c>
      <c r="Y501" s="5" t="str">
        <f t="shared" si="144"/>
        <v>Valid</v>
      </c>
      <c r="Z501" s="5">
        <f t="shared" si="145"/>
        <v>0.218</v>
      </c>
      <c r="AA501" s="5">
        <v>13</v>
      </c>
      <c r="AB501">
        <f t="shared" si="146"/>
        <v>16574.544740000001</v>
      </c>
      <c r="AC501">
        <f t="shared" si="134"/>
        <v>8590.14</v>
      </c>
      <c r="AD501">
        <f t="shared" si="147"/>
        <v>7984.4047400000018</v>
      </c>
      <c r="AE501">
        <f t="shared" si="148"/>
        <v>0.48172694123724097</v>
      </c>
      <c r="AF501">
        <f t="shared" si="149"/>
        <v>0</v>
      </c>
      <c r="AG501">
        <f t="shared" si="150"/>
        <v>1</v>
      </c>
      <c r="AK501">
        <f>AA501*(1+What_if_Analysis!$B$4)</f>
        <v>15.6</v>
      </c>
      <c r="AL501" s="5">
        <f>MIN(Z501,What_if_Analysis!$B$2)</f>
        <v>0.05</v>
      </c>
      <c r="AM501">
        <f t="shared" si="151"/>
        <v>24162.379800000002</v>
      </c>
      <c r="AN501">
        <f>AM501-(AK501*(T501*(1+What_if_Analysis!$B$3)))</f>
        <v>-3815.1126000000004</v>
      </c>
    </row>
    <row r="502" spans="1:40" x14ac:dyDescent="0.3">
      <c r="A502" t="s">
        <v>514</v>
      </c>
      <c r="B502" s="3">
        <v>45048</v>
      </c>
      <c r="C502" s="3" t="str">
        <f t="shared" si="135"/>
        <v>May-2023</v>
      </c>
      <c r="D502" s="3" t="str">
        <f t="shared" si="136"/>
        <v>Q2-2023</v>
      </c>
      <c r="E502" s="3">
        <v>45062</v>
      </c>
      <c r="F502" s="3" t="str">
        <f t="shared" si="137"/>
        <v>Valid</v>
      </c>
      <c r="G502" s="12">
        <f t="shared" si="138"/>
        <v>14</v>
      </c>
      <c r="H502" s="3">
        <f t="shared" si="139"/>
        <v>45062</v>
      </c>
      <c r="I502" t="s">
        <v>647</v>
      </c>
      <c r="J502" t="str">
        <f t="shared" si="140"/>
        <v>Asia → India → Bengaluru</v>
      </c>
      <c r="K502" s="3" t="str">
        <f t="shared" si="141"/>
        <v>India-2023-05</v>
      </c>
      <c r="L502" t="s">
        <v>654</v>
      </c>
      <c r="M502" t="s">
        <v>668</v>
      </c>
      <c r="N502" t="s">
        <v>703</v>
      </c>
      <c r="O502" t="s">
        <v>707</v>
      </c>
      <c r="P502" t="s">
        <v>716</v>
      </c>
      <c r="Q502" t="s">
        <v>732</v>
      </c>
      <c r="R502" t="s">
        <v>1233</v>
      </c>
      <c r="S502" s="5">
        <v>475.37</v>
      </c>
      <c r="T502" s="5">
        <v>963.73</v>
      </c>
      <c r="U502" s="5" t="str">
        <f t="shared" si="142"/>
        <v>Valid</v>
      </c>
      <c r="V502" s="5">
        <f t="shared" si="133"/>
        <v>963.73</v>
      </c>
      <c r="W502" s="5" t="str">
        <f t="shared" si="143"/>
        <v>Medium</v>
      </c>
      <c r="X502" s="5">
        <v>4.1000000000000002E-2</v>
      </c>
      <c r="Y502" s="5" t="str">
        <f t="shared" si="144"/>
        <v>Valid</v>
      </c>
      <c r="Z502" s="5">
        <f t="shared" si="145"/>
        <v>4.1000000000000002E-2</v>
      </c>
      <c r="AA502" s="5">
        <v>22</v>
      </c>
      <c r="AB502">
        <f t="shared" si="146"/>
        <v>20332.775539999999</v>
      </c>
      <c r="AC502">
        <f t="shared" si="134"/>
        <v>10458.14</v>
      </c>
      <c r="AD502">
        <f t="shared" si="147"/>
        <v>9874.6355399999993</v>
      </c>
      <c r="AE502">
        <f t="shared" si="148"/>
        <v>0.48565113604750881</v>
      </c>
      <c r="AF502">
        <f t="shared" si="149"/>
        <v>0</v>
      </c>
      <c r="AG502">
        <f t="shared" si="150"/>
        <v>0</v>
      </c>
      <c r="AK502">
        <f>AA502*(1+What_if_Analysis!$B$4)</f>
        <v>26.4</v>
      </c>
      <c r="AL502" s="5">
        <f>MIN(Z502,What_if_Analysis!$B$2)</f>
        <v>4.1000000000000002E-2</v>
      </c>
      <c r="AM502">
        <f t="shared" si="151"/>
        <v>24399.330647999996</v>
      </c>
      <c r="AN502">
        <f>AM502-(AK502*(T502*(1+What_if_Analysis!$B$3)))</f>
        <v>-3587.388552000004</v>
      </c>
    </row>
    <row r="503" spans="1:40" x14ac:dyDescent="0.3">
      <c r="A503" t="s">
        <v>515</v>
      </c>
      <c r="B503" s="3">
        <v>45408</v>
      </c>
      <c r="C503" s="3" t="str">
        <f t="shared" si="135"/>
        <v>Apr-2024</v>
      </c>
      <c r="D503" s="3" t="str">
        <f t="shared" si="136"/>
        <v>Q2-2024</v>
      </c>
      <c r="E503" s="3">
        <v>45406</v>
      </c>
      <c r="F503" s="3" t="str">
        <f t="shared" si="137"/>
        <v>Invalid RequiredDate</v>
      </c>
      <c r="G503" s="12">
        <f t="shared" si="138"/>
        <v>-2</v>
      </c>
      <c r="H503" s="3">
        <f t="shared" si="139"/>
        <v>45434</v>
      </c>
      <c r="I503" t="s">
        <v>649</v>
      </c>
      <c r="J503" t="str">
        <f t="shared" si="140"/>
        <v>Europe → United Kingdom → London</v>
      </c>
      <c r="K503" s="3" t="str">
        <f t="shared" si="141"/>
        <v>United Kingdom-2024-04</v>
      </c>
      <c r="L503" t="s">
        <v>658</v>
      </c>
      <c r="M503" t="s">
        <v>683</v>
      </c>
      <c r="N503" t="s">
        <v>703</v>
      </c>
      <c r="O503" t="s">
        <v>710</v>
      </c>
      <c r="P503" t="s">
        <v>725</v>
      </c>
      <c r="Q503" t="s">
        <v>730</v>
      </c>
      <c r="R503" t="s">
        <v>1234</v>
      </c>
      <c r="S503" s="5">
        <v>1232.77</v>
      </c>
      <c r="T503" s="5">
        <v>891.73</v>
      </c>
      <c r="U503" s="5" t="str">
        <f t="shared" si="142"/>
        <v>Valid</v>
      </c>
      <c r="V503" s="5">
        <f t="shared" si="133"/>
        <v>891.73</v>
      </c>
      <c r="W503" s="5" t="str">
        <f t="shared" si="143"/>
        <v>Medium</v>
      </c>
      <c r="X503" s="5">
        <v>0.16700000000000001</v>
      </c>
      <c r="Y503" s="5" t="str">
        <f t="shared" si="144"/>
        <v>Valid</v>
      </c>
      <c r="Z503" s="5">
        <f t="shared" si="145"/>
        <v>0.16700000000000001</v>
      </c>
      <c r="AA503" s="5">
        <v>10</v>
      </c>
      <c r="AB503">
        <f t="shared" si="146"/>
        <v>7428.1108999999988</v>
      </c>
      <c r="AC503">
        <f t="shared" si="134"/>
        <v>12327.7</v>
      </c>
      <c r="AD503">
        <f t="shared" si="147"/>
        <v>-4899.589100000002</v>
      </c>
      <c r="AE503">
        <f t="shared" si="148"/>
        <v>-0.65960096260813805</v>
      </c>
      <c r="AF503">
        <f t="shared" si="149"/>
        <v>1</v>
      </c>
      <c r="AG503">
        <f t="shared" si="150"/>
        <v>0</v>
      </c>
      <c r="AK503">
        <f>AA503*(1+What_if_Analysis!$B$4)</f>
        <v>12</v>
      </c>
      <c r="AL503" s="5">
        <f>MIN(Z503,What_if_Analysis!$B$2)</f>
        <v>0.05</v>
      </c>
      <c r="AM503">
        <f t="shared" si="151"/>
        <v>10165.722</v>
      </c>
      <c r="AN503">
        <f>AM503-(AK503*(T503*(1+What_if_Analysis!$B$3)))</f>
        <v>-1605.1140000000014</v>
      </c>
    </row>
    <row r="504" spans="1:40" x14ac:dyDescent="0.3">
      <c r="A504" t="s">
        <v>516</v>
      </c>
      <c r="B504" s="3">
        <v>44980</v>
      </c>
      <c r="C504" s="3" t="str">
        <f t="shared" si="135"/>
        <v>Feb-2023</v>
      </c>
      <c r="D504" s="3" t="str">
        <f t="shared" si="136"/>
        <v>Q1-2023</v>
      </c>
      <c r="E504" s="3">
        <v>45003</v>
      </c>
      <c r="F504" s="3" t="str">
        <f t="shared" si="137"/>
        <v>Valid</v>
      </c>
      <c r="G504" s="12">
        <f t="shared" si="138"/>
        <v>23</v>
      </c>
      <c r="H504" s="3">
        <f t="shared" si="139"/>
        <v>45003</v>
      </c>
      <c r="I504" t="s">
        <v>647</v>
      </c>
      <c r="J504" t="str">
        <f t="shared" si="140"/>
        <v>Asia → China → Beijing</v>
      </c>
      <c r="K504" s="3" t="str">
        <f t="shared" si="141"/>
        <v>China-2023-02</v>
      </c>
      <c r="L504" t="s">
        <v>659</v>
      </c>
      <c r="M504" t="s">
        <v>699</v>
      </c>
      <c r="N504" t="s">
        <v>702</v>
      </c>
      <c r="O504" t="s">
        <v>710</v>
      </c>
      <c r="P504" t="s">
        <v>723</v>
      </c>
      <c r="Q504" t="s">
        <v>728</v>
      </c>
      <c r="R504" t="s">
        <v>1235</v>
      </c>
      <c r="S504" s="5">
        <v>770.11</v>
      </c>
      <c r="T504" s="5">
        <v>1667.82</v>
      </c>
      <c r="U504" s="5" t="str">
        <f t="shared" si="142"/>
        <v>Valid</v>
      </c>
      <c r="V504" s="5">
        <f t="shared" si="133"/>
        <v>1667.82</v>
      </c>
      <c r="W504" s="5" t="str">
        <f t="shared" si="143"/>
        <v>Medium</v>
      </c>
      <c r="X504" s="5">
        <v>6.9000000000000006E-2</v>
      </c>
      <c r="Y504" s="5" t="str">
        <f t="shared" si="144"/>
        <v>Valid</v>
      </c>
      <c r="Z504" s="5">
        <f t="shared" si="145"/>
        <v>6.9000000000000006E-2</v>
      </c>
      <c r="AA504" s="5">
        <v>7</v>
      </c>
      <c r="AB504">
        <f t="shared" si="146"/>
        <v>10869.182940000001</v>
      </c>
      <c r="AC504">
        <f t="shared" si="134"/>
        <v>5390.77</v>
      </c>
      <c r="AD504">
        <f t="shared" si="147"/>
        <v>5478.4129400000002</v>
      </c>
      <c r="AE504">
        <f t="shared" si="148"/>
        <v>0.50403171703355287</v>
      </c>
      <c r="AF504">
        <f t="shared" si="149"/>
        <v>0</v>
      </c>
      <c r="AG504">
        <f t="shared" si="150"/>
        <v>0</v>
      </c>
      <c r="AK504">
        <f>AA504*(1+What_if_Analysis!$B$4)</f>
        <v>8.4</v>
      </c>
      <c r="AL504" s="5">
        <f>MIN(Z504,What_if_Analysis!$B$2)</f>
        <v>0.05</v>
      </c>
      <c r="AM504">
        <f t="shared" si="151"/>
        <v>13309.203599999999</v>
      </c>
      <c r="AN504">
        <f>AM504-(AK504*(T504*(1+What_if_Analysis!$B$3)))</f>
        <v>-2101.4532000000017</v>
      </c>
    </row>
    <row r="505" spans="1:40" x14ac:dyDescent="0.3">
      <c r="A505" t="s">
        <v>517</v>
      </c>
      <c r="B505" s="3">
        <v>45740</v>
      </c>
      <c r="C505" s="3" t="str">
        <f t="shared" si="135"/>
        <v>Mar-2025</v>
      </c>
      <c r="D505" s="3" t="str">
        <f t="shared" si="136"/>
        <v>Q1-2025</v>
      </c>
      <c r="E505" s="3">
        <v>45741</v>
      </c>
      <c r="F505" s="3" t="str">
        <f t="shared" si="137"/>
        <v>Valid</v>
      </c>
      <c r="G505" s="12">
        <f t="shared" si="138"/>
        <v>1</v>
      </c>
      <c r="H505" s="3">
        <f t="shared" si="139"/>
        <v>45741</v>
      </c>
      <c r="I505" t="s">
        <v>647</v>
      </c>
      <c r="J505" t="str">
        <f t="shared" si="140"/>
        <v>Asia → China → Beijing</v>
      </c>
      <c r="K505" s="3" t="str">
        <f t="shared" si="141"/>
        <v>China-2025-03</v>
      </c>
      <c r="L505" t="s">
        <v>659</v>
      </c>
      <c r="M505" t="s">
        <v>699</v>
      </c>
      <c r="N505" t="s">
        <v>703</v>
      </c>
      <c r="O505" t="s">
        <v>708</v>
      </c>
      <c r="P505" t="s">
        <v>715</v>
      </c>
      <c r="Q505" t="s">
        <v>729</v>
      </c>
      <c r="R505" t="s">
        <v>1236</v>
      </c>
      <c r="S505" s="5">
        <v>1133.03</v>
      </c>
      <c r="T505" s="5">
        <v>1921.51</v>
      </c>
      <c r="U505" s="5" t="str">
        <f t="shared" si="142"/>
        <v>Valid</v>
      </c>
      <c r="V505" s="5">
        <f t="shared" si="133"/>
        <v>1921.51</v>
      </c>
      <c r="W505" s="5" t="str">
        <f t="shared" si="143"/>
        <v>High</v>
      </c>
      <c r="X505" s="5">
        <v>0.10100000000000001</v>
      </c>
      <c r="Y505" s="5" t="str">
        <f t="shared" si="144"/>
        <v>Valid</v>
      </c>
      <c r="Z505" s="5">
        <f t="shared" si="145"/>
        <v>0.10100000000000001</v>
      </c>
      <c r="AA505" s="5">
        <v>5</v>
      </c>
      <c r="AB505">
        <f t="shared" si="146"/>
        <v>8637.1874499999994</v>
      </c>
      <c r="AC505">
        <f t="shared" si="134"/>
        <v>5665.15</v>
      </c>
      <c r="AD505">
        <f t="shared" si="147"/>
        <v>2972.0374499999998</v>
      </c>
      <c r="AE505">
        <f t="shared" si="148"/>
        <v>0.3440978289755654</v>
      </c>
      <c r="AF505">
        <f t="shared" si="149"/>
        <v>1</v>
      </c>
      <c r="AG505">
        <f t="shared" si="150"/>
        <v>0</v>
      </c>
      <c r="AK505">
        <f>AA505*(1+What_if_Analysis!$B$4)</f>
        <v>6</v>
      </c>
      <c r="AL505" s="5">
        <f>MIN(Z505,What_if_Analysis!$B$2)</f>
        <v>0.05</v>
      </c>
      <c r="AM505">
        <f t="shared" si="151"/>
        <v>10952.606999999998</v>
      </c>
      <c r="AN505">
        <f>AM505-(AK505*(T505*(1+What_if_Analysis!$B$3)))</f>
        <v>-1729.3590000000022</v>
      </c>
    </row>
    <row r="506" spans="1:40" x14ac:dyDescent="0.3">
      <c r="A506" t="s">
        <v>518</v>
      </c>
      <c r="B506" s="3">
        <v>45726</v>
      </c>
      <c r="C506" s="3" t="str">
        <f t="shared" si="135"/>
        <v>Mar-2025</v>
      </c>
      <c r="D506" s="3" t="str">
        <f t="shared" si="136"/>
        <v>Q1-2025</v>
      </c>
      <c r="E506" s="3">
        <v>45743</v>
      </c>
      <c r="F506" s="3" t="str">
        <f t="shared" si="137"/>
        <v>Valid</v>
      </c>
      <c r="G506" s="12">
        <f t="shared" si="138"/>
        <v>17</v>
      </c>
      <c r="H506" s="3">
        <f t="shared" si="139"/>
        <v>45743</v>
      </c>
      <c r="I506" t="s">
        <v>648</v>
      </c>
      <c r="J506" t="str">
        <f t="shared" si="140"/>
        <v>Americas → Brazil → Rio de Janeiro</v>
      </c>
      <c r="K506" s="3" t="str">
        <f t="shared" si="141"/>
        <v>Brazil-2025-03</v>
      </c>
      <c r="L506" t="s">
        <v>655</v>
      </c>
      <c r="M506" t="s">
        <v>692</v>
      </c>
      <c r="N506" t="s">
        <v>706</v>
      </c>
      <c r="O506" t="s">
        <v>711</v>
      </c>
      <c r="P506" t="s">
        <v>721</v>
      </c>
      <c r="Q506" t="s">
        <v>729</v>
      </c>
      <c r="R506" t="s">
        <v>1237</v>
      </c>
      <c r="S506" s="5">
        <v>996.73</v>
      </c>
      <c r="T506" s="5">
        <v>1217.43</v>
      </c>
      <c r="U506" s="5" t="str">
        <f t="shared" si="142"/>
        <v>Valid</v>
      </c>
      <c r="V506" s="5">
        <f t="shared" si="133"/>
        <v>1217.43</v>
      </c>
      <c r="W506" s="5" t="str">
        <f t="shared" si="143"/>
        <v>Medium</v>
      </c>
      <c r="X506" s="5">
        <v>7.0000000000000007E-2</v>
      </c>
      <c r="Y506" s="5" t="str">
        <f t="shared" si="144"/>
        <v>Valid</v>
      </c>
      <c r="Z506" s="5">
        <f t="shared" si="145"/>
        <v>7.0000000000000007E-2</v>
      </c>
      <c r="AA506" s="5">
        <v>9</v>
      </c>
      <c r="AB506">
        <f t="shared" si="146"/>
        <v>10189.8891</v>
      </c>
      <c r="AC506">
        <f t="shared" si="134"/>
        <v>8970.57</v>
      </c>
      <c r="AD506">
        <f t="shared" si="147"/>
        <v>1219.3191000000006</v>
      </c>
      <c r="AE506">
        <f t="shared" si="148"/>
        <v>0.11965970267527255</v>
      </c>
      <c r="AF506">
        <f t="shared" si="149"/>
        <v>0</v>
      </c>
      <c r="AG506">
        <f t="shared" si="150"/>
        <v>0</v>
      </c>
      <c r="AK506">
        <f>AA506*(1+What_if_Analysis!$B$4)</f>
        <v>10.799999999999999</v>
      </c>
      <c r="AL506" s="5">
        <f>MIN(Z506,What_if_Analysis!$B$2)</f>
        <v>0.05</v>
      </c>
      <c r="AM506">
        <f t="shared" si="151"/>
        <v>12490.831799999998</v>
      </c>
      <c r="AN506">
        <f>AM506-(AK506*(T506*(1+What_if_Analysis!$B$3)))</f>
        <v>-1972.2366000000038</v>
      </c>
    </row>
    <row r="507" spans="1:40" x14ac:dyDescent="0.3">
      <c r="A507" t="s">
        <v>519</v>
      </c>
      <c r="B507" s="3">
        <v>45387</v>
      </c>
      <c r="C507" s="3" t="str">
        <f t="shared" si="135"/>
        <v>Apr-2024</v>
      </c>
      <c r="D507" s="3" t="str">
        <f t="shared" si="136"/>
        <v>Q2-2024</v>
      </c>
      <c r="E507" s="3">
        <v>45391</v>
      </c>
      <c r="F507" s="3" t="str">
        <f t="shared" si="137"/>
        <v>Valid</v>
      </c>
      <c r="G507" s="12">
        <f t="shared" si="138"/>
        <v>4</v>
      </c>
      <c r="H507" s="3">
        <f t="shared" si="139"/>
        <v>45391</v>
      </c>
      <c r="I507" t="s">
        <v>646</v>
      </c>
      <c r="J507" t="str">
        <f t="shared" si="140"/>
        <v>Africa → Nigeria → Lagos</v>
      </c>
      <c r="K507" s="3" t="str">
        <f t="shared" si="141"/>
        <v>Nigeria-2024-04</v>
      </c>
      <c r="L507" t="s">
        <v>651</v>
      </c>
      <c r="M507" t="s">
        <v>665</v>
      </c>
      <c r="N507" t="s">
        <v>703</v>
      </c>
      <c r="O507" t="s">
        <v>711</v>
      </c>
      <c r="P507" t="s">
        <v>723</v>
      </c>
      <c r="Q507" t="s">
        <v>727</v>
      </c>
      <c r="R507" t="s">
        <v>1238</v>
      </c>
      <c r="S507" s="5">
        <v>395.07</v>
      </c>
      <c r="T507" s="5">
        <v>970.27</v>
      </c>
      <c r="U507" s="5" t="str">
        <f t="shared" si="142"/>
        <v>Valid</v>
      </c>
      <c r="V507" s="5">
        <f t="shared" si="133"/>
        <v>970.27</v>
      </c>
      <c r="W507" s="5" t="str">
        <f t="shared" si="143"/>
        <v>Medium</v>
      </c>
      <c r="X507" s="5">
        <v>0.123</v>
      </c>
      <c r="Y507" s="5" t="str">
        <f t="shared" si="144"/>
        <v>Valid</v>
      </c>
      <c r="Z507" s="5">
        <f t="shared" si="145"/>
        <v>0.123</v>
      </c>
      <c r="AA507" s="5">
        <v>38</v>
      </c>
      <c r="AB507">
        <f t="shared" si="146"/>
        <v>32335.21802</v>
      </c>
      <c r="AC507">
        <f t="shared" si="134"/>
        <v>15012.66</v>
      </c>
      <c r="AD507">
        <f t="shared" si="147"/>
        <v>17322.55802</v>
      </c>
      <c r="AE507">
        <f t="shared" si="148"/>
        <v>0.53571799049833657</v>
      </c>
      <c r="AF507">
        <f t="shared" si="149"/>
        <v>1</v>
      </c>
      <c r="AG507">
        <f t="shared" si="150"/>
        <v>0</v>
      </c>
      <c r="AK507">
        <f>AA507*(1+What_if_Analysis!$B$4)</f>
        <v>45.6</v>
      </c>
      <c r="AL507" s="5">
        <f>MIN(Z507,What_if_Analysis!$B$2)</f>
        <v>0.05</v>
      </c>
      <c r="AM507">
        <f t="shared" si="151"/>
        <v>42032.096399999995</v>
      </c>
      <c r="AN507">
        <f>AM507-(AK507*(T507*(1+What_if_Analysis!$B$3)))</f>
        <v>-6636.6468000000095</v>
      </c>
    </row>
    <row r="508" spans="1:40" x14ac:dyDescent="0.3">
      <c r="A508" t="s">
        <v>520</v>
      </c>
      <c r="B508" s="3">
        <v>45774</v>
      </c>
      <c r="C508" s="3" t="str">
        <f t="shared" si="135"/>
        <v>Apr-2025</v>
      </c>
      <c r="D508" s="3" t="str">
        <f t="shared" si="136"/>
        <v>Q2-2025</v>
      </c>
      <c r="E508" s="3">
        <v>45794</v>
      </c>
      <c r="F508" s="3" t="str">
        <f t="shared" si="137"/>
        <v>Valid</v>
      </c>
      <c r="G508" s="12">
        <f t="shared" si="138"/>
        <v>20</v>
      </c>
      <c r="H508" s="3">
        <f t="shared" si="139"/>
        <v>45794</v>
      </c>
      <c r="I508" t="s">
        <v>648</v>
      </c>
      <c r="J508" t="str">
        <f t="shared" si="140"/>
        <v>Americas → USA → Austin</v>
      </c>
      <c r="K508" s="3" t="str">
        <f t="shared" si="141"/>
        <v>USA-2025-04</v>
      </c>
      <c r="L508" t="s">
        <v>660</v>
      </c>
      <c r="M508" t="s">
        <v>697</v>
      </c>
      <c r="N508" t="s">
        <v>701</v>
      </c>
      <c r="O508" t="s">
        <v>711</v>
      </c>
      <c r="P508" t="s">
        <v>725</v>
      </c>
      <c r="Q508" t="s">
        <v>730</v>
      </c>
      <c r="R508" t="s">
        <v>1239</v>
      </c>
      <c r="S508" s="5">
        <v>932.26</v>
      </c>
      <c r="T508" s="5">
        <v>1624.67</v>
      </c>
      <c r="U508" s="5" t="str">
        <f t="shared" si="142"/>
        <v>Valid</v>
      </c>
      <c r="V508" s="5">
        <f t="shared" si="133"/>
        <v>1624.67</v>
      </c>
      <c r="W508" s="5" t="str">
        <f t="shared" si="143"/>
        <v>Medium</v>
      </c>
      <c r="X508" s="5">
        <v>0.23499999999999999</v>
      </c>
      <c r="Y508" s="5" t="str">
        <f t="shared" si="144"/>
        <v>Valid</v>
      </c>
      <c r="Z508" s="5">
        <f t="shared" si="145"/>
        <v>0.23499999999999999</v>
      </c>
      <c r="AA508" s="5">
        <v>28</v>
      </c>
      <c r="AB508">
        <f t="shared" si="146"/>
        <v>34800.431400000001</v>
      </c>
      <c r="AC508">
        <f t="shared" si="134"/>
        <v>26103.279999999999</v>
      </c>
      <c r="AD508">
        <f t="shared" si="147"/>
        <v>8697.1514000000025</v>
      </c>
      <c r="AE508">
        <f t="shared" si="148"/>
        <v>0.24991504559337163</v>
      </c>
      <c r="AF508">
        <f t="shared" si="149"/>
        <v>0</v>
      </c>
      <c r="AG508">
        <f t="shared" si="150"/>
        <v>1</v>
      </c>
      <c r="AK508">
        <f>AA508*(1+What_if_Analysis!$B$4)</f>
        <v>33.6</v>
      </c>
      <c r="AL508" s="5">
        <f>MIN(Z508,What_if_Analysis!$B$2)</f>
        <v>0.05</v>
      </c>
      <c r="AM508">
        <f t="shared" si="151"/>
        <v>51859.466400000005</v>
      </c>
      <c r="AN508">
        <f>AM508-(AK508*(T508*(1+What_if_Analysis!$B$3)))</f>
        <v>-8188.3368000000046</v>
      </c>
    </row>
    <row r="509" spans="1:40" x14ac:dyDescent="0.3">
      <c r="A509" t="s">
        <v>521</v>
      </c>
      <c r="B509" s="3">
        <v>45589</v>
      </c>
      <c r="C509" s="3" t="str">
        <f t="shared" si="135"/>
        <v>Oct-2024</v>
      </c>
      <c r="D509" s="3" t="str">
        <f t="shared" si="136"/>
        <v>Q4-2024</v>
      </c>
      <c r="E509" s="3">
        <v>45593</v>
      </c>
      <c r="F509" s="3" t="str">
        <f t="shared" si="137"/>
        <v>Valid</v>
      </c>
      <c r="G509" s="12">
        <f t="shared" si="138"/>
        <v>4</v>
      </c>
      <c r="H509" s="3">
        <f t="shared" si="139"/>
        <v>45593</v>
      </c>
      <c r="I509" t="s">
        <v>647</v>
      </c>
      <c r="J509" t="str">
        <f t="shared" si="140"/>
        <v>Asia → China → Shanghai</v>
      </c>
      <c r="K509" s="3" t="str">
        <f t="shared" si="141"/>
        <v>China-2024-10</v>
      </c>
      <c r="L509" t="s">
        <v>659</v>
      </c>
      <c r="M509" t="s">
        <v>685</v>
      </c>
      <c r="N509" t="s">
        <v>705</v>
      </c>
      <c r="O509" t="s">
        <v>710</v>
      </c>
      <c r="P509" t="s">
        <v>714</v>
      </c>
      <c r="Q509" t="s">
        <v>729</v>
      </c>
      <c r="R509" t="s">
        <v>1240</v>
      </c>
      <c r="S509" s="5">
        <v>1331.77</v>
      </c>
      <c r="T509" s="5">
        <v>2606.11</v>
      </c>
      <c r="U509" s="5" t="str">
        <f t="shared" si="142"/>
        <v>Valid</v>
      </c>
      <c r="V509" s="5">
        <f t="shared" si="133"/>
        <v>2606.11</v>
      </c>
      <c r="W509" s="5" t="str">
        <f t="shared" si="143"/>
        <v>High</v>
      </c>
      <c r="X509" s="5">
        <v>0.02</v>
      </c>
      <c r="Y509" s="5" t="str">
        <f t="shared" si="144"/>
        <v>Valid</v>
      </c>
      <c r="Z509" s="5">
        <f t="shared" si="145"/>
        <v>0.02</v>
      </c>
      <c r="AA509" s="5">
        <v>6</v>
      </c>
      <c r="AB509">
        <f t="shared" si="146"/>
        <v>15323.926799999999</v>
      </c>
      <c r="AC509">
        <f t="shared" si="134"/>
        <v>7990.62</v>
      </c>
      <c r="AD509">
        <f t="shared" si="147"/>
        <v>7333.3067999999994</v>
      </c>
      <c r="AE509">
        <f t="shared" si="148"/>
        <v>0.47855271665745619</v>
      </c>
      <c r="AF509">
        <f t="shared" si="149"/>
        <v>1</v>
      </c>
      <c r="AG509">
        <f t="shared" si="150"/>
        <v>0</v>
      </c>
      <c r="AK509">
        <f>AA509*(1+What_if_Analysis!$B$4)</f>
        <v>7.1999999999999993</v>
      </c>
      <c r="AL509" s="5">
        <f>MIN(Z509,What_if_Analysis!$B$2)</f>
        <v>0.02</v>
      </c>
      <c r="AM509">
        <f t="shared" si="151"/>
        <v>18388.712159999999</v>
      </c>
      <c r="AN509">
        <f>AM509-(AK509*(T509*(1+What_if_Analysis!$B$3)))</f>
        <v>-2251.6790400000027</v>
      </c>
    </row>
    <row r="510" spans="1:40" x14ac:dyDescent="0.3">
      <c r="A510" t="s">
        <v>522</v>
      </c>
      <c r="B510" s="3">
        <v>45029</v>
      </c>
      <c r="C510" s="3" t="str">
        <f t="shared" si="135"/>
        <v>Apr-2023</v>
      </c>
      <c r="D510" s="3" t="str">
        <f t="shared" si="136"/>
        <v>Q2-2023</v>
      </c>
      <c r="E510" s="3">
        <v>45036</v>
      </c>
      <c r="F510" s="3" t="str">
        <f t="shared" si="137"/>
        <v>Valid</v>
      </c>
      <c r="G510" s="12">
        <f t="shared" si="138"/>
        <v>7</v>
      </c>
      <c r="H510" s="3">
        <f t="shared" si="139"/>
        <v>45036</v>
      </c>
      <c r="I510" t="s">
        <v>649</v>
      </c>
      <c r="J510" t="str">
        <f t="shared" si="140"/>
        <v>Europe → France → Lyon</v>
      </c>
      <c r="K510" s="3" t="str">
        <f t="shared" si="141"/>
        <v>France-2023-04</v>
      </c>
      <c r="L510" t="s">
        <v>657</v>
      </c>
      <c r="M510" t="s">
        <v>679</v>
      </c>
      <c r="N510" t="s">
        <v>705</v>
      </c>
      <c r="O510" t="s">
        <v>708</v>
      </c>
      <c r="P510" t="s">
        <v>720</v>
      </c>
      <c r="Q510" t="s">
        <v>731</v>
      </c>
      <c r="R510" t="s">
        <v>1241</v>
      </c>
      <c r="S510" s="5">
        <v>227.02</v>
      </c>
      <c r="T510" s="5">
        <v>434.72</v>
      </c>
      <c r="U510" s="5" t="str">
        <f t="shared" si="142"/>
        <v>Valid</v>
      </c>
      <c r="V510" s="5">
        <f t="shared" si="133"/>
        <v>434.72</v>
      </c>
      <c r="W510" s="5" t="str">
        <f t="shared" si="143"/>
        <v>Low</v>
      </c>
      <c r="X510" s="5">
        <v>9.8000000000000004E-2</v>
      </c>
      <c r="Y510" s="5" t="str">
        <f t="shared" si="144"/>
        <v>Valid</v>
      </c>
      <c r="Z510" s="5">
        <f t="shared" si="145"/>
        <v>9.8000000000000004E-2</v>
      </c>
      <c r="AA510" s="5">
        <v>10</v>
      </c>
      <c r="AB510">
        <f t="shared" si="146"/>
        <v>3921.1744000000008</v>
      </c>
      <c r="AC510">
        <f t="shared" si="134"/>
        <v>2270.2000000000003</v>
      </c>
      <c r="AD510">
        <f t="shared" si="147"/>
        <v>1650.9744000000005</v>
      </c>
      <c r="AE510">
        <f t="shared" si="148"/>
        <v>0.42104079838938052</v>
      </c>
      <c r="AF510">
        <f t="shared" si="149"/>
        <v>1</v>
      </c>
      <c r="AG510">
        <f t="shared" si="150"/>
        <v>0</v>
      </c>
      <c r="AK510">
        <f>AA510*(1+What_if_Analysis!$B$4)</f>
        <v>12</v>
      </c>
      <c r="AL510" s="5">
        <f>MIN(Z510,What_if_Analysis!$B$2)</f>
        <v>0.05</v>
      </c>
      <c r="AM510">
        <f t="shared" si="151"/>
        <v>4955.808</v>
      </c>
      <c r="AN510">
        <f>AM510-(AK510*(T510*(1+What_if_Analysis!$B$3)))</f>
        <v>-782.496000000001</v>
      </c>
    </row>
    <row r="511" spans="1:40" x14ac:dyDescent="0.3">
      <c r="A511" t="s">
        <v>523</v>
      </c>
      <c r="B511" s="3">
        <v>45608</v>
      </c>
      <c r="C511" s="3" t="str">
        <f t="shared" si="135"/>
        <v>Nov-2024</v>
      </c>
      <c r="D511" s="3" t="str">
        <f t="shared" si="136"/>
        <v>Q4-2024</v>
      </c>
      <c r="E511" s="3">
        <v>45617</v>
      </c>
      <c r="F511" s="3" t="str">
        <f t="shared" si="137"/>
        <v>Valid</v>
      </c>
      <c r="G511" s="12">
        <f t="shared" si="138"/>
        <v>9</v>
      </c>
      <c r="H511" s="3">
        <f t="shared" si="139"/>
        <v>45617</v>
      </c>
      <c r="I511" t="s">
        <v>647</v>
      </c>
      <c r="J511" t="str">
        <f t="shared" si="140"/>
        <v>Asia → India → Mumbai</v>
      </c>
      <c r="K511" s="3" t="str">
        <f t="shared" si="141"/>
        <v>India-2024-11</v>
      </c>
      <c r="L511" t="s">
        <v>654</v>
      </c>
      <c r="M511" t="s">
        <v>691</v>
      </c>
      <c r="N511" t="s">
        <v>701</v>
      </c>
      <c r="O511" t="s">
        <v>711</v>
      </c>
      <c r="P511" t="s">
        <v>722</v>
      </c>
      <c r="Q511" t="s">
        <v>731</v>
      </c>
      <c r="R511" t="s">
        <v>1242</v>
      </c>
      <c r="S511" s="5">
        <v>903.41</v>
      </c>
      <c r="T511" s="5">
        <v>1860.41</v>
      </c>
      <c r="U511" s="5" t="str">
        <f t="shared" si="142"/>
        <v>Valid</v>
      </c>
      <c r="V511" s="5">
        <f t="shared" si="133"/>
        <v>1860.41</v>
      </c>
      <c r="W511" s="5" t="str">
        <f t="shared" si="143"/>
        <v>Medium</v>
      </c>
      <c r="X511" s="5">
        <v>0.108</v>
      </c>
      <c r="Y511" s="5" t="str">
        <f t="shared" si="144"/>
        <v>Valid</v>
      </c>
      <c r="Z511" s="5">
        <f t="shared" si="145"/>
        <v>0.108</v>
      </c>
      <c r="AA511" s="5">
        <v>5</v>
      </c>
      <c r="AB511">
        <f t="shared" si="146"/>
        <v>8297.4286000000011</v>
      </c>
      <c r="AC511">
        <f t="shared" si="134"/>
        <v>4517.05</v>
      </c>
      <c r="AD511">
        <f t="shared" si="147"/>
        <v>3780.3786000000009</v>
      </c>
      <c r="AE511">
        <f t="shared" si="148"/>
        <v>0.455608451996803</v>
      </c>
      <c r="AF511">
        <f t="shared" si="149"/>
        <v>0</v>
      </c>
      <c r="AG511">
        <f t="shared" si="150"/>
        <v>0</v>
      </c>
      <c r="AK511">
        <f>AA511*(1+What_if_Analysis!$B$4)</f>
        <v>6</v>
      </c>
      <c r="AL511" s="5">
        <f>MIN(Z511,What_if_Analysis!$B$2)</f>
        <v>0.05</v>
      </c>
      <c r="AM511">
        <f t="shared" si="151"/>
        <v>10604.337</v>
      </c>
      <c r="AN511">
        <f>AM511-(AK511*(T511*(1+What_if_Analysis!$B$3)))</f>
        <v>-1674.3690000000024</v>
      </c>
    </row>
    <row r="512" spans="1:40" x14ac:dyDescent="0.3">
      <c r="A512" t="s">
        <v>524</v>
      </c>
      <c r="B512" s="3">
        <v>45056</v>
      </c>
      <c r="C512" s="3" t="str">
        <f t="shared" si="135"/>
        <v>May-2023</v>
      </c>
      <c r="D512" s="3" t="str">
        <f t="shared" si="136"/>
        <v>Q2-2023</v>
      </c>
      <c r="E512" s="3">
        <v>45060</v>
      </c>
      <c r="F512" s="3" t="str">
        <f t="shared" si="137"/>
        <v>Valid</v>
      </c>
      <c r="G512" s="12">
        <f t="shared" si="138"/>
        <v>4</v>
      </c>
      <c r="H512" s="3">
        <f t="shared" si="139"/>
        <v>45060</v>
      </c>
      <c r="I512" t="s">
        <v>647</v>
      </c>
      <c r="J512" t="str">
        <f t="shared" si="140"/>
        <v>Asia → India → Delhi</v>
      </c>
      <c r="K512" s="3" t="str">
        <f t="shared" si="141"/>
        <v>India-2023-05</v>
      </c>
      <c r="L512" t="s">
        <v>654</v>
      </c>
      <c r="M512" t="s">
        <v>680</v>
      </c>
      <c r="N512" t="s">
        <v>703</v>
      </c>
      <c r="O512" t="s">
        <v>710</v>
      </c>
      <c r="P512" t="s">
        <v>712</v>
      </c>
      <c r="Q512" t="s">
        <v>732</v>
      </c>
      <c r="R512" t="s">
        <v>1243</v>
      </c>
      <c r="S512" s="5">
        <v>622.6</v>
      </c>
      <c r="T512" s="5">
        <v>833.69</v>
      </c>
      <c r="U512" s="5" t="str">
        <f t="shared" si="142"/>
        <v>Valid</v>
      </c>
      <c r="V512" s="5">
        <f t="shared" si="133"/>
        <v>833.69</v>
      </c>
      <c r="W512" s="5" t="str">
        <f t="shared" si="143"/>
        <v>Medium</v>
      </c>
      <c r="X512" s="5">
        <v>0.20899999999999999</v>
      </c>
      <c r="Y512" s="5" t="str">
        <f t="shared" si="144"/>
        <v>Valid</v>
      </c>
      <c r="Z512" s="5">
        <f t="shared" si="145"/>
        <v>0.20899999999999999</v>
      </c>
      <c r="AA512" s="5">
        <v>14</v>
      </c>
      <c r="AB512">
        <f t="shared" si="146"/>
        <v>9232.2830599999998</v>
      </c>
      <c r="AC512">
        <f t="shared" si="134"/>
        <v>8716.4</v>
      </c>
      <c r="AD512">
        <f t="shared" si="147"/>
        <v>515.88306000000011</v>
      </c>
      <c r="AE512">
        <f t="shared" si="148"/>
        <v>5.5878167582959715E-2</v>
      </c>
      <c r="AF512">
        <f t="shared" si="149"/>
        <v>1</v>
      </c>
      <c r="AG512">
        <f t="shared" si="150"/>
        <v>1</v>
      </c>
      <c r="AK512">
        <f>AA512*(1+What_if_Analysis!$B$4)</f>
        <v>16.8</v>
      </c>
      <c r="AL512" s="5">
        <f>MIN(Z512,What_if_Analysis!$B$2)</f>
        <v>0.05</v>
      </c>
      <c r="AM512">
        <f t="shared" si="151"/>
        <v>13305.692400000002</v>
      </c>
      <c r="AN512">
        <f>AM512-(AK512*(T512*(1+What_if_Analysis!$B$3)))</f>
        <v>-2100.8988000000008</v>
      </c>
    </row>
    <row r="513" spans="1:40" x14ac:dyDescent="0.3">
      <c r="A513" t="s">
        <v>525</v>
      </c>
      <c r="B513" s="3">
        <v>45353</v>
      </c>
      <c r="C513" s="3" t="str">
        <f t="shared" si="135"/>
        <v>Mar-2024</v>
      </c>
      <c r="D513" s="3" t="str">
        <f t="shared" si="136"/>
        <v>Q1-2024</v>
      </c>
      <c r="E513" s="3">
        <v>45374</v>
      </c>
      <c r="F513" s="3" t="str">
        <f t="shared" si="137"/>
        <v>Valid</v>
      </c>
      <c r="G513" s="12">
        <f t="shared" si="138"/>
        <v>21</v>
      </c>
      <c r="H513" s="3">
        <f t="shared" si="139"/>
        <v>45374</v>
      </c>
      <c r="I513" t="s">
        <v>648</v>
      </c>
      <c r="J513" t="str">
        <f t="shared" si="140"/>
        <v>Americas → USA → Chicago</v>
      </c>
      <c r="K513" s="3" t="str">
        <f t="shared" si="141"/>
        <v>USA-2024-03</v>
      </c>
      <c r="L513" t="s">
        <v>660</v>
      </c>
      <c r="M513" t="s">
        <v>677</v>
      </c>
      <c r="N513" t="s">
        <v>705</v>
      </c>
      <c r="O513" t="s">
        <v>708</v>
      </c>
      <c r="P513" t="s">
        <v>721</v>
      </c>
      <c r="Q513" t="s">
        <v>727</v>
      </c>
      <c r="R513" t="s">
        <v>1244</v>
      </c>
      <c r="S513" s="5">
        <v>225.01</v>
      </c>
      <c r="T513" s="5">
        <v>333.48</v>
      </c>
      <c r="U513" s="5" t="str">
        <f t="shared" si="142"/>
        <v>Valid</v>
      </c>
      <c r="V513" s="5">
        <f t="shared" si="133"/>
        <v>333.48</v>
      </c>
      <c r="W513" s="5" t="str">
        <f t="shared" si="143"/>
        <v>Low</v>
      </c>
      <c r="X513" s="5">
        <v>0.11899999999999999</v>
      </c>
      <c r="Y513" s="5" t="str">
        <f t="shared" si="144"/>
        <v>Valid</v>
      </c>
      <c r="Z513" s="5">
        <f t="shared" si="145"/>
        <v>0.11899999999999999</v>
      </c>
      <c r="AA513" s="5">
        <v>12</v>
      </c>
      <c r="AB513">
        <f t="shared" si="146"/>
        <v>3525.5505600000001</v>
      </c>
      <c r="AC513">
        <f t="shared" si="134"/>
        <v>2700.12</v>
      </c>
      <c r="AD513">
        <f t="shared" si="147"/>
        <v>825.43056000000024</v>
      </c>
      <c r="AE513">
        <f t="shared" si="148"/>
        <v>0.23412813004729685</v>
      </c>
      <c r="AF513">
        <f t="shared" si="149"/>
        <v>0</v>
      </c>
      <c r="AG513">
        <f t="shared" si="150"/>
        <v>0</v>
      </c>
      <c r="AK513">
        <f>AA513*(1+What_if_Analysis!$B$4)</f>
        <v>14.399999999999999</v>
      </c>
      <c r="AL513" s="5">
        <f>MIN(Z513,What_if_Analysis!$B$2)</f>
        <v>0.05</v>
      </c>
      <c r="AM513">
        <f t="shared" si="151"/>
        <v>4562.0064000000002</v>
      </c>
      <c r="AN513">
        <f>AM513-(AK513*(T513*(1+What_if_Analysis!$B$3)))</f>
        <v>-720.3167999999996</v>
      </c>
    </row>
    <row r="514" spans="1:40" x14ac:dyDescent="0.3">
      <c r="A514" t="s">
        <v>526</v>
      </c>
      <c r="B514" s="3">
        <v>45575</v>
      </c>
      <c r="C514" s="3" t="str">
        <f t="shared" si="135"/>
        <v>Oct-2024</v>
      </c>
      <c r="D514" s="3" t="str">
        <f t="shared" si="136"/>
        <v>Q4-2024</v>
      </c>
      <c r="E514" s="3">
        <v>45576</v>
      </c>
      <c r="F514" s="3" t="str">
        <f t="shared" si="137"/>
        <v>Valid</v>
      </c>
      <c r="G514" s="12">
        <f t="shared" si="138"/>
        <v>1</v>
      </c>
      <c r="H514" s="3">
        <f t="shared" si="139"/>
        <v>45576</v>
      </c>
      <c r="I514" t="s">
        <v>649</v>
      </c>
      <c r="J514" t="str">
        <f t="shared" si="140"/>
        <v>Europe → United Kingdom → Manchester</v>
      </c>
      <c r="K514" s="3" t="str">
        <f t="shared" si="141"/>
        <v>United Kingdom-2024-10</v>
      </c>
      <c r="L514" t="s">
        <v>658</v>
      </c>
      <c r="M514" t="s">
        <v>693</v>
      </c>
      <c r="N514" t="s">
        <v>703</v>
      </c>
      <c r="O514" t="s">
        <v>710</v>
      </c>
      <c r="P514" t="s">
        <v>716</v>
      </c>
      <c r="Q514" t="s">
        <v>727</v>
      </c>
      <c r="R514" t="s">
        <v>1245</v>
      </c>
      <c r="S514" s="5">
        <v>1389.46</v>
      </c>
      <c r="T514" s="5">
        <v>1784.7</v>
      </c>
      <c r="U514" s="5" t="str">
        <f t="shared" si="142"/>
        <v>Valid</v>
      </c>
      <c r="V514" s="5">
        <f t="shared" ref="V514:V577" si="152">IF(T514&lt;0,AVERAGEIF($Q$2:$Q$633,Q514,$T$2:$T$633),T514)</f>
        <v>1784.7</v>
      </c>
      <c r="W514" s="5" t="str">
        <f t="shared" si="143"/>
        <v>Medium</v>
      </c>
      <c r="X514" s="5">
        <v>0.14599999999999999</v>
      </c>
      <c r="Y514" s="5" t="str">
        <f t="shared" si="144"/>
        <v>Valid</v>
      </c>
      <c r="Z514" s="5">
        <f t="shared" si="145"/>
        <v>0.14599999999999999</v>
      </c>
      <c r="AA514" s="5">
        <v>33</v>
      </c>
      <c r="AB514">
        <f t="shared" si="146"/>
        <v>50296.415399999998</v>
      </c>
      <c r="AC514">
        <f t="shared" ref="AC514:AC577" si="153">S514*AA514</f>
        <v>45852.18</v>
      </c>
      <c r="AD514">
        <f t="shared" si="147"/>
        <v>4444.2353999999978</v>
      </c>
      <c r="AE514">
        <f t="shared" si="148"/>
        <v>8.8360877503011831E-2</v>
      </c>
      <c r="AF514">
        <f t="shared" si="149"/>
        <v>1</v>
      </c>
      <c r="AG514">
        <f t="shared" si="150"/>
        <v>0</v>
      </c>
      <c r="AK514">
        <f>AA514*(1+What_if_Analysis!$B$4)</f>
        <v>39.6</v>
      </c>
      <c r="AL514" s="5">
        <f>MIN(Z514,What_if_Analysis!$B$2)</f>
        <v>0.05</v>
      </c>
      <c r="AM514">
        <f t="shared" si="151"/>
        <v>67140.414000000004</v>
      </c>
      <c r="AN514">
        <f>AM514-(AK514*(T514*(1+What_if_Analysis!$B$3)))</f>
        <v>-10601.118000000017</v>
      </c>
    </row>
    <row r="515" spans="1:40" x14ac:dyDescent="0.3">
      <c r="A515" t="s">
        <v>527</v>
      </c>
      <c r="B515" s="3">
        <v>45078</v>
      </c>
      <c r="C515" s="3" t="str">
        <f t="shared" ref="C515:C578" si="154">TEXT(B515,"mmm-yyyy")</f>
        <v>Jun-2023</v>
      </c>
      <c r="D515" s="3" t="str">
        <f t="shared" ref="D515:D578" si="155">"Q" &amp; ROUNDUP(MONTH(B515)/3,0) &amp; "-" &amp; YEAR(B515)</f>
        <v>Q2-2023</v>
      </c>
      <c r="E515" s="3">
        <v>45085</v>
      </c>
      <c r="F515" s="3" t="str">
        <f t="shared" ref="F515:F578" si="156">IF(E515&lt;B515,"Invalid RequiredDate","Valid")</f>
        <v>Valid</v>
      </c>
      <c r="G515" s="12">
        <f t="shared" ref="G515:G578" si="157">MEDIAN($E$2:$E$633-$B$2:$B$633)</f>
        <v>7</v>
      </c>
      <c r="H515" s="3">
        <f t="shared" ref="H515:H578" si="158">IF(E515&lt;B515,B515+$G$2,E515)</f>
        <v>45085</v>
      </c>
      <c r="I515" t="s">
        <v>649</v>
      </c>
      <c r="J515" t="str">
        <f t="shared" ref="J515:J578" si="159">I515 &amp; " → " &amp; L515 &amp; " → " &amp; M515</f>
        <v>Europe → Germany → Frankfurt</v>
      </c>
      <c r="K515" s="3" t="str">
        <f t="shared" ref="K515:K578" si="160">L515 &amp; "-" &amp; TEXT(C515,"YYYY-MM")</f>
        <v>Germany-2023-06</v>
      </c>
      <c r="L515" t="s">
        <v>656</v>
      </c>
      <c r="M515" t="s">
        <v>698</v>
      </c>
      <c r="N515" t="s">
        <v>704</v>
      </c>
      <c r="O515" t="s">
        <v>708</v>
      </c>
      <c r="P515" t="s">
        <v>720</v>
      </c>
      <c r="Q515" t="s">
        <v>730</v>
      </c>
      <c r="R515" t="s">
        <v>1246</v>
      </c>
      <c r="S515" s="5">
        <v>804.17</v>
      </c>
      <c r="T515" s="5">
        <v>1072.29</v>
      </c>
      <c r="U515" s="5" t="str">
        <f t="shared" ref="U515:U578" si="161">IF(T515&lt;0,"Invalid Price","Valid")</f>
        <v>Valid</v>
      </c>
      <c r="V515" s="5">
        <f t="shared" si="152"/>
        <v>1072.29</v>
      </c>
      <c r="W515" s="5" t="str">
        <f t="shared" ref="W515:W578" si="162">IF(V515&lt;=616.86,"Low",IF(V515&lt;1912.05,"Medium","High"))</f>
        <v>Medium</v>
      </c>
      <c r="X515" s="5">
        <v>3.2000000000000001E-2</v>
      </c>
      <c r="Y515" s="5" t="str">
        <f t="shared" ref="Y515:Y578" si="163">IF(X515&gt;30%,"High Discount","Valid")</f>
        <v>Valid</v>
      </c>
      <c r="Z515" s="5">
        <f t="shared" ref="Z515:Z578" si="164">IF(X515&gt;30%,30%,X515)</f>
        <v>3.2000000000000001E-2</v>
      </c>
      <c r="AA515" s="5">
        <v>5</v>
      </c>
      <c r="AB515">
        <f t="shared" ref="AB515:AB578" si="165">V515 * AA515 * (1 - Z515)</f>
        <v>5189.8836000000001</v>
      </c>
      <c r="AC515">
        <f t="shared" si="153"/>
        <v>4020.85</v>
      </c>
      <c r="AD515">
        <f t="shared" ref="AD515:AD578" si="166">AB515-AC515</f>
        <v>1169.0336000000002</v>
      </c>
      <c r="AE515">
        <f t="shared" ref="AE515:AE578" si="167">IF(AB515=0, 0, AD515 / AB515)</f>
        <v>0.2252523736755869</v>
      </c>
      <c r="AF515">
        <f t="shared" ref="AF515:AF578" si="168">IF(G515&lt;=7,1,0)</f>
        <v>1</v>
      </c>
      <c r="AG515">
        <f t="shared" ref="AG515:AG578" si="169">IF(Z515&gt;20%,1,0)</f>
        <v>0</v>
      </c>
      <c r="AK515">
        <f>AA515*(1+What_if_Analysis!$B$4)</f>
        <v>6</v>
      </c>
      <c r="AL515" s="5">
        <f>MIN(Z515,What_if_Analysis!$B$2)</f>
        <v>3.2000000000000001E-2</v>
      </c>
      <c r="AM515">
        <f t="shared" ref="AM515:AM578" si="170">AK515*V515*(1-AL515)</f>
        <v>6227.8603199999998</v>
      </c>
      <c r="AN515">
        <f>AM515-(AK515*(T515*(1+What_if_Analysis!$B$3)))</f>
        <v>-849.2536799999998</v>
      </c>
    </row>
    <row r="516" spans="1:40" x14ac:dyDescent="0.3">
      <c r="A516" t="s">
        <v>528</v>
      </c>
      <c r="B516" s="3">
        <v>45661</v>
      </c>
      <c r="C516" s="3" t="str">
        <f t="shared" si="154"/>
        <v>Jan-2025</v>
      </c>
      <c r="D516" s="3" t="str">
        <f t="shared" si="155"/>
        <v>Q1-2025</v>
      </c>
      <c r="E516" s="3">
        <v>45662</v>
      </c>
      <c r="F516" s="3" t="str">
        <f t="shared" si="156"/>
        <v>Valid</v>
      </c>
      <c r="G516" s="12">
        <f t="shared" si="157"/>
        <v>1</v>
      </c>
      <c r="H516" s="3">
        <f t="shared" si="158"/>
        <v>45662</v>
      </c>
      <c r="I516" t="s">
        <v>647</v>
      </c>
      <c r="J516" t="str">
        <f t="shared" si="159"/>
        <v>Asia → India → Delhi</v>
      </c>
      <c r="K516" s="3" t="str">
        <f t="shared" si="160"/>
        <v>India-2025-01</v>
      </c>
      <c r="L516" t="s">
        <v>654</v>
      </c>
      <c r="M516" t="s">
        <v>680</v>
      </c>
      <c r="N516" t="s">
        <v>702</v>
      </c>
      <c r="O516" t="s">
        <v>707</v>
      </c>
      <c r="P516" t="s">
        <v>714</v>
      </c>
      <c r="Q516" t="s">
        <v>727</v>
      </c>
      <c r="R516" t="s">
        <v>1247</v>
      </c>
      <c r="S516" s="5">
        <v>1428.33</v>
      </c>
      <c r="T516" s="5">
        <v>3028.05</v>
      </c>
      <c r="U516" s="5" t="str">
        <f t="shared" si="161"/>
        <v>Valid</v>
      </c>
      <c r="V516" s="5">
        <f t="shared" si="152"/>
        <v>3028.05</v>
      </c>
      <c r="W516" s="5" t="str">
        <f t="shared" si="162"/>
        <v>High</v>
      </c>
      <c r="X516" s="5">
        <v>0</v>
      </c>
      <c r="Y516" s="5" t="str">
        <f t="shared" si="163"/>
        <v>Valid</v>
      </c>
      <c r="Z516" s="5">
        <f t="shared" si="164"/>
        <v>0</v>
      </c>
      <c r="AA516" s="5">
        <v>11</v>
      </c>
      <c r="AB516">
        <f t="shared" si="165"/>
        <v>33308.550000000003</v>
      </c>
      <c r="AC516">
        <f t="shared" si="153"/>
        <v>15711.63</v>
      </c>
      <c r="AD516">
        <f t="shared" si="166"/>
        <v>17596.920000000006</v>
      </c>
      <c r="AE516">
        <f t="shared" si="167"/>
        <v>0.52830039134096207</v>
      </c>
      <c r="AF516">
        <f t="shared" si="168"/>
        <v>1</v>
      </c>
      <c r="AG516">
        <f t="shared" si="169"/>
        <v>0</v>
      </c>
      <c r="AK516">
        <f>AA516*(1+What_if_Analysis!$B$4)</f>
        <v>13.2</v>
      </c>
      <c r="AL516" s="5">
        <f>MIN(Z516,What_if_Analysis!$B$2)</f>
        <v>0</v>
      </c>
      <c r="AM516">
        <f t="shared" si="170"/>
        <v>39970.26</v>
      </c>
      <c r="AN516">
        <f>AM516-(AK516*(T516*(1+What_if_Analysis!$B$3)))</f>
        <v>-3997.0260000000053</v>
      </c>
    </row>
    <row r="517" spans="1:40" x14ac:dyDescent="0.3">
      <c r="A517" t="s">
        <v>529</v>
      </c>
      <c r="B517" s="3">
        <v>45874</v>
      </c>
      <c r="C517" s="3" t="str">
        <f t="shared" si="154"/>
        <v>Aug-2025</v>
      </c>
      <c r="D517" s="3" t="str">
        <f t="shared" si="155"/>
        <v>Q3-2025</v>
      </c>
      <c r="E517" s="3">
        <v>45897</v>
      </c>
      <c r="F517" s="3" t="str">
        <f t="shared" si="156"/>
        <v>Valid</v>
      </c>
      <c r="G517" s="12">
        <f t="shared" si="157"/>
        <v>23</v>
      </c>
      <c r="H517" s="3">
        <f t="shared" si="158"/>
        <v>45897</v>
      </c>
      <c r="I517" t="s">
        <v>647</v>
      </c>
      <c r="J517" t="str">
        <f t="shared" si="159"/>
        <v>Asia → India → Mumbai</v>
      </c>
      <c r="K517" s="3" t="str">
        <f t="shared" si="160"/>
        <v>India-2025-08</v>
      </c>
      <c r="L517" t="s">
        <v>654</v>
      </c>
      <c r="M517" t="s">
        <v>691</v>
      </c>
      <c r="N517" t="s">
        <v>703</v>
      </c>
      <c r="O517" t="s">
        <v>710</v>
      </c>
      <c r="P517" t="s">
        <v>725</v>
      </c>
      <c r="Q517" t="s">
        <v>731</v>
      </c>
      <c r="R517" t="s">
        <v>1248</v>
      </c>
      <c r="S517" s="5">
        <v>638.54</v>
      </c>
      <c r="T517" s="5">
        <v>987.24</v>
      </c>
      <c r="U517" s="5" t="str">
        <f t="shared" si="161"/>
        <v>Valid</v>
      </c>
      <c r="V517" s="5">
        <f t="shared" si="152"/>
        <v>987.24</v>
      </c>
      <c r="W517" s="5" t="str">
        <f t="shared" si="162"/>
        <v>Medium</v>
      </c>
      <c r="X517" s="5">
        <v>0</v>
      </c>
      <c r="Y517" s="5" t="str">
        <f t="shared" si="163"/>
        <v>Valid</v>
      </c>
      <c r="Z517" s="5">
        <f t="shared" si="164"/>
        <v>0</v>
      </c>
      <c r="AA517" s="5">
        <v>11</v>
      </c>
      <c r="AB517">
        <f t="shared" si="165"/>
        <v>10859.64</v>
      </c>
      <c r="AC517">
        <f t="shared" si="153"/>
        <v>7023.94</v>
      </c>
      <c r="AD517">
        <f t="shared" si="166"/>
        <v>3835.7</v>
      </c>
      <c r="AE517">
        <f t="shared" si="167"/>
        <v>0.35320692030306716</v>
      </c>
      <c r="AF517">
        <f t="shared" si="168"/>
        <v>0</v>
      </c>
      <c r="AG517">
        <f t="shared" si="169"/>
        <v>0</v>
      </c>
      <c r="AK517">
        <f>AA517*(1+What_if_Analysis!$B$4)</f>
        <v>13.2</v>
      </c>
      <c r="AL517" s="5">
        <f>MIN(Z517,What_if_Analysis!$B$2)</f>
        <v>0</v>
      </c>
      <c r="AM517">
        <f t="shared" si="170"/>
        <v>13031.567999999999</v>
      </c>
      <c r="AN517">
        <f>AM517-(AK517*(T517*(1+What_if_Analysis!$B$3)))</f>
        <v>-1303.1568000000025</v>
      </c>
    </row>
    <row r="518" spans="1:40" x14ac:dyDescent="0.3">
      <c r="A518" t="s">
        <v>530</v>
      </c>
      <c r="B518" s="3">
        <v>45199</v>
      </c>
      <c r="C518" s="3" t="str">
        <f t="shared" si="154"/>
        <v>Sept-2023</v>
      </c>
      <c r="D518" s="3" t="str">
        <f t="shared" si="155"/>
        <v>Q3-2023</v>
      </c>
      <c r="E518" s="3">
        <v>45229</v>
      </c>
      <c r="F518" s="3" t="str">
        <f t="shared" si="156"/>
        <v>Valid</v>
      </c>
      <c r="G518" s="12">
        <f t="shared" si="157"/>
        <v>30</v>
      </c>
      <c r="H518" s="3">
        <f t="shared" si="158"/>
        <v>45229</v>
      </c>
      <c r="I518" t="s">
        <v>647</v>
      </c>
      <c r="J518" t="str">
        <f t="shared" si="159"/>
        <v>Asia → Japan → Tokyo</v>
      </c>
      <c r="K518" s="3" t="str">
        <f t="shared" si="160"/>
        <v>Japan-2023-09</v>
      </c>
      <c r="L518" t="s">
        <v>652</v>
      </c>
      <c r="M518" t="s">
        <v>689</v>
      </c>
      <c r="N518" t="s">
        <v>706</v>
      </c>
      <c r="O518" t="s">
        <v>708</v>
      </c>
      <c r="P518" t="s">
        <v>726</v>
      </c>
      <c r="Q518" t="s">
        <v>728</v>
      </c>
      <c r="R518" t="s">
        <v>1249</v>
      </c>
      <c r="S518" s="5">
        <v>649.13</v>
      </c>
      <c r="T518" s="5">
        <v>975.43</v>
      </c>
      <c r="U518" s="5" t="str">
        <f t="shared" si="161"/>
        <v>Valid</v>
      </c>
      <c r="V518" s="5">
        <f t="shared" si="152"/>
        <v>975.43</v>
      </c>
      <c r="W518" s="5" t="str">
        <f t="shared" si="162"/>
        <v>Medium</v>
      </c>
      <c r="X518" s="5">
        <v>0.157</v>
      </c>
      <c r="Y518" s="5" t="str">
        <f t="shared" si="163"/>
        <v>Valid</v>
      </c>
      <c r="Z518" s="5">
        <f t="shared" si="164"/>
        <v>0.157</v>
      </c>
      <c r="AA518" s="5">
        <v>27</v>
      </c>
      <c r="AB518">
        <f t="shared" si="165"/>
        <v>22201.762229999997</v>
      </c>
      <c r="AC518">
        <f t="shared" si="153"/>
        <v>17526.509999999998</v>
      </c>
      <c r="AD518">
        <f t="shared" si="166"/>
        <v>4675.2522299999982</v>
      </c>
      <c r="AE518">
        <f t="shared" si="167"/>
        <v>0.21058023149543473</v>
      </c>
      <c r="AF518">
        <f t="shared" si="168"/>
        <v>0</v>
      </c>
      <c r="AG518">
        <f t="shared" si="169"/>
        <v>0</v>
      </c>
      <c r="AK518">
        <f>AA518*(1+What_if_Analysis!$B$4)</f>
        <v>32.4</v>
      </c>
      <c r="AL518" s="5">
        <f>MIN(Z518,What_if_Analysis!$B$2)</f>
        <v>0.05</v>
      </c>
      <c r="AM518">
        <f t="shared" si="170"/>
        <v>30023.735399999994</v>
      </c>
      <c r="AN518">
        <f>AM518-(AK518*(T518*(1+What_if_Analysis!$B$3)))</f>
        <v>-4740.5898000000052</v>
      </c>
    </row>
    <row r="519" spans="1:40" x14ac:dyDescent="0.3">
      <c r="A519" t="s">
        <v>531</v>
      </c>
      <c r="B519" s="3">
        <v>45794</v>
      </c>
      <c r="C519" s="3" t="str">
        <f t="shared" si="154"/>
        <v>May-2025</v>
      </c>
      <c r="D519" s="3" t="str">
        <f t="shared" si="155"/>
        <v>Q2-2025</v>
      </c>
      <c r="E519" s="3">
        <v>45807</v>
      </c>
      <c r="F519" s="3" t="str">
        <f t="shared" si="156"/>
        <v>Valid</v>
      </c>
      <c r="G519" s="12">
        <f t="shared" si="157"/>
        <v>13</v>
      </c>
      <c r="H519" s="3">
        <f t="shared" si="158"/>
        <v>45807</v>
      </c>
      <c r="I519" t="s">
        <v>646</v>
      </c>
      <c r="J519" t="str">
        <f t="shared" si="159"/>
        <v>Africa → Nigeria → Lagos</v>
      </c>
      <c r="K519" s="3" t="str">
        <f t="shared" si="160"/>
        <v>Nigeria-2025-05</v>
      </c>
      <c r="L519" t="s">
        <v>651</v>
      </c>
      <c r="M519" t="s">
        <v>665</v>
      </c>
      <c r="N519" t="s">
        <v>704</v>
      </c>
      <c r="O519" t="s">
        <v>710</v>
      </c>
      <c r="P519" t="s">
        <v>721</v>
      </c>
      <c r="Q519" t="s">
        <v>733</v>
      </c>
      <c r="R519" t="s">
        <v>1250</v>
      </c>
      <c r="S519" s="5">
        <v>66.400000000000006</v>
      </c>
      <c r="T519" s="5">
        <v>141.43</v>
      </c>
      <c r="U519" s="5" t="str">
        <f t="shared" si="161"/>
        <v>Valid</v>
      </c>
      <c r="V519" s="5">
        <f t="shared" si="152"/>
        <v>141.43</v>
      </c>
      <c r="W519" s="5" t="str">
        <f t="shared" si="162"/>
        <v>Low</v>
      </c>
      <c r="X519" s="5">
        <v>0.107</v>
      </c>
      <c r="Y519" s="5" t="str">
        <f t="shared" si="163"/>
        <v>Valid</v>
      </c>
      <c r="Z519" s="5">
        <f t="shared" si="164"/>
        <v>0.107</v>
      </c>
      <c r="AA519" s="5">
        <v>8</v>
      </c>
      <c r="AB519">
        <f t="shared" si="165"/>
        <v>1010.3759200000001</v>
      </c>
      <c r="AC519">
        <f t="shared" si="153"/>
        <v>531.20000000000005</v>
      </c>
      <c r="AD519">
        <f t="shared" si="166"/>
        <v>479.17592000000002</v>
      </c>
      <c r="AE519">
        <f t="shared" si="167"/>
        <v>0.47425508715607551</v>
      </c>
      <c r="AF519">
        <f t="shared" si="168"/>
        <v>0</v>
      </c>
      <c r="AG519">
        <f t="shared" si="169"/>
        <v>0</v>
      </c>
      <c r="AK519">
        <f>AA519*(1+What_if_Analysis!$B$4)</f>
        <v>9.6</v>
      </c>
      <c r="AL519" s="5">
        <f>MIN(Z519,What_if_Analysis!$B$2)</f>
        <v>0.05</v>
      </c>
      <c r="AM519">
        <f t="shared" si="170"/>
        <v>1289.8416</v>
      </c>
      <c r="AN519">
        <f>AM519-(AK519*(T519*(1+What_if_Analysis!$B$3)))</f>
        <v>-203.65920000000006</v>
      </c>
    </row>
    <row r="520" spans="1:40" x14ac:dyDescent="0.3">
      <c r="A520" t="s">
        <v>532</v>
      </c>
      <c r="B520" s="3">
        <v>45413</v>
      </c>
      <c r="C520" s="3" t="str">
        <f t="shared" si="154"/>
        <v>May-2024</v>
      </c>
      <c r="D520" s="3" t="str">
        <f t="shared" si="155"/>
        <v>Q2-2024</v>
      </c>
      <c r="E520" s="3">
        <v>45438</v>
      </c>
      <c r="F520" s="3" t="str">
        <f t="shared" si="156"/>
        <v>Valid</v>
      </c>
      <c r="G520" s="12">
        <f t="shared" si="157"/>
        <v>25</v>
      </c>
      <c r="H520" s="3">
        <f t="shared" si="158"/>
        <v>45438</v>
      </c>
      <c r="I520" t="s">
        <v>649</v>
      </c>
      <c r="J520" t="str">
        <f t="shared" si="159"/>
        <v>Europe → Germany → Berlin</v>
      </c>
      <c r="K520" s="3" t="str">
        <f t="shared" si="160"/>
        <v>Germany-2024-05</v>
      </c>
      <c r="L520" t="s">
        <v>656</v>
      </c>
      <c r="M520" t="s">
        <v>671</v>
      </c>
      <c r="N520" t="s">
        <v>703</v>
      </c>
      <c r="O520" t="s">
        <v>707</v>
      </c>
      <c r="P520" t="s">
        <v>717</v>
      </c>
      <c r="Q520" t="s">
        <v>729</v>
      </c>
      <c r="R520" t="s">
        <v>1251</v>
      </c>
      <c r="S520" s="5">
        <v>930.71</v>
      </c>
      <c r="T520" s="5">
        <v>1625.42</v>
      </c>
      <c r="U520" s="5" t="str">
        <f t="shared" si="161"/>
        <v>Valid</v>
      </c>
      <c r="V520" s="5">
        <f t="shared" si="152"/>
        <v>1625.42</v>
      </c>
      <c r="W520" s="5" t="str">
        <f t="shared" si="162"/>
        <v>Medium</v>
      </c>
      <c r="X520" s="5">
        <v>0.13800000000000001</v>
      </c>
      <c r="Y520" s="5" t="str">
        <f t="shared" si="163"/>
        <v>Valid</v>
      </c>
      <c r="Z520" s="5">
        <f t="shared" si="164"/>
        <v>0.13800000000000001</v>
      </c>
      <c r="AA520" s="5">
        <v>7</v>
      </c>
      <c r="AB520">
        <f t="shared" si="165"/>
        <v>9807.7842799999999</v>
      </c>
      <c r="AC520">
        <f t="shared" si="153"/>
        <v>6514.97</v>
      </c>
      <c r="AD520">
        <f t="shared" si="166"/>
        <v>3292.8142799999996</v>
      </c>
      <c r="AE520">
        <f t="shared" si="167"/>
        <v>0.33573477821231196</v>
      </c>
      <c r="AF520">
        <f t="shared" si="168"/>
        <v>0</v>
      </c>
      <c r="AG520">
        <f t="shared" si="169"/>
        <v>0</v>
      </c>
      <c r="AK520">
        <f>AA520*(1+What_if_Analysis!$B$4)</f>
        <v>8.4</v>
      </c>
      <c r="AL520" s="5">
        <f>MIN(Z520,What_if_Analysis!$B$2)</f>
        <v>0.05</v>
      </c>
      <c r="AM520">
        <f t="shared" si="170"/>
        <v>12970.851600000002</v>
      </c>
      <c r="AN520">
        <f>AM520-(AK520*(T520*(1+What_if_Analysis!$B$3)))</f>
        <v>-2048.0292000000009</v>
      </c>
    </row>
    <row r="521" spans="1:40" x14ac:dyDescent="0.3">
      <c r="A521" t="s">
        <v>533</v>
      </c>
      <c r="B521" s="3">
        <v>45047</v>
      </c>
      <c r="C521" s="3" t="str">
        <f t="shared" si="154"/>
        <v>May-2023</v>
      </c>
      <c r="D521" s="3" t="str">
        <f t="shared" si="155"/>
        <v>Q2-2023</v>
      </c>
      <c r="E521" s="3">
        <v>45064</v>
      </c>
      <c r="F521" s="3" t="str">
        <f t="shared" si="156"/>
        <v>Valid</v>
      </c>
      <c r="G521" s="12">
        <f t="shared" si="157"/>
        <v>17</v>
      </c>
      <c r="H521" s="3">
        <f t="shared" si="158"/>
        <v>45064</v>
      </c>
      <c r="I521" t="s">
        <v>646</v>
      </c>
      <c r="J521" t="str">
        <f t="shared" si="159"/>
        <v>Africa → Nigeria → Port Harcourt</v>
      </c>
      <c r="K521" s="3" t="str">
        <f t="shared" si="160"/>
        <v>Nigeria-2023-05</v>
      </c>
      <c r="L521" t="s">
        <v>651</v>
      </c>
      <c r="M521" t="s">
        <v>663</v>
      </c>
      <c r="N521" t="s">
        <v>701</v>
      </c>
      <c r="O521" t="s">
        <v>711</v>
      </c>
      <c r="P521" t="s">
        <v>721</v>
      </c>
      <c r="Q521" t="s">
        <v>727</v>
      </c>
      <c r="R521" t="s">
        <v>1252</v>
      </c>
      <c r="S521" s="5">
        <v>327.97</v>
      </c>
      <c r="T521" s="5">
        <v>299.94</v>
      </c>
      <c r="U521" s="5" t="str">
        <f t="shared" si="161"/>
        <v>Valid</v>
      </c>
      <c r="V521" s="5">
        <f t="shared" si="152"/>
        <v>299.94</v>
      </c>
      <c r="W521" s="5" t="str">
        <f t="shared" si="162"/>
        <v>Low</v>
      </c>
      <c r="X521" s="5">
        <v>4.9000000000000002E-2</v>
      </c>
      <c r="Y521" s="5" t="str">
        <f t="shared" si="163"/>
        <v>Valid</v>
      </c>
      <c r="Z521" s="5">
        <f t="shared" si="164"/>
        <v>4.9000000000000002E-2</v>
      </c>
      <c r="AA521" s="5">
        <v>3</v>
      </c>
      <c r="AB521">
        <f t="shared" si="165"/>
        <v>855.72881999999993</v>
      </c>
      <c r="AC521">
        <f t="shared" si="153"/>
        <v>983.91000000000008</v>
      </c>
      <c r="AD521">
        <f t="shared" si="166"/>
        <v>-128.18118000000015</v>
      </c>
      <c r="AE521">
        <f t="shared" si="167"/>
        <v>-0.14979182306843442</v>
      </c>
      <c r="AF521">
        <f t="shared" si="168"/>
        <v>0</v>
      </c>
      <c r="AG521">
        <f t="shared" si="169"/>
        <v>0</v>
      </c>
      <c r="AK521">
        <f>AA521*(1+What_if_Analysis!$B$4)</f>
        <v>3.5999999999999996</v>
      </c>
      <c r="AL521" s="5">
        <f>MIN(Z521,What_if_Analysis!$B$2)</f>
        <v>4.9000000000000002E-2</v>
      </c>
      <c r="AM521">
        <f t="shared" si="170"/>
        <v>1026.8745839999999</v>
      </c>
      <c r="AN521">
        <f>AM521-(AK521*(T521*(1+What_if_Analysis!$B$3)))</f>
        <v>-160.88781600000016</v>
      </c>
    </row>
    <row r="522" spans="1:40" x14ac:dyDescent="0.3">
      <c r="A522" t="s">
        <v>534</v>
      </c>
      <c r="B522" s="3">
        <v>45482</v>
      </c>
      <c r="C522" s="3" t="str">
        <f t="shared" si="154"/>
        <v>Jul-2024</v>
      </c>
      <c r="D522" s="3" t="str">
        <f t="shared" si="155"/>
        <v>Q3-2024</v>
      </c>
      <c r="E522" s="3">
        <v>45512</v>
      </c>
      <c r="F522" s="3" t="str">
        <f t="shared" si="156"/>
        <v>Valid</v>
      </c>
      <c r="G522" s="12">
        <f t="shared" si="157"/>
        <v>30</v>
      </c>
      <c r="H522" s="3">
        <f t="shared" si="158"/>
        <v>45512</v>
      </c>
      <c r="I522" t="s">
        <v>649</v>
      </c>
      <c r="J522" t="str">
        <f t="shared" si="159"/>
        <v>Europe → France → Marseille</v>
      </c>
      <c r="K522" s="3" t="str">
        <f t="shared" si="160"/>
        <v>France-2024-07</v>
      </c>
      <c r="L522" t="s">
        <v>657</v>
      </c>
      <c r="M522" t="s">
        <v>673</v>
      </c>
      <c r="N522" t="s">
        <v>701</v>
      </c>
      <c r="O522" t="s">
        <v>711</v>
      </c>
      <c r="P522" t="s">
        <v>713</v>
      </c>
      <c r="Q522" t="s">
        <v>727</v>
      </c>
      <c r="R522" t="s">
        <v>1253</v>
      </c>
      <c r="S522" s="5">
        <v>1062.3800000000001</v>
      </c>
      <c r="T522" s="5">
        <v>1503.96</v>
      </c>
      <c r="U522" s="5" t="str">
        <f t="shared" si="161"/>
        <v>Valid</v>
      </c>
      <c r="V522" s="5">
        <f t="shared" si="152"/>
        <v>1503.96</v>
      </c>
      <c r="W522" s="5" t="str">
        <f t="shared" si="162"/>
        <v>Medium</v>
      </c>
      <c r="X522" s="5">
        <v>0.18</v>
      </c>
      <c r="Y522" s="5" t="str">
        <f t="shared" si="163"/>
        <v>Valid</v>
      </c>
      <c r="Z522" s="5">
        <f t="shared" si="164"/>
        <v>0.18</v>
      </c>
      <c r="AA522" s="5">
        <v>6</v>
      </c>
      <c r="AB522">
        <f t="shared" si="165"/>
        <v>7399.4832000000006</v>
      </c>
      <c r="AC522">
        <f t="shared" si="153"/>
        <v>6374.2800000000007</v>
      </c>
      <c r="AD522">
        <f t="shared" si="166"/>
        <v>1025.2031999999999</v>
      </c>
      <c r="AE522">
        <f t="shared" si="167"/>
        <v>0.13855064905073369</v>
      </c>
      <c r="AF522">
        <f t="shared" si="168"/>
        <v>0</v>
      </c>
      <c r="AG522">
        <f t="shared" si="169"/>
        <v>0</v>
      </c>
      <c r="AK522">
        <f>AA522*(1+What_if_Analysis!$B$4)</f>
        <v>7.1999999999999993</v>
      </c>
      <c r="AL522" s="5">
        <f>MIN(Z522,What_if_Analysis!$B$2)</f>
        <v>0.05</v>
      </c>
      <c r="AM522">
        <f t="shared" si="170"/>
        <v>10287.086399999998</v>
      </c>
      <c r="AN522">
        <f>AM522-(AK522*(T522*(1+What_if_Analysis!$B$3)))</f>
        <v>-1624.2768000000015</v>
      </c>
    </row>
    <row r="523" spans="1:40" x14ac:dyDescent="0.3">
      <c r="A523" t="s">
        <v>535</v>
      </c>
      <c r="B523" s="3">
        <v>45056</v>
      </c>
      <c r="C523" s="3" t="str">
        <f t="shared" si="154"/>
        <v>May-2023</v>
      </c>
      <c r="D523" s="3" t="str">
        <f t="shared" si="155"/>
        <v>Q2-2023</v>
      </c>
      <c r="E523" s="3">
        <v>45073</v>
      </c>
      <c r="F523" s="3" t="str">
        <f t="shared" si="156"/>
        <v>Valid</v>
      </c>
      <c r="G523" s="12">
        <f t="shared" si="157"/>
        <v>17</v>
      </c>
      <c r="H523" s="3">
        <f t="shared" si="158"/>
        <v>45073</v>
      </c>
      <c r="I523" t="s">
        <v>647</v>
      </c>
      <c r="J523" t="str">
        <f t="shared" si="159"/>
        <v>Asia → India → Mumbai</v>
      </c>
      <c r="K523" s="3" t="str">
        <f t="shared" si="160"/>
        <v>India-2023-05</v>
      </c>
      <c r="L523" t="s">
        <v>654</v>
      </c>
      <c r="M523" t="s">
        <v>691</v>
      </c>
      <c r="N523" t="s">
        <v>704</v>
      </c>
      <c r="O523" t="s">
        <v>707</v>
      </c>
      <c r="P523" t="s">
        <v>724</v>
      </c>
      <c r="Q523" t="s">
        <v>731</v>
      </c>
      <c r="R523" t="s">
        <v>1254</v>
      </c>
      <c r="S523" s="5">
        <v>1286.1600000000001</v>
      </c>
      <c r="T523" s="5">
        <v>3101.11</v>
      </c>
      <c r="U523" s="5" t="str">
        <f t="shared" si="161"/>
        <v>Valid</v>
      </c>
      <c r="V523" s="5">
        <f t="shared" si="152"/>
        <v>3101.11</v>
      </c>
      <c r="W523" s="5" t="str">
        <f t="shared" si="162"/>
        <v>High</v>
      </c>
      <c r="X523" s="5">
        <v>0.1</v>
      </c>
      <c r="Y523" s="5" t="str">
        <f t="shared" si="163"/>
        <v>Valid</v>
      </c>
      <c r="Z523" s="5">
        <f t="shared" si="164"/>
        <v>0.1</v>
      </c>
      <c r="AA523" s="5">
        <v>23</v>
      </c>
      <c r="AB523">
        <f t="shared" si="165"/>
        <v>64192.976999999999</v>
      </c>
      <c r="AC523">
        <f t="shared" si="153"/>
        <v>29581.68</v>
      </c>
      <c r="AD523">
        <f t="shared" si="166"/>
        <v>34611.296999999999</v>
      </c>
      <c r="AE523">
        <f t="shared" si="167"/>
        <v>0.53917575749758417</v>
      </c>
      <c r="AF523">
        <f t="shared" si="168"/>
        <v>0</v>
      </c>
      <c r="AG523">
        <f t="shared" si="169"/>
        <v>0</v>
      </c>
      <c r="AK523">
        <f>AA523*(1+What_if_Analysis!$B$4)</f>
        <v>27.599999999999998</v>
      </c>
      <c r="AL523" s="5">
        <f>MIN(Z523,What_if_Analysis!$B$2)</f>
        <v>0.05</v>
      </c>
      <c r="AM523">
        <f t="shared" si="170"/>
        <v>81311.104200000002</v>
      </c>
      <c r="AN523">
        <f>AM523-(AK523*(T523*(1+What_if_Analysis!$B$3)))</f>
        <v>-12838.595400000006</v>
      </c>
    </row>
    <row r="524" spans="1:40" x14ac:dyDescent="0.3">
      <c r="A524" t="s">
        <v>536</v>
      </c>
      <c r="B524" s="3">
        <v>45482</v>
      </c>
      <c r="C524" s="3" t="str">
        <f t="shared" si="154"/>
        <v>Jul-2024</v>
      </c>
      <c r="D524" s="3" t="str">
        <f t="shared" si="155"/>
        <v>Q3-2024</v>
      </c>
      <c r="E524" s="3">
        <v>45485</v>
      </c>
      <c r="F524" s="3" t="str">
        <f t="shared" si="156"/>
        <v>Valid</v>
      </c>
      <c r="G524" s="12">
        <f t="shared" si="157"/>
        <v>3</v>
      </c>
      <c r="H524" s="3">
        <f t="shared" si="158"/>
        <v>45485</v>
      </c>
      <c r="I524" t="s">
        <v>647</v>
      </c>
      <c r="J524" t="str">
        <f t="shared" si="159"/>
        <v>Asia → China → Shanghai</v>
      </c>
      <c r="K524" s="3" t="str">
        <f t="shared" si="160"/>
        <v>China-2024-07</v>
      </c>
      <c r="L524" t="s">
        <v>659</v>
      </c>
      <c r="M524" t="s">
        <v>685</v>
      </c>
      <c r="N524" t="s">
        <v>705</v>
      </c>
      <c r="O524" t="s">
        <v>707</v>
      </c>
      <c r="P524" t="s">
        <v>726</v>
      </c>
      <c r="Q524" t="s">
        <v>733</v>
      </c>
      <c r="R524" t="s">
        <v>1255</v>
      </c>
      <c r="S524" s="5">
        <v>748.39</v>
      </c>
      <c r="T524" s="5">
        <v>979.42</v>
      </c>
      <c r="U524" s="5" t="str">
        <f t="shared" si="161"/>
        <v>Valid</v>
      </c>
      <c r="V524" s="5">
        <f t="shared" si="152"/>
        <v>979.42</v>
      </c>
      <c r="W524" s="5" t="str">
        <f t="shared" si="162"/>
        <v>Medium</v>
      </c>
      <c r="X524" s="5">
        <v>0</v>
      </c>
      <c r="Y524" s="5" t="str">
        <f t="shared" si="163"/>
        <v>Valid</v>
      </c>
      <c r="Z524" s="5">
        <f t="shared" si="164"/>
        <v>0</v>
      </c>
      <c r="AA524" s="5">
        <v>23</v>
      </c>
      <c r="AB524">
        <f t="shared" si="165"/>
        <v>22526.66</v>
      </c>
      <c r="AC524">
        <f t="shared" si="153"/>
        <v>17212.97</v>
      </c>
      <c r="AD524">
        <f t="shared" si="166"/>
        <v>5313.6899999999987</v>
      </c>
      <c r="AE524">
        <f t="shared" si="167"/>
        <v>0.23588450307324738</v>
      </c>
      <c r="AF524">
        <f t="shared" si="168"/>
        <v>1</v>
      </c>
      <c r="AG524">
        <f t="shared" si="169"/>
        <v>0</v>
      </c>
      <c r="AK524">
        <f>AA524*(1+What_if_Analysis!$B$4)</f>
        <v>27.599999999999998</v>
      </c>
      <c r="AL524" s="5">
        <f>MIN(Z524,What_if_Analysis!$B$2)</f>
        <v>0</v>
      </c>
      <c r="AM524">
        <f t="shared" si="170"/>
        <v>27031.991999999998</v>
      </c>
      <c r="AN524">
        <f>AM524-(AK524*(T524*(1+What_if_Analysis!$B$3)))</f>
        <v>-2703.1992000000027</v>
      </c>
    </row>
    <row r="525" spans="1:40" x14ac:dyDescent="0.3">
      <c r="A525" t="s">
        <v>537</v>
      </c>
      <c r="B525" s="3">
        <v>45406</v>
      </c>
      <c r="C525" s="3" t="str">
        <f t="shared" si="154"/>
        <v>Apr-2024</v>
      </c>
      <c r="D525" s="3" t="str">
        <f t="shared" si="155"/>
        <v>Q2-2024</v>
      </c>
      <c r="E525" s="3">
        <v>45422</v>
      </c>
      <c r="F525" s="3" t="str">
        <f t="shared" si="156"/>
        <v>Valid</v>
      </c>
      <c r="G525" s="12">
        <f t="shared" si="157"/>
        <v>16</v>
      </c>
      <c r="H525" s="3">
        <f t="shared" si="158"/>
        <v>45422</v>
      </c>
      <c r="I525" t="s">
        <v>646</v>
      </c>
      <c r="J525" t="str">
        <f t="shared" si="159"/>
        <v>Africa → Kenya → Kisumu</v>
      </c>
      <c r="K525" s="3" t="str">
        <f t="shared" si="160"/>
        <v>Kenya-2024-04</v>
      </c>
      <c r="L525" t="s">
        <v>650</v>
      </c>
      <c r="M525" t="s">
        <v>662</v>
      </c>
      <c r="N525" t="s">
        <v>703</v>
      </c>
      <c r="O525" t="s">
        <v>708</v>
      </c>
      <c r="P525" t="s">
        <v>725</v>
      </c>
      <c r="Q525" t="s">
        <v>732</v>
      </c>
      <c r="R525" t="s">
        <v>1256</v>
      </c>
      <c r="S525" s="5">
        <v>513.30999999999995</v>
      </c>
      <c r="T525" s="5">
        <v>1186.26</v>
      </c>
      <c r="U525" s="5" t="str">
        <f t="shared" si="161"/>
        <v>Valid</v>
      </c>
      <c r="V525" s="5">
        <f t="shared" si="152"/>
        <v>1186.26</v>
      </c>
      <c r="W525" s="5" t="str">
        <f t="shared" si="162"/>
        <v>Medium</v>
      </c>
      <c r="X525" s="5">
        <v>9.4E-2</v>
      </c>
      <c r="Y525" s="5" t="str">
        <f t="shared" si="163"/>
        <v>Valid</v>
      </c>
      <c r="Z525" s="5">
        <f t="shared" si="164"/>
        <v>9.4E-2</v>
      </c>
      <c r="AA525" s="5">
        <v>15</v>
      </c>
      <c r="AB525">
        <f t="shared" si="165"/>
        <v>16121.273400000002</v>
      </c>
      <c r="AC525">
        <f t="shared" si="153"/>
        <v>7699.65</v>
      </c>
      <c r="AD525">
        <f t="shared" si="166"/>
        <v>8421.6234000000022</v>
      </c>
      <c r="AE525">
        <f t="shared" si="167"/>
        <v>0.52239194702820446</v>
      </c>
      <c r="AF525">
        <f t="shared" si="168"/>
        <v>0</v>
      </c>
      <c r="AG525">
        <f t="shared" si="169"/>
        <v>0</v>
      </c>
      <c r="AK525">
        <f>AA525*(1+What_if_Analysis!$B$4)</f>
        <v>18</v>
      </c>
      <c r="AL525" s="5">
        <f>MIN(Z525,What_if_Analysis!$B$2)</f>
        <v>0.05</v>
      </c>
      <c r="AM525">
        <f t="shared" si="170"/>
        <v>20285.045999999998</v>
      </c>
      <c r="AN525">
        <f>AM525-(AK525*(T525*(1+What_if_Analysis!$B$3)))</f>
        <v>-3202.9020000000055</v>
      </c>
    </row>
    <row r="526" spans="1:40" x14ac:dyDescent="0.3">
      <c r="A526" t="s">
        <v>538</v>
      </c>
      <c r="B526" s="3">
        <v>45304</v>
      </c>
      <c r="C526" s="3" t="str">
        <f t="shared" si="154"/>
        <v>Jan-2024</v>
      </c>
      <c r="D526" s="3" t="str">
        <f t="shared" si="155"/>
        <v>Q1-2024</v>
      </c>
      <c r="E526" s="3">
        <v>45306</v>
      </c>
      <c r="F526" s="3" t="str">
        <f t="shared" si="156"/>
        <v>Valid</v>
      </c>
      <c r="G526" s="12">
        <f t="shared" si="157"/>
        <v>2</v>
      </c>
      <c r="H526" s="3">
        <f t="shared" si="158"/>
        <v>45306</v>
      </c>
      <c r="I526" t="s">
        <v>648</v>
      </c>
      <c r="J526" t="str">
        <f t="shared" si="159"/>
        <v>Americas → USA → San Francisco</v>
      </c>
      <c r="K526" s="3" t="str">
        <f t="shared" si="160"/>
        <v>USA-2024-01</v>
      </c>
      <c r="L526" t="s">
        <v>660</v>
      </c>
      <c r="M526" t="s">
        <v>686</v>
      </c>
      <c r="N526" t="s">
        <v>703</v>
      </c>
      <c r="O526" t="s">
        <v>711</v>
      </c>
      <c r="P526" t="s">
        <v>718</v>
      </c>
      <c r="Q526" t="s">
        <v>727</v>
      </c>
      <c r="R526" t="s">
        <v>1257</v>
      </c>
      <c r="S526" s="5">
        <v>1061.3699999999999</v>
      </c>
      <c r="T526" s="5">
        <v>1938.33</v>
      </c>
      <c r="U526" s="5" t="str">
        <f t="shared" si="161"/>
        <v>Valid</v>
      </c>
      <c r="V526" s="5">
        <f t="shared" si="152"/>
        <v>1938.33</v>
      </c>
      <c r="W526" s="5" t="str">
        <f t="shared" si="162"/>
        <v>High</v>
      </c>
      <c r="X526" s="5">
        <v>0.17</v>
      </c>
      <c r="Y526" s="5" t="str">
        <f t="shared" si="163"/>
        <v>Valid</v>
      </c>
      <c r="Z526" s="5">
        <f t="shared" si="164"/>
        <v>0.17</v>
      </c>
      <c r="AA526" s="5">
        <v>4</v>
      </c>
      <c r="AB526">
        <f t="shared" si="165"/>
        <v>6435.2555999999995</v>
      </c>
      <c r="AC526">
        <f t="shared" si="153"/>
        <v>4245.4799999999996</v>
      </c>
      <c r="AD526">
        <f t="shared" si="166"/>
        <v>2189.7755999999999</v>
      </c>
      <c r="AE526">
        <f t="shared" si="167"/>
        <v>0.34027795259600879</v>
      </c>
      <c r="AF526">
        <f t="shared" si="168"/>
        <v>1</v>
      </c>
      <c r="AG526">
        <f t="shared" si="169"/>
        <v>0</v>
      </c>
      <c r="AK526">
        <f>AA526*(1+What_if_Analysis!$B$4)</f>
        <v>4.8</v>
      </c>
      <c r="AL526" s="5">
        <f>MIN(Z526,What_if_Analysis!$B$2)</f>
        <v>0.05</v>
      </c>
      <c r="AM526">
        <f t="shared" si="170"/>
        <v>8838.7847999999976</v>
      </c>
      <c r="AN526">
        <f>AM526-(AK526*(T526*(1+What_if_Analysis!$B$3)))</f>
        <v>-1395.5976000000028</v>
      </c>
    </row>
    <row r="527" spans="1:40" x14ac:dyDescent="0.3">
      <c r="A527" t="s">
        <v>539</v>
      </c>
      <c r="B527" s="3">
        <v>45398</v>
      </c>
      <c r="C527" s="3" t="str">
        <f t="shared" si="154"/>
        <v>Apr-2024</v>
      </c>
      <c r="D527" s="3" t="str">
        <f t="shared" si="155"/>
        <v>Q2-2024</v>
      </c>
      <c r="E527" s="3">
        <v>45409</v>
      </c>
      <c r="F527" s="3" t="str">
        <f t="shared" si="156"/>
        <v>Valid</v>
      </c>
      <c r="G527" s="12">
        <f t="shared" si="157"/>
        <v>11</v>
      </c>
      <c r="H527" s="3">
        <f t="shared" si="158"/>
        <v>45409</v>
      </c>
      <c r="I527" t="s">
        <v>646</v>
      </c>
      <c r="J527" t="str">
        <f t="shared" si="159"/>
        <v>Africa → Kenya → Nakuru</v>
      </c>
      <c r="K527" s="3" t="str">
        <f t="shared" si="160"/>
        <v>Kenya-2024-04</v>
      </c>
      <c r="L527" t="s">
        <v>650</v>
      </c>
      <c r="M527" t="s">
        <v>678</v>
      </c>
      <c r="N527" t="s">
        <v>706</v>
      </c>
      <c r="O527" t="s">
        <v>708</v>
      </c>
      <c r="P527" t="s">
        <v>726</v>
      </c>
      <c r="Q527" t="s">
        <v>728</v>
      </c>
      <c r="R527" t="s">
        <v>1258</v>
      </c>
      <c r="S527" s="5">
        <v>401.3</v>
      </c>
      <c r="T527" s="5">
        <v>826.47</v>
      </c>
      <c r="U527" s="5" t="str">
        <f t="shared" si="161"/>
        <v>Valid</v>
      </c>
      <c r="V527" s="5">
        <f t="shared" si="152"/>
        <v>826.47</v>
      </c>
      <c r="W527" s="5" t="str">
        <f t="shared" si="162"/>
        <v>Medium</v>
      </c>
      <c r="X527" s="5">
        <v>0.22500000000000001</v>
      </c>
      <c r="Y527" s="5" t="str">
        <f t="shared" si="163"/>
        <v>Valid</v>
      </c>
      <c r="Z527" s="5">
        <f t="shared" si="164"/>
        <v>0.22500000000000001</v>
      </c>
      <c r="AA527" s="5">
        <v>13</v>
      </c>
      <c r="AB527">
        <f t="shared" si="165"/>
        <v>8326.6852500000005</v>
      </c>
      <c r="AC527">
        <f t="shared" si="153"/>
        <v>5216.9000000000005</v>
      </c>
      <c r="AD527">
        <f t="shared" si="166"/>
        <v>3109.7852499999999</v>
      </c>
      <c r="AE527">
        <f t="shared" si="167"/>
        <v>0.37347217489696755</v>
      </c>
      <c r="AF527">
        <f t="shared" si="168"/>
        <v>0</v>
      </c>
      <c r="AG527">
        <f t="shared" si="169"/>
        <v>1</v>
      </c>
      <c r="AK527">
        <f>AA527*(1+What_if_Analysis!$B$4)</f>
        <v>15.6</v>
      </c>
      <c r="AL527" s="5">
        <f>MIN(Z527,What_if_Analysis!$B$2)</f>
        <v>0.05</v>
      </c>
      <c r="AM527">
        <f t="shared" si="170"/>
        <v>12248.285400000001</v>
      </c>
      <c r="AN527">
        <f>AM527-(AK527*(T527*(1+What_if_Analysis!$B$3)))</f>
        <v>-1933.9398000000001</v>
      </c>
    </row>
    <row r="528" spans="1:40" x14ac:dyDescent="0.3">
      <c r="A528" t="s">
        <v>540</v>
      </c>
      <c r="B528" s="3">
        <v>45695</v>
      </c>
      <c r="C528" s="3" t="str">
        <f t="shared" si="154"/>
        <v>Feb-2025</v>
      </c>
      <c r="D528" s="3" t="str">
        <f t="shared" si="155"/>
        <v>Q1-2025</v>
      </c>
      <c r="E528" s="3">
        <v>45704</v>
      </c>
      <c r="F528" s="3" t="str">
        <f t="shared" si="156"/>
        <v>Valid</v>
      </c>
      <c r="G528" s="12">
        <f t="shared" si="157"/>
        <v>9</v>
      </c>
      <c r="H528" s="3">
        <f t="shared" si="158"/>
        <v>45704</v>
      </c>
      <c r="I528" t="s">
        <v>646</v>
      </c>
      <c r="J528" t="str">
        <f t="shared" si="159"/>
        <v>Africa → Nigeria → Lagos</v>
      </c>
      <c r="K528" s="3" t="str">
        <f t="shared" si="160"/>
        <v>Nigeria-2025-02</v>
      </c>
      <c r="L528" t="s">
        <v>651</v>
      </c>
      <c r="M528" t="s">
        <v>665</v>
      </c>
      <c r="N528" t="s">
        <v>705</v>
      </c>
      <c r="O528" t="s">
        <v>710</v>
      </c>
      <c r="P528" t="s">
        <v>712</v>
      </c>
      <c r="Q528" t="s">
        <v>728</v>
      </c>
      <c r="R528" t="s">
        <v>1259</v>
      </c>
      <c r="S528" s="5">
        <v>90.68</v>
      </c>
      <c r="T528" s="5">
        <v>118.17</v>
      </c>
      <c r="U528" s="5" t="str">
        <f t="shared" si="161"/>
        <v>Valid</v>
      </c>
      <c r="V528" s="5">
        <f t="shared" si="152"/>
        <v>118.17</v>
      </c>
      <c r="W528" s="5" t="str">
        <f t="shared" si="162"/>
        <v>Low</v>
      </c>
      <c r="X528" s="5">
        <v>0.13500000000000001</v>
      </c>
      <c r="Y528" s="5" t="str">
        <f t="shared" si="163"/>
        <v>Valid</v>
      </c>
      <c r="Z528" s="5">
        <f t="shared" si="164"/>
        <v>0.13500000000000001</v>
      </c>
      <c r="AA528" s="5">
        <v>21</v>
      </c>
      <c r="AB528">
        <f t="shared" si="165"/>
        <v>2146.5580500000001</v>
      </c>
      <c r="AC528">
        <f t="shared" si="153"/>
        <v>1904.2800000000002</v>
      </c>
      <c r="AD528">
        <f t="shared" si="166"/>
        <v>242.27804999999989</v>
      </c>
      <c r="AE528">
        <f t="shared" si="167"/>
        <v>0.11286815653552899</v>
      </c>
      <c r="AF528">
        <f t="shared" si="168"/>
        <v>0</v>
      </c>
      <c r="AG528">
        <f t="shared" si="169"/>
        <v>0</v>
      </c>
      <c r="AK528">
        <f>AA528*(1+What_if_Analysis!$B$4)</f>
        <v>25.2</v>
      </c>
      <c r="AL528" s="5">
        <f>MIN(Z528,What_if_Analysis!$B$2)</f>
        <v>0.05</v>
      </c>
      <c r="AM528">
        <f t="shared" si="170"/>
        <v>2828.9897999999998</v>
      </c>
      <c r="AN528">
        <f>AM528-(AK528*(T528*(1+What_if_Analysis!$B$3)))</f>
        <v>-446.68260000000055</v>
      </c>
    </row>
    <row r="529" spans="1:40" x14ac:dyDescent="0.3">
      <c r="A529" t="s">
        <v>541</v>
      </c>
      <c r="B529" s="3">
        <v>44938</v>
      </c>
      <c r="C529" s="3" t="str">
        <f t="shared" si="154"/>
        <v>Jan-2023</v>
      </c>
      <c r="D529" s="3" t="str">
        <f t="shared" si="155"/>
        <v>Q1-2023</v>
      </c>
      <c r="E529" s="3">
        <v>44952</v>
      </c>
      <c r="F529" s="3" t="str">
        <f t="shared" si="156"/>
        <v>Valid</v>
      </c>
      <c r="G529" s="12">
        <f t="shared" si="157"/>
        <v>14</v>
      </c>
      <c r="H529" s="3">
        <f t="shared" si="158"/>
        <v>44952</v>
      </c>
      <c r="I529" t="s">
        <v>647</v>
      </c>
      <c r="J529" t="str">
        <f t="shared" si="159"/>
        <v>Asia → China → Shenzhen</v>
      </c>
      <c r="K529" s="3" t="str">
        <f t="shared" si="160"/>
        <v>China-2023-01</v>
      </c>
      <c r="L529" t="s">
        <v>659</v>
      </c>
      <c r="M529" t="s">
        <v>676</v>
      </c>
      <c r="N529" t="s">
        <v>703</v>
      </c>
      <c r="O529" t="s">
        <v>707</v>
      </c>
      <c r="P529" t="s">
        <v>724</v>
      </c>
      <c r="Q529" t="s">
        <v>728</v>
      </c>
      <c r="R529" t="s">
        <v>1260</v>
      </c>
      <c r="S529" s="5">
        <v>1083.0899999999999</v>
      </c>
      <c r="T529" s="5">
        <v>1425.87</v>
      </c>
      <c r="U529" s="5" t="str">
        <f t="shared" si="161"/>
        <v>Valid</v>
      </c>
      <c r="V529" s="5">
        <f t="shared" si="152"/>
        <v>1425.87</v>
      </c>
      <c r="W529" s="5" t="str">
        <f t="shared" si="162"/>
        <v>Medium</v>
      </c>
      <c r="X529" s="5">
        <v>0</v>
      </c>
      <c r="Y529" s="5" t="str">
        <f t="shared" si="163"/>
        <v>Valid</v>
      </c>
      <c r="Z529" s="5">
        <f t="shared" si="164"/>
        <v>0</v>
      </c>
      <c r="AA529" s="5">
        <v>8</v>
      </c>
      <c r="AB529">
        <f t="shared" si="165"/>
        <v>11406.96</v>
      </c>
      <c r="AC529">
        <f t="shared" si="153"/>
        <v>8664.7199999999993</v>
      </c>
      <c r="AD529">
        <f t="shared" si="166"/>
        <v>2742.24</v>
      </c>
      <c r="AE529">
        <f t="shared" si="167"/>
        <v>0.24040059752992909</v>
      </c>
      <c r="AF529">
        <f t="shared" si="168"/>
        <v>0</v>
      </c>
      <c r="AG529">
        <f t="shared" si="169"/>
        <v>0</v>
      </c>
      <c r="AK529">
        <f>AA529*(1+What_if_Analysis!$B$4)</f>
        <v>9.6</v>
      </c>
      <c r="AL529" s="5">
        <f>MIN(Z529,What_if_Analysis!$B$2)</f>
        <v>0</v>
      </c>
      <c r="AM529">
        <f t="shared" si="170"/>
        <v>13688.351999999999</v>
      </c>
      <c r="AN529">
        <f>AM529-(AK529*(T529*(1+What_if_Analysis!$B$3)))</f>
        <v>-1368.8352000000014</v>
      </c>
    </row>
    <row r="530" spans="1:40" x14ac:dyDescent="0.3">
      <c r="A530" t="s">
        <v>542</v>
      </c>
      <c r="B530" s="3">
        <v>45448</v>
      </c>
      <c r="C530" s="3" t="str">
        <f t="shared" si="154"/>
        <v>Jun-2024</v>
      </c>
      <c r="D530" s="3" t="str">
        <f t="shared" si="155"/>
        <v>Q2-2024</v>
      </c>
      <c r="E530" s="3">
        <v>45466</v>
      </c>
      <c r="F530" s="3" t="str">
        <f t="shared" si="156"/>
        <v>Valid</v>
      </c>
      <c r="G530" s="12">
        <f t="shared" si="157"/>
        <v>18</v>
      </c>
      <c r="H530" s="3">
        <f t="shared" si="158"/>
        <v>45466</v>
      </c>
      <c r="I530" t="s">
        <v>646</v>
      </c>
      <c r="J530" t="str">
        <f t="shared" si="159"/>
        <v>Africa → Kenya → Nairobi</v>
      </c>
      <c r="K530" s="3" t="str">
        <f t="shared" si="160"/>
        <v>Kenya-2024-06</v>
      </c>
      <c r="L530" t="s">
        <v>650</v>
      </c>
      <c r="M530" t="s">
        <v>664</v>
      </c>
      <c r="N530" t="s">
        <v>704</v>
      </c>
      <c r="O530" t="s">
        <v>710</v>
      </c>
      <c r="P530" t="s">
        <v>726</v>
      </c>
      <c r="Q530" t="s">
        <v>731</v>
      </c>
      <c r="R530" t="s">
        <v>1261</v>
      </c>
      <c r="S530" s="5">
        <v>1208.74</v>
      </c>
      <c r="T530" s="5">
        <v>1594.78</v>
      </c>
      <c r="U530" s="5" t="str">
        <f t="shared" si="161"/>
        <v>Valid</v>
      </c>
      <c r="V530" s="5">
        <f t="shared" si="152"/>
        <v>1594.78</v>
      </c>
      <c r="W530" s="5" t="str">
        <f t="shared" si="162"/>
        <v>Medium</v>
      </c>
      <c r="X530" s="5">
        <v>5.8999999999999997E-2</v>
      </c>
      <c r="Y530" s="5" t="str">
        <f t="shared" si="163"/>
        <v>Valid</v>
      </c>
      <c r="Z530" s="5">
        <f t="shared" si="164"/>
        <v>5.8999999999999997E-2</v>
      </c>
      <c r="AA530" s="5">
        <v>39</v>
      </c>
      <c r="AB530">
        <f t="shared" si="165"/>
        <v>58526.83122</v>
      </c>
      <c r="AC530">
        <f t="shared" si="153"/>
        <v>47140.86</v>
      </c>
      <c r="AD530">
        <f t="shared" si="166"/>
        <v>11385.971219999999</v>
      </c>
      <c r="AE530">
        <f t="shared" si="167"/>
        <v>0.1945427589817838</v>
      </c>
      <c r="AF530">
        <f t="shared" si="168"/>
        <v>0</v>
      </c>
      <c r="AG530">
        <f t="shared" si="169"/>
        <v>0</v>
      </c>
      <c r="AK530">
        <f>AA530*(1+What_if_Analysis!$B$4)</f>
        <v>46.8</v>
      </c>
      <c r="AL530" s="5">
        <f>MIN(Z530,What_if_Analysis!$B$2)</f>
        <v>0.05</v>
      </c>
      <c r="AM530">
        <f t="shared" si="170"/>
        <v>70903.918799999999</v>
      </c>
      <c r="AN530">
        <f>AM530-(AK530*(T530*(1+What_if_Analysis!$B$3)))</f>
        <v>-11195.355599999995</v>
      </c>
    </row>
    <row r="531" spans="1:40" x14ac:dyDescent="0.3">
      <c r="A531" t="s">
        <v>543</v>
      </c>
      <c r="B531" s="3">
        <v>45162</v>
      </c>
      <c r="C531" s="3" t="str">
        <f t="shared" si="154"/>
        <v>Aug-2023</v>
      </c>
      <c r="D531" s="3" t="str">
        <f t="shared" si="155"/>
        <v>Q3-2023</v>
      </c>
      <c r="E531" s="3">
        <v>45189</v>
      </c>
      <c r="F531" s="3" t="str">
        <f t="shared" si="156"/>
        <v>Valid</v>
      </c>
      <c r="G531" s="12">
        <f t="shared" si="157"/>
        <v>27</v>
      </c>
      <c r="H531" s="3">
        <f t="shared" si="158"/>
        <v>45189</v>
      </c>
      <c r="I531" t="s">
        <v>646</v>
      </c>
      <c r="J531" t="str">
        <f t="shared" si="159"/>
        <v>Africa → South Africa → Durban</v>
      </c>
      <c r="K531" s="3" t="str">
        <f t="shared" si="160"/>
        <v>South Africa-2023-08</v>
      </c>
      <c r="L531" t="s">
        <v>661</v>
      </c>
      <c r="M531" t="s">
        <v>687</v>
      </c>
      <c r="N531" t="s">
        <v>705</v>
      </c>
      <c r="O531" t="s">
        <v>709</v>
      </c>
      <c r="P531" t="s">
        <v>724</v>
      </c>
      <c r="Q531" t="s">
        <v>728</v>
      </c>
      <c r="R531" t="s">
        <v>1262</v>
      </c>
      <c r="S531" s="5">
        <v>1399.64</v>
      </c>
      <c r="T531" s="5">
        <v>3342.11</v>
      </c>
      <c r="U531" s="5" t="str">
        <f t="shared" si="161"/>
        <v>Valid</v>
      </c>
      <c r="V531" s="5">
        <f t="shared" si="152"/>
        <v>3342.11</v>
      </c>
      <c r="W531" s="5" t="str">
        <f t="shared" si="162"/>
        <v>High</v>
      </c>
      <c r="X531" s="5">
        <v>0</v>
      </c>
      <c r="Y531" s="5" t="str">
        <f t="shared" si="163"/>
        <v>Valid</v>
      </c>
      <c r="Z531" s="5">
        <f t="shared" si="164"/>
        <v>0</v>
      </c>
      <c r="AA531" s="5">
        <v>10</v>
      </c>
      <c r="AB531">
        <f t="shared" si="165"/>
        <v>33421.1</v>
      </c>
      <c r="AC531">
        <f t="shared" si="153"/>
        <v>13996.400000000001</v>
      </c>
      <c r="AD531">
        <f t="shared" si="166"/>
        <v>19424.699999999997</v>
      </c>
      <c r="AE531">
        <f t="shared" si="167"/>
        <v>0.58121067229983447</v>
      </c>
      <c r="AF531">
        <f t="shared" si="168"/>
        <v>0</v>
      </c>
      <c r="AG531">
        <f t="shared" si="169"/>
        <v>0</v>
      </c>
      <c r="AK531">
        <f>AA531*(1+What_if_Analysis!$B$4)</f>
        <v>12</v>
      </c>
      <c r="AL531" s="5">
        <f>MIN(Z531,What_if_Analysis!$B$2)</f>
        <v>0</v>
      </c>
      <c r="AM531">
        <f t="shared" si="170"/>
        <v>40105.32</v>
      </c>
      <c r="AN531">
        <f>AM531-(AK531*(T531*(1+What_if_Analysis!$B$3)))</f>
        <v>-4010.5320000000065</v>
      </c>
    </row>
    <row r="532" spans="1:40" x14ac:dyDescent="0.3">
      <c r="A532" t="s">
        <v>544</v>
      </c>
      <c r="B532" s="3">
        <v>45316</v>
      </c>
      <c r="C532" s="3" t="str">
        <f t="shared" si="154"/>
        <v>Jan-2024</v>
      </c>
      <c r="D532" s="3" t="str">
        <f t="shared" si="155"/>
        <v>Q1-2024</v>
      </c>
      <c r="E532" s="3">
        <v>45330</v>
      </c>
      <c r="F532" s="3" t="str">
        <f t="shared" si="156"/>
        <v>Valid</v>
      </c>
      <c r="G532" s="12">
        <f t="shared" si="157"/>
        <v>14</v>
      </c>
      <c r="H532" s="3">
        <f t="shared" si="158"/>
        <v>45330</v>
      </c>
      <c r="I532" t="s">
        <v>647</v>
      </c>
      <c r="J532" t="str">
        <f t="shared" si="159"/>
        <v>Asia → Japan → Osaka</v>
      </c>
      <c r="K532" s="3" t="str">
        <f t="shared" si="160"/>
        <v>Japan-2024-01</v>
      </c>
      <c r="L532" t="s">
        <v>652</v>
      </c>
      <c r="M532" t="s">
        <v>666</v>
      </c>
      <c r="N532" t="s">
        <v>704</v>
      </c>
      <c r="O532" t="s">
        <v>709</v>
      </c>
      <c r="P532" t="s">
        <v>714</v>
      </c>
      <c r="Q532" t="s">
        <v>729</v>
      </c>
      <c r="R532" t="s">
        <v>1263</v>
      </c>
      <c r="S532" s="5">
        <v>937.16</v>
      </c>
      <c r="T532" s="5">
        <v>1069.77</v>
      </c>
      <c r="U532" s="5" t="str">
        <f t="shared" si="161"/>
        <v>Valid</v>
      </c>
      <c r="V532" s="5">
        <f t="shared" si="152"/>
        <v>1069.77</v>
      </c>
      <c r="W532" s="5" t="str">
        <f t="shared" si="162"/>
        <v>Medium</v>
      </c>
      <c r="X532" s="5">
        <v>3.7999999999999999E-2</v>
      </c>
      <c r="Y532" s="5" t="str">
        <f t="shared" si="163"/>
        <v>Valid</v>
      </c>
      <c r="Z532" s="5">
        <f t="shared" si="164"/>
        <v>3.7999999999999999E-2</v>
      </c>
      <c r="AA532" s="5">
        <v>9</v>
      </c>
      <c r="AB532">
        <f t="shared" si="165"/>
        <v>9262.0686600000008</v>
      </c>
      <c r="AC532">
        <f t="shared" si="153"/>
        <v>8434.44</v>
      </c>
      <c r="AD532">
        <f t="shared" si="166"/>
        <v>827.62866000000031</v>
      </c>
      <c r="AE532">
        <f t="shared" si="167"/>
        <v>8.9356783066645962E-2</v>
      </c>
      <c r="AF532">
        <f t="shared" si="168"/>
        <v>0</v>
      </c>
      <c r="AG532">
        <f t="shared" si="169"/>
        <v>0</v>
      </c>
      <c r="AK532">
        <f>AA532*(1+What_if_Analysis!$B$4)</f>
        <v>10.799999999999999</v>
      </c>
      <c r="AL532" s="5">
        <f>MIN(Z532,What_if_Analysis!$B$2)</f>
        <v>3.7999999999999999E-2</v>
      </c>
      <c r="AM532">
        <f t="shared" si="170"/>
        <v>11114.482391999998</v>
      </c>
      <c r="AN532">
        <f>AM532-(AK532*(T532*(1+What_if_Analysis!$B$3)))</f>
        <v>-1594.3852080000015</v>
      </c>
    </row>
    <row r="533" spans="1:40" x14ac:dyDescent="0.3">
      <c r="A533" t="s">
        <v>545</v>
      </c>
      <c r="B533" s="3">
        <v>45727</v>
      </c>
      <c r="C533" s="3" t="str">
        <f t="shared" si="154"/>
        <v>Mar-2025</v>
      </c>
      <c r="D533" s="3" t="str">
        <f t="shared" si="155"/>
        <v>Q1-2025</v>
      </c>
      <c r="E533" s="3">
        <v>45742</v>
      </c>
      <c r="F533" s="3" t="str">
        <f t="shared" si="156"/>
        <v>Valid</v>
      </c>
      <c r="G533" s="12">
        <f t="shared" si="157"/>
        <v>15</v>
      </c>
      <c r="H533" s="3">
        <f t="shared" si="158"/>
        <v>45742</v>
      </c>
      <c r="I533" t="s">
        <v>649</v>
      </c>
      <c r="J533" t="str">
        <f t="shared" si="159"/>
        <v>Europe → Germany → Berlin</v>
      </c>
      <c r="K533" s="3" t="str">
        <f t="shared" si="160"/>
        <v>Germany-2025-03</v>
      </c>
      <c r="L533" t="s">
        <v>656</v>
      </c>
      <c r="M533" t="s">
        <v>671</v>
      </c>
      <c r="N533" t="s">
        <v>705</v>
      </c>
      <c r="O533" t="s">
        <v>708</v>
      </c>
      <c r="P533" t="s">
        <v>714</v>
      </c>
      <c r="Q533" t="s">
        <v>730</v>
      </c>
      <c r="R533" t="s">
        <v>1264</v>
      </c>
      <c r="S533" s="5">
        <v>116.97</v>
      </c>
      <c r="T533" s="5">
        <v>140.82</v>
      </c>
      <c r="U533" s="5" t="str">
        <f t="shared" si="161"/>
        <v>Valid</v>
      </c>
      <c r="V533" s="5">
        <f t="shared" si="152"/>
        <v>140.82</v>
      </c>
      <c r="W533" s="5" t="str">
        <f t="shared" si="162"/>
        <v>Low</v>
      </c>
      <c r="X533" s="5">
        <v>0.122</v>
      </c>
      <c r="Y533" s="5" t="str">
        <f t="shared" si="163"/>
        <v>Valid</v>
      </c>
      <c r="Z533" s="5">
        <f t="shared" si="164"/>
        <v>0.122</v>
      </c>
      <c r="AA533" s="5">
        <v>5</v>
      </c>
      <c r="AB533">
        <f t="shared" si="165"/>
        <v>618.19979999999987</v>
      </c>
      <c r="AC533">
        <f t="shared" si="153"/>
        <v>584.85</v>
      </c>
      <c r="AD533">
        <f t="shared" si="166"/>
        <v>33.349799999999846</v>
      </c>
      <c r="AE533">
        <f t="shared" si="167"/>
        <v>5.3946636669891926E-2</v>
      </c>
      <c r="AF533">
        <f t="shared" si="168"/>
        <v>0</v>
      </c>
      <c r="AG533">
        <f t="shared" si="169"/>
        <v>0</v>
      </c>
      <c r="AK533">
        <f>AA533*(1+What_if_Analysis!$B$4)</f>
        <v>6</v>
      </c>
      <c r="AL533" s="5">
        <f>MIN(Z533,What_if_Analysis!$B$2)</f>
        <v>0.05</v>
      </c>
      <c r="AM533">
        <f t="shared" si="170"/>
        <v>802.67399999999998</v>
      </c>
      <c r="AN533">
        <f>AM533-(AK533*(T533*(1+What_if_Analysis!$B$3)))</f>
        <v>-126.73800000000006</v>
      </c>
    </row>
    <row r="534" spans="1:40" x14ac:dyDescent="0.3">
      <c r="A534" t="s">
        <v>546</v>
      </c>
      <c r="B534" s="3">
        <v>45769</v>
      </c>
      <c r="C534" s="3" t="str">
        <f t="shared" si="154"/>
        <v>Apr-2025</v>
      </c>
      <c r="D534" s="3" t="str">
        <f t="shared" si="155"/>
        <v>Q2-2025</v>
      </c>
      <c r="E534" s="3">
        <v>45789</v>
      </c>
      <c r="F534" s="3" t="str">
        <f t="shared" si="156"/>
        <v>Valid</v>
      </c>
      <c r="G534" s="12">
        <f t="shared" si="157"/>
        <v>20</v>
      </c>
      <c r="H534" s="3">
        <f t="shared" si="158"/>
        <v>45789</v>
      </c>
      <c r="I534" t="s">
        <v>649</v>
      </c>
      <c r="J534" t="str">
        <f t="shared" si="159"/>
        <v>Europe → France → Lyon</v>
      </c>
      <c r="K534" s="3" t="str">
        <f t="shared" si="160"/>
        <v>France-2025-04</v>
      </c>
      <c r="L534" t="s">
        <v>657</v>
      </c>
      <c r="M534" t="s">
        <v>679</v>
      </c>
      <c r="N534" t="s">
        <v>706</v>
      </c>
      <c r="O534" t="s">
        <v>709</v>
      </c>
      <c r="P534" t="s">
        <v>723</v>
      </c>
      <c r="Q534" t="s">
        <v>732</v>
      </c>
      <c r="R534" t="s">
        <v>1265</v>
      </c>
      <c r="S534" s="5">
        <v>59.51</v>
      </c>
      <c r="T534" s="5">
        <v>67.040000000000006</v>
      </c>
      <c r="U534" s="5" t="str">
        <f t="shared" si="161"/>
        <v>Valid</v>
      </c>
      <c r="V534" s="5">
        <f t="shared" si="152"/>
        <v>67.040000000000006</v>
      </c>
      <c r="W534" s="5" t="str">
        <f t="shared" si="162"/>
        <v>Low</v>
      </c>
      <c r="X534" s="5">
        <v>0.114</v>
      </c>
      <c r="Y534" s="5" t="str">
        <f t="shared" si="163"/>
        <v>Valid</v>
      </c>
      <c r="Z534" s="5">
        <f t="shared" si="164"/>
        <v>0.114</v>
      </c>
      <c r="AA534" s="5">
        <v>9</v>
      </c>
      <c r="AB534">
        <f t="shared" si="165"/>
        <v>534.57695999999999</v>
      </c>
      <c r="AC534">
        <f t="shared" si="153"/>
        <v>535.59</v>
      </c>
      <c r="AD534">
        <f t="shared" si="166"/>
        <v>-1.0130400000000463</v>
      </c>
      <c r="AE534">
        <f t="shared" si="167"/>
        <v>-1.8950311663264469E-3</v>
      </c>
      <c r="AF534">
        <f t="shared" si="168"/>
        <v>0</v>
      </c>
      <c r="AG534">
        <f t="shared" si="169"/>
        <v>0</v>
      </c>
      <c r="AK534">
        <f>AA534*(1+What_if_Analysis!$B$4)</f>
        <v>10.799999999999999</v>
      </c>
      <c r="AL534" s="5">
        <f>MIN(Z534,What_if_Analysis!$B$2)</f>
        <v>0.05</v>
      </c>
      <c r="AM534">
        <f t="shared" si="170"/>
        <v>687.83040000000005</v>
      </c>
      <c r="AN534">
        <f>AM534-(AK534*(T534*(1+What_if_Analysis!$B$3)))</f>
        <v>-108.60480000000007</v>
      </c>
    </row>
    <row r="535" spans="1:40" x14ac:dyDescent="0.3">
      <c r="A535" t="s">
        <v>547</v>
      </c>
      <c r="B535" s="3">
        <v>45155</v>
      </c>
      <c r="C535" s="3" t="str">
        <f t="shared" si="154"/>
        <v>Aug-2023</v>
      </c>
      <c r="D535" s="3" t="str">
        <f t="shared" si="155"/>
        <v>Q3-2023</v>
      </c>
      <c r="E535" s="3">
        <v>45172</v>
      </c>
      <c r="F535" s="3" t="str">
        <f t="shared" si="156"/>
        <v>Valid</v>
      </c>
      <c r="G535" s="12">
        <f t="shared" si="157"/>
        <v>17</v>
      </c>
      <c r="H535" s="3">
        <f t="shared" si="158"/>
        <v>45172</v>
      </c>
      <c r="I535" t="s">
        <v>646</v>
      </c>
      <c r="J535" t="str">
        <f t="shared" si="159"/>
        <v>Africa → South Africa → Durban</v>
      </c>
      <c r="K535" s="3" t="str">
        <f t="shared" si="160"/>
        <v>South Africa-2023-08</v>
      </c>
      <c r="L535" t="s">
        <v>661</v>
      </c>
      <c r="M535" t="s">
        <v>687</v>
      </c>
      <c r="N535" t="s">
        <v>706</v>
      </c>
      <c r="O535" t="s">
        <v>707</v>
      </c>
      <c r="P535" t="s">
        <v>720</v>
      </c>
      <c r="Q535" t="s">
        <v>730</v>
      </c>
      <c r="R535" t="s">
        <v>1266</v>
      </c>
      <c r="S535" s="5">
        <v>676.37</v>
      </c>
      <c r="T535" s="5">
        <v>1276.67</v>
      </c>
      <c r="U535" s="5" t="str">
        <f t="shared" si="161"/>
        <v>Valid</v>
      </c>
      <c r="V535" s="5">
        <f t="shared" si="152"/>
        <v>1276.67</v>
      </c>
      <c r="W535" s="5" t="str">
        <f t="shared" si="162"/>
        <v>Medium</v>
      </c>
      <c r="X535" s="5">
        <v>6.6000000000000003E-2</v>
      </c>
      <c r="Y535" s="5" t="str">
        <f t="shared" si="163"/>
        <v>Valid</v>
      </c>
      <c r="Z535" s="5">
        <f t="shared" si="164"/>
        <v>6.6000000000000003E-2</v>
      </c>
      <c r="AA535" s="5">
        <v>10</v>
      </c>
      <c r="AB535">
        <f t="shared" si="165"/>
        <v>11924.0978</v>
      </c>
      <c r="AC535">
        <f t="shared" si="153"/>
        <v>6763.7</v>
      </c>
      <c r="AD535">
        <f t="shared" si="166"/>
        <v>5160.3977999999997</v>
      </c>
      <c r="AE535">
        <f t="shared" si="167"/>
        <v>0.4327705027712872</v>
      </c>
      <c r="AF535">
        <f t="shared" si="168"/>
        <v>0</v>
      </c>
      <c r="AG535">
        <f t="shared" si="169"/>
        <v>0</v>
      </c>
      <c r="AK535">
        <f>AA535*(1+What_if_Analysis!$B$4)</f>
        <v>12</v>
      </c>
      <c r="AL535" s="5">
        <f>MIN(Z535,What_if_Analysis!$B$2)</f>
        <v>0.05</v>
      </c>
      <c r="AM535">
        <f t="shared" si="170"/>
        <v>14554.038</v>
      </c>
      <c r="AN535">
        <f>AM535-(AK535*(T535*(1+What_if_Analysis!$B$3)))</f>
        <v>-2298.0060000000012</v>
      </c>
    </row>
    <row r="536" spans="1:40" x14ac:dyDescent="0.3">
      <c r="A536" t="s">
        <v>548</v>
      </c>
      <c r="B536" s="3">
        <v>45832</v>
      </c>
      <c r="C536" s="3" t="str">
        <f t="shared" si="154"/>
        <v>Jun-2025</v>
      </c>
      <c r="D536" s="3" t="str">
        <f t="shared" si="155"/>
        <v>Q2-2025</v>
      </c>
      <c r="E536" s="3">
        <v>45852</v>
      </c>
      <c r="F536" s="3" t="str">
        <f t="shared" si="156"/>
        <v>Valid</v>
      </c>
      <c r="G536" s="12">
        <f t="shared" si="157"/>
        <v>20</v>
      </c>
      <c r="H536" s="3">
        <f t="shared" si="158"/>
        <v>45852</v>
      </c>
      <c r="I536" t="s">
        <v>646</v>
      </c>
      <c r="J536" t="str">
        <f t="shared" si="159"/>
        <v>Africa → South Africa → Johannesburg</v>
      </c>
      <c r="K536" s="3" t="str">
        <f t="shared" si="160"/>
        <v>South Africa-2025-06</v>
      </c>
      <c r="L536" t="s">
        <v>661</v>
      </c>
      <c r="M536" t="s">
        <v>682</v>
      </c>
      <c r="N536" t="s">
        <v>706</v>
      </c>
      <c r="O536" t="s">
        <v>709</v>
      </c>
      <c r="P536" t="s">
        <v>713</v>
      </c>
      <c r="Q536" t="s">
        <v>731</v>
      </c>
      <c r="R536" t="s">
        <v>1267</v>
      </c>
      <c r="S536" s="5">
        <v>1151.06</v>
      </c>
      <c r="T536" s="5">
        <v>2821.36</v>
      </c>
      <c r="U536" s="5" t="str">
        <f t="shared" si="161"/>
        <v>Valid</v>
      </c>
      <c r="V536" s="5">
        <f t="shared" si="152"/>
        <v>2821.36</v>
      </c>
      <c r="W536" s="5" t="str">
        <f t="shared" si="162"/>
        <v>High</v>
      </c>
      <c r="X536" s="5">
        <v>0.248</v>
      </c>
      <c r="Y536" s="5" t="str">
        <f t="shared" si="163"/>
        <v>Valid</v>
      </c>
      <c r="Z536" s="5">
        <f t="shared" si="164"/>
        <v>0.248</v>
      </c>
      <c r="AA536" s="5">
        <v>20</v>
      </c>
      <c r="AB536">
        <f t="shared" si="165"/>
        <v>42433.254400000005</v>
      </c>
      <c r="AC536">
        <f t="shared" si="153"/>
        <v>23021.199999999997</v>
      </c>
      <c r="AD536">
        <f t="shared" si="166"/>
        <v>19412.054400000008</v>
      </c>
      <c r="AE536">
        <f t="shared" si="167"/>
        <v>0.45747267501594235</v>
      </c>
      <c r="AF536">
        <f t="shared" si="168"/>
        <v>0</v>
      </c>
      <c r="AG536">
        <f t="shared" si="169"/>
        <v>1</v>
      </c>
      <c r="AK536">
        <f>AA536*(1+What_if_Analysis!$B$4)</f>
        <v>24</v>
      </c>
      <c r="AL536" s="5">
        <f>MIN(Z536,What_if_Analysis!$B$2)</f>
        <v>0.05</v>
      </c>
      <c r="AM536">
        <f t="shared" si="170"/>
        <v>64327.007999999994</v>
      </c>
      <c r="AN536">
        <f>AM536-(AK536*(T536*(1+What_if_Analysis!$B$3)))</f>
        <v>-10156.896000000015</v>
      </c>
    </row>
    <row r="537" spans="1:40" x14ac:dyDescent="0.3">
      <c r="A537" t="s">
        <v>549</v>
      </c>
      <c r="B537" s="3">
        <v>45667</v>
      </c>
      <c r="C537" s="3" t="str">
        <f t="shared" si="154"/>
        <v>Jan-2025</v>
      </c>
      <c r="D537" s="3" t="str">
        <f t="shared" si="155"/>
        <v>Q1-2025</v>
      </c>
      <c r="E537" s="3">
        <v>45694</v>
      </c>
      <c r="F537" s="3" t="str">
        <f t="shared" si="156"/>
        <v>Valid</v>
      </c>
      <c r="G537" s="12">
        <f t="shared" si="157"/>
        <v>27</v>
      </c>
      <c r="H537" s="3">
        <f t="shared" si="158"/>
        <v>45694</v>
      </c>
      <c r="I537" t="s">
        <v>648</v>
      </c>
      <c r="J537" t="str">
        <f t="shared" si="159"/>
        <v>Americas → Brazil → Brasília</v>
      </c>
      <c r="K537" s="3" t="str">
        <f t="shared" si="160"/>
        <v>Brazil-2025-01</v>
      </c>
      <c r="L537" t="s">
        <v>655</v>
      </c>
      <c r="M537" t="s">
        <v>672</v>
      </c>
      <c r="N537" t="s">
        <v>703</v>
      </c>
      <c r="O537" t="s">
        <v>707</v>
      </c>
      <c r="P537" t="s">
        <v>717</v>
      </c>
      <c r="Q537" t="s">
        <v>731</v>
      </c>
      <c r="R537" t="s">
        <v>1268</v>
      </c>
      <c r="S537" s="5">
        <v>725.62</v>
      </c>
      <c r="T537" s="5">
        <v>1559.19</v>
      </c>
      <c r="U537" s="5" t="str">
        <f t="shared" si="161"/>
        <v>Valid</v>
      </c>
      <c r="V537" s="5">
        <f t="shared" si="152"/>
        <v>1559.19</v>
      </c>
      <c r="W537" s="5" t="str">
        <f t="shared" si="162"/>
        <v>Medium</v>
      </c>
      <c r="X537" s="5">
        <v>0.19</v>
      </c>
      <c r="Y537" s="5" t="str">
        <f t="shared" si="163"/>
        <v>Valid</v>
      </c>
      <c r="Z537" s="5">
        <f t="shared" si="164"/>
        <v>0.19</v>
      </c>
      <c r="AA537" s="5">
        <v>12</v>
      </c>
      <c r="AB537">
        <f t="shared" si="165"/>
        <v>15155.326800000001</v>
      </c>
      <c r="AC537">
        <f t="shared" si="153"/>
        <v>8707.44</v>
      </c>
      <c r="AD537">
        <f t="shared" si="166"/>
        <v>6447.8868000000002</v>
      </c>
      <c r="AE537">
        <f t="shared" si="167"/>
        <v>0.42545349797405885</v>
      </c>
      <c r="AF537">
        <f t="shared" si="168"/>
        <v>0</v>
      </c>
      <c r="AG537">
        <f t="shared" si="169"/>
        <v>0</v>
      </c>
      <c r="AK537">
        <f>AA537*(1+What_if_Analysis!$B$4)</f>
        <v>14.399999999999999</v>
      </c>
      <c r="AL537" s="5">
        <f>MIN(Z537,What_if_Analysis!$B$2)</f>
        <v>0.05</v>
      </c>
      <c r="AM537">
        <f t="shared" si="170"/>
        <v>21329.7192</v>
      </c>
      <c r="AN537">
        <f>AM537-(AK537*(T537*(1+What_if_Analysis!$B$3)))</f>
        <v>-3367.8503999999994</v>
      </c>
    </row>
    <row r="538" spans="1:40" x14ac:dyDescent="0.3">
      <c r="A538" t="s">
        <v>550</v>
      </c>
      <c r="B538" s="3">
        <v>45108</v>
      </c>
      <c r="C538" s="3" t="str">
        <f t="shared" si="154"/>
        <v>Jul-2023</v>
      </c>
      <c r="D538" s="3" t="str">
        <f t="shared" si="155"/>
        <v>Q3-2023</v>
      </c>
      <c r="E538" s="3">
        <v>45118</v>
      </c>
      <c r="F538" s="3" t="str">
        <f t="shared" si="156"/>
        <v>Valid</v>
      </c>
      <c r="G538" s="12">
        <f t="shared" si="157"/>
        <v>10</v>
      </c>
      <c r="H538" s="3">
        <f t="shared" si="158"/>
        <v>45118</v>
      </c>
      <c r="I538" t="s">
        <v>649</v>
      </c>
      <c r="J538" t="str">
        <f t="shared" si="159"/>
        <v>Europe → France → Paris</v>
      </c>
      <c r="K538" s="3" t="str">
        <f t="shared" si="160"/>
        <v>France-2023-07</v>
      </c>
      <c r="L538" t="s">
        <v>657</v>
      </c>
      <c r="M538" t="s">
        <v>690</v>
      </c>
      <c r="N538" t="s">
        <v>701</v>
      </c>
      <c r="O538" t="s">
        <v>711</v>
      </c>
      <c r="P538" t="s">
        <v>721</v>
      </c>
      <c r="Q538" t="s">
        <v>729</v>
      </c>
      <c r="R538" t="s">
        <v>1269</v>
      </c>
      <c r="S538" s="5">
        <v>479.5</v>
      </c>
      <c r="T538" s="5">
        <v>656.66</v>
      </c>
      <c r="U538" s="5" t="str">
        <f t="shared" si="161"/>
        <v>Valid</v>
      </c>
      <c r="V538" s="5">
        <f t="shared" si="152"/>
        <v>656.66</v>
      </c>
      <c r="W538" s="5" t="str">
        <f t="shared" si="162"/>
        <v>Medium</v>
      </c>
      <c r="X538" s="5">
        <v>0.14899999999999999</v>
      </c>
      <c r="Y538" s="5" t="str">
        <f t="shared" si="163"/>
        <v>Valid</v>
      </c>
      <c r="Z538" s="5">
        <f t="shared" si="164"/>
        <v>0.14899999999999999</v>
      </c>
      <c r="AA538" s="5">
        <v>14</v>
      </c>
      <c r="AB538">
        <f t="shared" si="165"/>
        <v>7823.4472399999995</v>
      </c>
      <c r="AC538">
        <f t="shared" si="153"/>
        <v>6713</v>
      </c>
      <c r="AD538">
        <f t="shared" si="166"/>
        <v>1110.4472399999995</v>
      </c>
      <c r="AE538">
        <f t="shared" si="167"/>
        <v>0.14193835606412289</v>
      </c>
      <c r="AF538">
        <f t="shared" si="168"/>
        <v>0</v>
      </c>
      <c r="AG538">
        <f t="shared" si="169"/>
        <v>0</v>
      </c>
      <c r="AK538">
        <f>AA538*(1+What_if_Analysis!$B$4)</f>
        <v>16.8</v>
      </c>
      <c r="AL538" s="5">
        <f>MIN(Z538,What_if_Analysis!$B$2)</f>
        <v>0.05</v>
      </c>
      <c r="AM538">
        <f t="shared" si="170"/>
        <v>10480.293600000001</v>
      </c>
      <c r="AN538">
        <f>AM538-(AK538*(T538*(1+What_if_Analysis!$B$3)))</f>
        <v>-1654.7831999999999</v>
      </c>
    </row>
    <row r="539" spans="1:40" x14ac:dyDescent="0.3">
      <c r="A539" t="s">
        <v>551</v>
      </c>
      <c r="B539" s="3">
        <v>45520</v>
      </c>
      <c r="C539" s="3" t="str">
        <f t="shared" si="154"/>
        <v>Aug-2024</v>
      </c>
      <c r="D539" s="3" t="str">
        <f t="shared" si="155"/>
        <v>Q3-2024</v>
      </c>
      <c r="E539" s="3">
        <v>45530</v>
      </c>
      <c r="F539" s="3" t="str">
        <f t="shared" si="156"/>
        <v>Valid</v>
      </c>
      <c r="G539" s="12">
        <f t="shared" si="157"/>
        <v>10</v>
      </c>
      <c r="H539" s="3">
        <f t="shared" si="158"/>
        <v>45530</v>
      </c>
      <c r="I539" t="s">
        <v>648</v>
      </c>
      <c r="J539" t="str">
        <f t="shared" si="159"/>
        <v>Americas → USA → Chicago</v>
      </c>
      <c r="K539" s="3" t="str">
        <f t="shared" si="160"/>
        <v>USA-2024-08</v>
      </c>
      <c r="L539" t="s">
        <v>660</v>
      </c>
      <c r="M539" t="s">
        <v>677</v>
      </c>
      <c r="N539" t="s">
        <v>701</v>
      </c>
      <c r="O539" t="s">
        <v>710</v>
      </c>
      <c r="P539" t="s">
        <v>716</v>
      </c>
      <c r="Q539" t="s">
        <v>731</v>
      </c>
      <c r="R539" t="s">
        <v>1121</v>
      </c>
      <c r="S539" s="5">
        <v>1291.7</v>
      </c>
      <c r="T539" s="5">
        <v>2657.84</v>
      </c>
      <c r="U539" s="5" t="str">
        <f t="shared" si="161"/>
        <v>Valid</v>
      </c>
      <c r="V539" s="5">
        <f t="shared" si="152"/>
        <v>2657.84</v>
      </c>
      <c r="W539" s="5" t="str">
        <f t="shared" si="162"/>
        <v>High</v>
      </c>
      <c r="X539" s="5">
        <v>8.6999999999999994E-2</v>
      </c>
      <c r="Y539" s="5" t="str">
        <f t="shared" si="163"/>
        <v>Valid</v>
      </c>
      <c r="Z539" s="5">
        <f t="shared" si="164"/>
        <v>8.6999999999999994E-2</v>
      </c>
      <c r="AA539" s="5">
        <v>21</v>
      </c>
      <c r="AB539">
        <f t="shared" si="165"/>
        <v>50958.766320000002</v>
      </c>
      <c r="AC539">
        <f t="shared" si="153"/>
        <v>27125.7</v>
      </c>
      <c r="AD539">
        <f t="shared" si="166"/>
        <v>23833.066320000002</v>
      </c>
      <c r="AE539">
        <f t="shared" si="167"/>
        <v>0.46769315745083367</v>
      </c>
      <c r="AF539">
        <f t="shared" si="168"/>
        <v>0</v>
      </c>
      <c r="AG539">
        <f t="shared" si="169"/>
        <v>0</v>
      </c>
      <c r="AK539">
        <f>AA539*(1+What_if_Analysis!$B$4)</f>
        <v>25.2</v>
      </c>
      <c r="AL539" s="5">
        <f>MIN(Z539,What_if_Analysis!$B$2)</f>
        <v>0.05</v>
      </c>
      <c r="AM539">
        <f t="shared" si="170"/>
        <v>63628.689599999998</v>
      </c>
      <c r="AN539">
        <f>AM539-(AK539*(T539*(1+What_if_Analysis!$B$3)))</f>
        <v>-10046.635200000004</v>
      </c>
    </row>
    <row r="540" spans="1:40" x14ac:dyDescent="0.3">
      <c r="A540" t="s">
        <v>552</v>
      </c>
      <c r="B540" s="3">
        <v>45114</v>
      </c>
      <c r="C540" s="3" t="str">
        <f t="shared" si="154"/>
        <v>Jul-2023</v>
      </c>
      <c r="D540" s="3" t="str">
        <f t="shared" si="155"/>
        <v>Q3-2023</v>
      </c>
      <c r="E540" s="3">
        <v>45120</v>
      </c>
      <c r="F540" s="3" t="str">
        <f t="shared" si="156"/>
        <v>Valid</v>
      </c>
      <c r="G540" s="12">
        <f t="shared" si="157"/>
        <v>6</v>
      </c>
      <c r="H540" s="3">
        <f t="shared" si="158"/>
        <v>45120</v>
      </c>
      <c r="I540" t="s">
        <v>646</v>
      </c>
      <c r="J540" t="str">
        <f t="shared" si="159"/>
        <v>Africa → South Africa → Cape Town</v>
      </c>
      <c r="K540" s="3" t="str">
        <f t="shared" si="160"/>
        <v>South Africa-2023-07</v>
      </c>
      <c r="L540" t="s">
        <v>661</v>
      </c>
      <c r="M540" t="s">
        <v>695</v>
      </c>
      <c r="N540" t="s">
        <v>705</v>
      </c>
      <c r="O540" t="s">
        <v>709</v>
      </c>
      <c r="P540" t="s">
        <v>717</v>
      </c>
      <c r="Q540" t="s">
        <v>733</v>
      </c>
      <c r="R540" t="s">
        <v>1270</v>
      </c>
      <c r="S540" s="5">
        <v>612.59</v>
      </c>
      <c r="T540" s="5">
        <v>1424.74</v>
      </c>
      <c r="U540" s="5" t="str">
        <f t="shared" si="161"/>
        <v>Valid</v>
      </c>
      <c r="V540" s="5">
        <f t="shared" si="152"/>
        <v>1424.74</v>
      </c>
      <c r="W540" s="5" t="str">
        <f t="shared" si="162"/>
        <v>Medium</v>
      </c>
      <c r="X540" s="5">
        <v>4.3999999999999997E-2</v>
      </c>
      <c r="Y540" s="5" t="str">
        <f t="shared" si="163"/>
        <v>Valid</v>
      </c>
      <c r="Z540" s="5">
        <f t="shared" si="164"/>
        <v>4.3999999999999997E-2</v>
      </c>
      <c r="AA540" s="5">
        <v>15</v>
      </c>
      <c r="AB540">
        <f t="shared" si="165"/>
        <v>20430.771599999996</v>
      </c>
      <c r="AC540">
        <f t="shared" si="153"/>
        <v>9188.85</v>
      </c>
      <c r="AD540">
        <f t="shared" si="166"/>
        <v>11241.921599999996</v>
      </c>
      <c r="AE540">
        <f t="shared" si="167"/>
        <v>0.55024459281802152</v>
      </c>
      <c r="AF540">
        <f t="shared" si="168"/>
        <v>1</v>
      </c>
      <c r="AG540">
        <f t="shared" si="169"/>
        <v>0</v>
      </c>
      <c r="AK540">
        <f>AA540*(1+What_if_Analysis!$B$4)</f>
        <v>18</v>
      </c>
      <c r="AL540" s="5">
        <f>MIN(Z540,What_if_Analysis!$B$2)</f>
        <v>4.3999999999999997E-2</v>
      </c>
      <c r="AM540">
        <f t="shared" si="170"/>
        <v>24516.925919999998</v>
      </c>
      <c r="AN540">
        <f>AM540-(AK540*(T540*(1+What_if_Analysis!$B$3)))</f>
        <v>-3692.9260800000047</v>
      </c>
    </row>
    <row r="541" spans="1:40" x14ac:dyDescent="0.3">
      <c r="A541" t="s">
        <v>553</v>
      </c>
      <c r="B541" s="3">
        <v>45288</v>
      </c>
      <c r="C541" s="3" t="str">
        <f t="shared" si="154"/>
        <v>Dec-2023</v>
      </c>
      <c r="D541" s="3" t="str">
        <f t="shared" si="155"/>
        <v>Q4-2023</v>
      </c>
      <c r="E541" s="3">
        <v>45292</v>
      </c>
      <c r="F541" s="3" t="str">
        <f t="shared" si="156"/>
        <v>Valid</v>
      </c>
      <c r="G541" s="12">
        <f t="shared" si="157"/>
        <v>4</v>
      </c>
      <c r="H541" s="3">
        <f t="shared" si="158"/>
        <v>45292</v>
      </c>
      <c r="I541" t="s">
        <v>646</v>
      </c>
      <c r="J541" t="str">
        <f t="shared" si="159"/>
        <v>Africa → South Africa → Cape Town</v>
      </c>
      <c r="K541" s="3" t="str">
        <f t="shared" si="160"/>
        <v>South Africa-2023-12</v>
      </c>
      <c r="L541" t="s">
        <v>661</v>
      </c>
      <c r="M541" t="s">
        <v>695</v>
      </c>
      <c r="N541" t="s">
        <v>702</v>
      </c>
      <c r="O541" t="s">
        <v>710</v>
      </c>
      <c r="P541" t="s">
        <v>720</v>
      </c>
      <c r="Q541" t="s">
        <v>728</v>
      </c>
      <c r="R541" t="s">
        <v>1271</v>
      </c>
      <c r="S541" s="5">
        <v>1141.8</v>
      </c>
      <c r="T541" s="5">
        <v>2318.7399999999998</v>
      </c>
      <c r="U541" s="5" t="str">
        <f t="shared" si="161"/>
        <v>Valid</v>
      </c>
      <c r="V541" s="5">
        <f t="shared" si="152"/>
        <v>2318.7399999999998</v>
      </c>
      <c r="W541" s="5" t="str">
        <f t="shared" si="162"/>
        <v>High</v>
      </c>
      <c r="X541" s="5">
        <v>0.107</v>
      </c>
      <c r="Y541" s="5" t="str">
        <f t="shared" si="163"/>
        <v>Valid</v>
      </c>
      <c r="Z541" s="5">
        <f t="shared" si="164"/>
        <v>0.107</v>
      </c>
      <c r="AA541" s="5">
        <v>32</v>
      </c>
      <c r="AB541">
        <f t="shared" si="165"/>
        <v>66260.314239999992</v>
      </c>
      <c r="AC541">
        <f t="shared" si="153"/>
        <v>36537.599999999999</v>
      </c>
      <c r="AD541">
        <f t="shared" si="166"/>
        <v>29722.714239999994</v>
      </c>
      <c r="AE541">
        <f t="shared" si="167"/>
        <v>0.44857490612468304</v>
      </c>
      <c r="AF541">
        <f t="shared" si="168"/>
        <v>1</v>
      </c>
      <c r="AG541">
        <f t="shared" si="169"/>
        <v>0</v>
      </c>
      <c r="AK541">
        <f>AA541*(1+What_if_Analysis!$B$4)</f>
        <v>38.4</v>
      </c>
      <c r="AL541" s="5">
        <f>MIN(Z541,What_if_Analysis!$B$2)</f>
        <v>0.05</v>
      </c>
      <c r="AM541">
        <f t="shared" si="170"/>
        <v>84587.63519999999</v>
      </c>
      <c r="AN541">
        <f>AM541-(AK541*(T541*(1+What_if_Analysis!$B$3)))</f>
        <v>-13355.942400000014</v>
      </c>
    </row>
    <row r="542" spans="1:40" x14ac:dyDescent="0.3">
      <c r="A542" t="s">
        <v>554</v>
      </c>
      <c r="B542" s="3">
        <v>44952</v>
      </c>
      <c r="C542" s="3" t="str">
        <f t="shared" si="154"/>
        <v>Jan-2023</v>
      </c>
      <c r="D542" s="3" t="str">
        <f t="shared" si="155"/>
        <v>Q1-2023</v>
      </c>
      <c r="E542" s="3">
        <v>44972</v>
      </c>
      <c r="F542" s="3" t="str">
        <f t="shared" si="156"/>
        <v>Valid</v>
      </c>
      <c r="G542" s="12">
        <f t="shared" si="157"/>
        <v>20</v>
      </c>
      <c r="H542" s="3">
        <f t="shared" si="158"/>
        <v>44972</v>
      </c>
      <c r="I542" t="s">
        <v>649</v>
      </c>
      <c r="J542" t="str">
        <f t="shared" si="159"/>
        <v>Europe → Germany → Berlin</v>
      </c>
      <c r="K542" s="3" t="str">
        <f t="shared" si="160"/>
        <v>Germany-2023-01</v>
      </c>
      <c r="L542" t="s">
        <v>656</v>
      </c>
      <c r="M542" t="s">
        <v>671</v>
      </c>
      <c r="N542" t="s">
        <v>705</v>
      </c>
      <c r="O542" t="s">
        <v>708</v>
      </c>
      <c r="P542" t="s">
        <v>719</v>
      </c>
      <c r="Q542" t="s">
        <v>729</v>
      </c>
      <c r="R542" t="s">
        <v>1272</v>
      </c>
      <c r="S542" s="5">
        <v>492.62</v>
      </c>
      <c r="T542" s="5">
        <v>366.7</v>
      </c>
      <c r="U542" s="5" t="str">
        <f t="shared" si="161"/>
        <v>Valid</v>
      </c>
      <c r="V542" s="5">
        <f t="shared" si="152"/>
        <v>366.7</v>
      </c>
      <c r="W542" s="5" t="str">
        <f t="shared" si="162"/>
        <v>Low</v>
      </c>
      <c r="X542" s="5">
        <v>8.8999999999999996E-2</v>
      </c>
      <c r="Y542" s="5" t="str">
        <f t="shared" si="163"/>
        <v>Valid</v>
      </c>
      <c r="Z542" s="5">
        <f t="shared" si="164"/>
        <v>8.8999999999999996E-2</v>
      </c>
      <c r="AA542" s="5">
        <v>10</v>
      </c>
      <c r="AB542">
        <f t="shared" si="165"/>
        <v>3340.6370000000002</v>
      </c>
      <c r="AC542">
        <f t="shared" si="153"/>
        <v>4926.2</v>
      </c>
      <c r="AD542">
        <f t="shared" si="166"/>
        <v>-1585.5629999999996</v>
      </c>
      <c r="AE542">
        <f t="shared" si="167"/>
        <v>-0.47462894052840809</v>
      </c>
      <c r="AF542">
        <f t="shared" si="168"/>
        <v>0</v>
      </c>
      <c r="AG542">
        <f t="shared" si="169"/>
        <v>0</v>
      </c>
      <c r="AK542">
        <f>AA542*(1+What_if_Analysis!$B$4)</f>
        <v>12</v>
      </c>
      <c r="AL542" s="5">
        <f>MIN(Z542,What_if_Analysis!$B$2)</f>
        <v>0.05</v>
      </c>
      <c r="AM542">
        <f t="shared" si="170"/>
        <v>4180.3799999999992</v>
      </c>
      <c r="AN542">
        <f>AM542-(AK542*(T542*(1+What_if_Analysis!$B$3)))</f>
        <v>-660.06000000000131</v>
      </c>
    </row>
    <row r="543" spans="1:40" x14ac:dyDescent="0.3">
      <c r="A543" t="s">
        <v>555</v>
      </c>
      <c r="B543" s="3">
        <v>45115</v>
      </c>
      <c r="C543" s="3" t="str">
        <f t="shared" si="154"/>
        <v>Jul-2023</v>
      </c>
      <c r="D543" s="3" t="str">
        <f t="shared" si="155"/>
        <v>Q3-2023</v>
      </c>
      <c r="E543" s="3">
        <v>45116</v>
      </c>
      <c r="F543" s="3" t="str">
        <f t="shared" si="156"/>
        <v>Valid</v>
      </c>
      <c r="G543" s="12">
        <f t="shared" si="157"/>
        <v>1</v>
      </c>
      <c r="H543" s="3">
        <f t="shared" si="158"/>
        <v>45116</v>
      </c>
      <c r="I543" t="s">
        <v>646</v>
      </c>
      <c r="J543" t="str">
        <f t="shared" si="159"/>
        <v>Africa → Kenya → Nairobi</v>
      </c>
      <c r="K543" s="3" t="str">
        <f t="shared" si="160"/>
        <v>Kenya-2023-07</v>
      </c>
      <c r="L543" t="s">
        <v>650</v>
      </c>
      <c r="M543" t="s">
        <v>664</v>
      </c>
      <c r="N543" t="s">
        <v>704</v>
      </c>
      <c r="O543" t="s">
        <v>708</v>
      </c>
      <c r="P543" t="s">
        <v>726</v>
      </c>
      <c r="Q543" t="s">
        <v>731</v>
      </c>
      <c r="R543" t="s">
        <v>1273</v>
      </c>
      <c r="S543" s="5">
        <v>1258.72</v>
      </c>
      <c r="T543" s="5">
        <v>2797.41</v>
      </c>
      <c r="U543" s="5" t="str">
        <f t="shared" si="161"/>
        <v>Valid</v>
      </c>
      <c r="V543" s="5">
        <f t="shared" si="152"/>
        <v>2797.41</v>
      </c>
      <c r="W543" s="5" t="str">
        <f t="shared" si="162"/>
        <v>High</v>
      </c>
      <c r="X543" s="5">
        <v>0</v>
      </c>
      <c r="Y543" s="5" t="str">
        <f t="shared" si="163"/>
        <v>Valid</v>
      </c>
      <c r="Z543" s="5">
        <f t="shared" si="164"/>
        <v>0</v>
      </c>
      <c r="AA543" s="5">
        <v>7</v>
      </c>
      <c r="AB543">
        <f t="shared" si="165"/>
        <v>19581.87</v>
      </c>
      <c r="AC543">
        <f t="shared" si="153"/>
        <v>8811.0400000000009</v>
      </c>
      <c r="AD543">
        <f t="shared" si="166"/>
        <v>10770.829999999998</v>
      </c>
      <c r="AE543">
        <f t="shared" si="167"/>
        <v>0.55004093071805704</v>
      </c>
      <c r="AF543">
        <f t="shared" si="168"/>
        <v>1</v>
      </c>
      <c r="AG543">
        <f t="shared" si="169"/>
        <v>0</v>
      </c>
      <c r="AK543">
        <f>AA543*(1+What_if_Analysis!$B$4)</f>
        <v>8.4</v>
      </c>
      <c r="AL543" s="5">
        <f>MIN(Z543,What_if_Analysis!$B$2)</f>
        <v>0</v>
      </c>
      <c r="AM543">
        <f t="shared" si="170"/>
        <v>23498.243999999999</v>
      </c>
      <c r="AN543">
        <f>AM543-(AK543*(T543*(1+What_if_Analysis!$B$3)))</f>
        <v>-2349.824400000005</v>
      </c>
    </row>
    <row r="544" spans="1:40" x14ac:dyDescent="0.3">
      <c r="A544" t="s">
        <v>556</v>
      </c>
      <c r="B544" s="3">
        <v>45450</v>
      </c>
      <c r="C544" s="3" t="str">
        <f t="shared" si="154"/>
        <v>Jun-2024</v>
      </c>
      <c r="D544" s="3" t="str">
        <f t="shared" si="155"/>
        <v>Q2-2024</v>
      </c>
      <c r="E544" s="3">
        <v>45452</v>
      </c>
      <c r="F544" s="3" t="str">
        <f t="shared" si="156"/>
        <v>Valid</v>
      </c>
      <c r="G544" s="12">
        <f t="shared" si="157"/>
        <v>2</v>
      </c>
      <c r="H544" s="3">
        <f t="shared" si="158"/>
        <v>45452</v>
      </c>
      <c r="I544" t="s">
        <v>647</v>
      </c>
      <c r="J544" t="str">
        <f t="shared" si="159"/>
        <v>Asia → China → Shanghai</v>
      </c>
      <c r="K544" s="3" t="str">
        <f t="shared" si="160"/>
        <v>China-2024-06</v>
      </c>
      <c r="L544" t="s">
        <v>659</v>
      </c>
      <c r="M544" t="s">
        <v>685</v>
      </c>
      <c r="N544" t="s">
        <v>701</v>
      </c>
      <c r="O544" t="s">
        <v>707</v>
      </c>
      <c r="P544" t="s">
        <v>719</v>
      </c>
      <c r="Q544" t="s">
        <v>732</v>
      </c>
      <c r="R544" t="s">
        <v>1274</v>
      </c>
      <c r="S544" s="5">
        <v>1370.28</v>
      </c>
      <c r="T544" s="5">
        <v>2209.66</v>
      </c>
      <c r="U544" s="5" t="str">
        <f t="shared" si="161"/>
        <v>Valid</v>
      </c>
      <c r="V544" s="5">
        <f t="shared" si="152"/>
        <v>2209.66</v>
      </c>
      <c r="W544" s="5" t="str">
        <f t="shared" si="162"/>
        <v>High</v>
      </c>
      <c r="X544" s="5">
        <v>0.13300000000000001</v>
      </c>
      <c r="Y544" s="5" t="str">
        <f t="shared" si="163"/>
        <v>Valid</v>
      </c>
      <c r="Z544" s="5">
        <f t="shared" si="164"/>
        <v>0.13300000000000001</v>
      </c>
      <c r="AA544" s="5">
        <v>16</v>
      </c>
      <c r="AB544">
        <f t="shared" si="165"/>
        <v>30652.403519999996</v>
      </c>
      <c r="AC544">
        <f t="shared" si="153"/>
        <v>21924.48</v>
      </c>
      <c r="AD544">
        <f t="shared" si="166"/>
        <v>8727.9235199999966</v>
      </c>
      <c r="AE544">
        <f t="shared" si="167"/>
        <v>0.28473863442079589</v>
      </c>
      <c r="AF544">
        <f t="shared" si="168"/>
        <v>1</v>
      </c>
      <c r="AG544">
        <f t="shared" si="169"/>
        <v>0</v>
      </c>
      <c r="AK544">
        <f>AA544*(1+What_if_Analysis!$B$4)</f>
        <v>19.2</v>
      </c>
      <c r="AL544" s="5">
        <f>MIN(Z544,What_if_Analysis!$B$2)</f>
        <v>0.05</v>
      </c>
      <c r="AM544">
        <f t="shared" si="170"/>
        <v>40304.198399999994</v>
      </c>
      <c r="AN544">
        <f>AM544-(AK544*(T544*(1+What_if_Analysis!$B$3)))</f>
        <v>-6363.8208000000086</v>
      </c>
    </row>
    <row r="545" spans="1:40" x14ac:dyDescent="0.3">
      <c r="A545" t="s">
        <v>557</v>
      </c>
      <c r="B545" s="3">
        <v>44968</v>
      </c>
      <c r="C545" s="3" t="str">
        <f t="shared" si="154"/>
        <v>Feb-2023</v>
      </c>
      <c r="D545" s="3" t="str">
        <f t="shared" si="155"/>
        <v>Q1-2023</v>
      </c>
      <c r="E545" s="3">
        <v>44969</v>
      </c>
      <c r="F545" s="3" t="str">
        <f t="shared" si="156"/>
        <v>Valid</v>
      </c>
      <c r="G545" s="12">
        <f t="shared" si="157"/>
        <v>1</v>
      </c>
      <c r="H545" s="3">
        <f t="shared" si="158"/>
        <v>44969</v>
      </c>
      <c r="I545" t="s">
        <v>646</v>
      </c>
      <c r="J545" t="str">
        <f t="shared" si="159"/>
        <v>Africa → Nigeria → Port Harcourt</v>
      </c>
      <c r="K545" s="3" t="str">
        <f t="shared" si="160"/>
        <v>Nigeria-2023-02</v>
      </c>
      <c r="L545" t="s">
        <v>651</v>
      </c>
      <c r="M545" t="s">
        <v>663</v>
      </c>
      <c r="N545" t="s">
        <v>703</v>
      </c>
      <c r="O545" t="s">
        <v>711</v>
      </c>
      <c r="P545" t="s">
        <v>726</v>
      </c>
      <c r="Q545" t="s">
        <v>733</v>
      </c>
      <c r="R545" t="s">
        <v>1275</v>
      </c>
      <c r="S545" s="5">
        <v>944.61</v>
      </c>
      <c r="T545" s="5">
        <v>839.04</v>
      </c>
      <c r="U545" s="5" t="str">
        <f t="shared" si="161"/>
        <v>Valid</v>
      </c>
      <c r="V545" s="5">
        <f t="shared" si="152"/>
        <v>839.04</v>
      </c>
      <c r="W545" s="5" t="str">
        <f t="shared" si="162"/>
        <v>Medium</v>
      </c>
      <c r="X545" s="5">
        <v>5.8999999999999997E-2</v>
      </c>
      <c r="Y545" s="5" t="str">
        <f t="shared" si="163"/>
        <v>Valid</v>
      </c>
      <c r="Z545" s="5">
        <f t="shared" si="164"/>
        <v>5.8999999999999997E-2</v>
      </c>
      <c r="AA545" s="5">
        <v>6</v>
      </c>
      <c r="AB545">
        <f t="shared" si="165"/>
        <v>4737.2198399999997</v>
      </c>
      <c r="AC545">
        <f t="shared" si="153"/>
        <v>5667.66</v>
      </c>
      <c r="AD545">
        <f t="shared" si="166"/>
        <v>-930.44016000000011</v>
      </c>
      <c r="AE545">
        <f t="shared" si="167"/>
        <v>-0.19641059343363726</v>
      </c>
      <c r="AF545">
        <f t="shared" si="168"/>
        <v>1</v>
      </c>
      <c r="AG545">
        <f t="shared" si="169"/>
        <v>0</v>
      </c>
      <c r="AK545">
        <f>AA545*(1+What_if_Analysis!$B$4)</f>
        <v>7.1999999999999993</v>
      </c>
      <c r="AL545" s="5">
        <f>MIN(Z545,What_if_Analysis!$B$2)</f>
        <v>0.05</v>
      </c>
      <c r="AM545">
        <f t="shared" si="170"/>
        <v>5739.0335999999988</v>
      </c>
      <c r="AN545">
        <f>AM545-(AK545*(T545*(1+What_if_Analysis!$B$3)))</f>
        <v>-906.16320000000087</v>
      </c>
    </row>
    <row r="546" spans="1:40" x14ac:dyDescent="0.3">
      <c r="A546" t="s">
        <v>558</v>
      </c>
      <c r="B546" s="3">
        <v>45108</v>
      </c>
      <c r="C546" s="3" t="str">
        <f t="shared" si="154"/>
        <v>Jul-2023</v>
      </c>
      <c r="D546" s="3" t="str">
        <f t="shared" si="155"/>
        <v>Q3-2023</v>
      </c>
      <c r="E546" s="3">
        <v>45115</v>
      </c>
      <c r="F546" s="3" t="str">
        <f t="shared" si="156"/>
        <v>Valid</v>
      </c>
      <c r="G546" s="12">
        <f t="shared" si="157"/>
        <v>7</v>
      </c>
      <c r="H546" s="3">
        <f t="shared" si="158"/>
        <v>45115</v>
      </c>
      <c r="I546" t="s">
        <v>649</v>
      </c>
      <c r="J546" t="str">
        <f t="shared" si="159"/>
        <v>Europe → Germany → Frankfurt</v>
      </c>
      <c r="K546" s="3" t="str">
        <f t="shared" si="160"/>
        <v>Germany-2023-07</v>
      </c>
      <c r="L546" t="s">
        <v>656</v>
      </c>
      <c r="M546" t="s">
        <v>698</v>
      </c>
      <c r="N546" t="s">
        <v>705</v>
      </c>
      <c r="O546" t="s">
        <v>710</v>
      </c>
      <c r="P546" t="s">
        <v>725</v>
      </c>
      <c r="Q546" t="s">
        <v>731</v>
      </c>
      <c r="R546" t="s">
        <v>1276</v>
      </c>
      <c r="S546" s="5">
        <v>460.21</v>
      </c>
      <c r="T546" s="5">
        <v>1139.1500000000001</v>
      </c>
      <c r="U546" s="5" t="str">
        <f t="shared" si="161"/>
        <v>Valid</v>
      </c>
      <c r="V546" s="5">
        <f t="shared" si="152"/>
        <v>1139.1500000000001</v>
      </c>
      <c r="W546" s="5" t="str">
        <f t="shared" si="162"/>
        <v>Medium</v>
      </c>
      <c r="X546" s="5">
        <v>0.115</v>
      </c>
      <c r="Y546" s="5" t="str">
        <f t="shared" si="163"/>
        <v>Valid</v>
      </c>
      <c r="Z546" s="5">
        <f t="shared" si="164"/>
        <v>0.115</v>
      </c>
      <c r="AA546" s="5">
        <v>14</v>
      </c>
      <c r="AB546">
        <f t="shared" si="165"/>
        <v>14114.068500000001</v>
      </c>
      <c r="AC546">
        <f t="shared" si="153"/>
        <v>6442.94</v>
      </c>
      <c r="AD546">
        <f t="shared" si="166"/>
        <v>7671.1285000000016</v>
      </c>
      <c r="AE546">
        <f t="shared" si="167"/>
        <v>0.54350937151821255</v>
      </c>
      <c r="AF546">
        <f t="shared" si="168"/>
        <v>1</v>
      </c>
      <c r="AG546">
        <f t="shared" si="169"/>
        <v>0</v>
      </c>
      <c r="AK546">
        <f>AA546*(1+What_if_Analysis!$B$4)</f>
        <v>16.8</v>
      </c>
      <c r="AL546" s="5">
        <f>MIN(Z546,What_if_Analysis!$B$2)</f>
        <v>0.05</v>
      </c>
      <c r="AM546">
        <f t="shared" si="170"/>
        <v>18180.833999999999</v>
      </c>
      <c r="AN546">
        <f>AM546-(AK546*(T546*(1+What_if_Analysis!$B$3)))</f>
        <v>-2870.6580000000067</v>
      </c>
    </row>
    <row r="547" spans="1:40" x14ac:dyDescent="0.3">
      <c r="A547" t="s">
        <v>559</v>
      </c>
      <c r="B547" s="3">
        <v>45889</v>
      </c>
      <c r="C547" s="3" t="str">
        <f t="shared" si="154"/>
        <v>Aug-2025</v>
      </c>
      <c r="D547" s="3" t="str">
        <f t="shared" si="155"/>
        <v>Q3-2025</v>
      </c>
      <c r="E547" s="3">
        <v>45895</v>
      </c>
      <c r="F547" s="3" t="str">
        <f t="shared" si="156"/>
        <v>Valid</v>
      </c>
      <c r="G547" s="12">
        <f t="shared" si="157"/>
        <v>6</v>
      </c>
      <c r="H547" s="3">
        <f t="shared" si="158"/>
        <v>45895</v>
      </c>
      <c r="I547" t="s">
        <v>648</v>
      </c>
      <c r="J547" t="str">
        <f t="shared" si="159"/>
        <v>Americas → USA → New York</v>
      </c>
      <c r="K547" s="3" t="str">
        <f t="shared" si="160"/>
        <v>USA-2025-08</v>
      </c>
      <c r="L547" t="s">
        <v>660</v>
      </c>
      <c r="M547" t="s">
        <v>700</v>
      </c>
      <c r="N547" t="s">
        <v>701</v>
      </c>
      <c r="O547" t="s">
        <v>707</v>
      </c>
      <c r="P547" t="s">
        <v>724</v>
      </c>
      <c r="Q547" t="s">
        <v>729</v>
      </c>
      <c r="R547" t="s">
        <v>1277</v>
      </c>
      <c r="S547" s="5">
        <v>1304.95</v>
      </c>
      <c r="T547" s="5">
        <v>1712.03</v>
      </c>
      <c r="U547" s="5" t="str">
        <f t="shared" si="161"/>
        <v>Valid</v>
      </c>
      <c r="V547" s="5">
        <f t="shared" si="152"/>
        <v>1712.03</v>
      </c>
      <c r="W547" s="5" t="str">
        <f t="shared" si="162"/>
        <v>Medium</v>
      </c>
      <c r="X547" s="5">
        <v>0.21199999999999999</v>
      </c>
      <c r="Y547" s="5" t="str">
        <f t="shared" si="163"/>
        <v>Valid</v>
      </c>
      <c r="Z547" s="5">
        <f t="shared" si="164"/>
        <v>0.21199999999999999</v>
      </c>
      <c r="AA547" s="5">
        <v>8</v>
      </c>
      <c r="AB547">
        <f t="shared" si="165"/>
        <v>10792.637119999999</v>
      </c>
      <c r="AC547">
        <f t="shared" si="153"/>
        <v>10439.6</v>
      </c>
      <c r="AD547">
        <f t="shared" si="166"/>
        <v>353.03711999999905</v>
      </c>
      <c r="AE547">
        <f t="shared" si="167"/>
        <v>3.2710922833287949E-2</v>
      </c>
      <c r="AF547">
        <f t="shared" si="168"/>
        <v>1</v>
      </c>
      <c r="AG547">
        <f t="shared" si="169"/>
        <v>1</v>
      </c>
      <c r="AK547">
        <f>AA547*(1+What_if_Analysis!$B$4)</f>
        <v>9.6</v>
      </c>
      <c r="AL547" s="5">
        <f>MIN(Z547,What_if_Analysis!$B$2)</f>
        <v>0.05</v>
      </c>
      <c r="AM547">
        <f t="shared" si="170"/>
        <v>15613.713599999997</v>
      </c>
      <c r="AN547">
        <f>AM547-(AK547*(T547*(1+What_if_Analysis!$B$3)))</f>
        <v>-2465.3232000000044</v>
      </c>
    </row>
    <row r="548" spans="1:40" x14ac:dyDescent="0.3">
      <c r="A548" t="s">
        <v>560</v>
      </c>
      <c r="B548" s="3">
        <v>45355</v>
      </c>
      <c r="C548" s="3" t="str">
        <f t="shared" si="154"/>
        <v>Mar-2024</v>
      </c>
      <c r="D548" s="3" t="str">
        <f t="shared" si="155"/>
        <v>Q1-2024</v>
      </c>
      <c r="E548" s="3">
        <v>45367</v>
      </c>
      <c r="F548" s="3" t="str">
        <f t="shared" si="156"/>
        <v>Valid</v>
      </c>
      <c r="G548" s="12">
        <f t="shared" si="157"/>
        <v>12</v>
      </c>
      <c r="H548" s="3">
        <f t="shared" si="158"/>
        <v>45367</v>
      </c>
      <c r="I548" t="s">
        <v>646</v>
      </c>
      <c r="J548" t="str">
        <f t="shared" si="159"/>
        <v>Africa → South Africa → Johannesburg</v>
      </c>
      <c r="K548" s="3" t="str">
        <f t="shared" si="160"/>
        <v>South Africa-2024-03</v>
      </c>
      <c r="L548" t="s">
        <v>661</v>
      </c>
      <c r="M548" t="s">
        <v>682</v>
      </c>
      <c r="N548" t="s">
        <v>706</v>
      </c>
      <c r="O548" t="s">
        <v>710</v>
      </c>
      <c r="P548" t="s">
        <v>724</v>
      </c>
      <c r="Q548" t="s">
        <v>732</v>
      </c>
      <c r="R548" t="s">
        <v>1278</v>
      </c>
      <c r="S548" s="5">
        <v>441.08</v>
      </c>
      <c r="T548" s="5">
        <v>1054.29</v>
      </c>
      <c r="U548" s="5" t="str">
        <f t="shared" si="161"/>
        <v>Valid</v>
      </c>
      <c r="V548" s="5">
        <f t="shared" si="152"/>
        <v>1054.29</v>
      </c>
      <c r="W548" s="5" t="str">
        <f t="shared" si="162"/>
        <v>Medium</v>
      </c>
      <c r="X548" s="5">
        <v>0.23699999999999999</v>
      </c>
      <c r="Y548" s="5" t="str">
        <f t="shared" si="163"/>
        <v>Valid</v>
      </c>
      <c r="Z548" s="5">
        <f t="shared" si="164"/>
        <v>0.23699999999999999</v>
      </c>
      <c r="AA548" s="5">
        <v>6</v>
      </c>
      <c r="AB548">
        <f t="shared" si="165"/>
        <v>4826.5396199999996</v>
      </c>
      <c r="AC548">
        <f t="shared" si="153"/>
        <v>2646.48</v>
      </c>
      <c r="AD548">
        <f t="shared" si="166"/>
        <v>2180.0596199999995</v>
      </c>
      <c r="AE548">
        <f t="shared" si="167"/>
        <v>0.45168169985932899</v>
      </c>
      <c r="AF548">
        <f t="shared" si="168"/>
        <v>0</v>
      </c>
      <c r="AG548">
        <f t="shared" si="169"/>
        <v>1</v>
      </c>
      <c r="AK548">
        <f>AA548*(1+What_if_Analysis!$B$4)</f>
        <v>7.1999999999999993</v>
      </c>
      <c r="AL548" s="5">
        <f>MIN(Z548,What_if_Analysis!$B$2)</f>
        <v>0.05</v>
      </c>
      <c r="AM548">
        <f t="shared" si="170"/>
        <v>7211.3435999999983</v>
      </c>
      <c r="AN548">
        <f>AM548-(AK548*(T548*(1+What_if_Analysis!$B$3)))</f>
        <v>-1138.633200000002</v>
      </c>
    </row>
    <row r="549" spans="1:40" x14ac:dyDescent="0.3">
      <c r="A549" t="s">
        <v>561</v>
      </c>
      <c r="B549" s="3">
        <v>45177</v>
      </c>
      <c r="C549" s="3" t="str">
        <f t="shared" si="154"/>
        <v>Sept-2023</v>
      </c>
      <c r="D549" s="3" t="str">
        <f t="shared" si="155"/>
        <v>Q3-2023</v>
      </c>
      <c r="E549" s="3">
        <v>45201</v>
      </c>
      <c r="F549" s="3" t="str">
        <f t="shared" si="156"/>
        <v>Valid</v>
      </c>
      <c r="G549" s="12">
        <f t="shared" si="157"/>
        <v>24</v>
      </c>
      <c r="H549" s="3">
        <f t="shared" si="158"/>
        <v>45201</v>
      </c>
      <c r="I549" t="s">
        <v>648</v>
      </c>
      <c r="J549" t="str">
        <f t="shared" si="159"/>
        <v>Americas → Canada → Toronto</v>
      </c>
      <c r="K549" s="3" t="str">
        <f t="shared" si="160"/>
        <v>Canada-2023-09</v>
      </c>
      <c r="L549" t="s">
        <v>653</v>
      </c>
      <c r="M549" t="s">
        <v>667</v>
      </c>
      <c r="N549" t="s">
        <v>702</v>
      </c>
      <c r="O549" t="s">
        <v>711</v>
      </c>
      <c r="P549" t="s">
        <v>720</v>
      </c>
      <c r="Q549" t="s">
        <v>733</v>
      </c>
      <c r="R549" t="s">
        <v>1279</v>
      </c>
      <c r="S549" s="5">
        <v>1299.03</v>
      </c>
      <c r="T549" s="5">
        <v>2451.2199999999998</v>
      </c>
      <c r="U549" s="5" t="str">
        <f t="shared" si="161"/>
        <v>Valid</v>
      </c>
      <c r="V549" s="5">
        <f t="shared" si="152"/>
        <v>2451.2199999999998</v>
      </c>
      <c r="W549" s="5" t="str">
        <f t="shared" si="162"/>
        <v>High</v>
      </c>
      <c r="X549" s="5">
        <v>0.20799999999999999</v>
      </c>
      <c r="Y549" s="5" t="str">
        <f t="shared" si="163"/>
        <v>Valid</v>
      </c>
      <c r="Z549" s="5">
        <f t="shared" si="164"/>
        <v>0.20799999999999999</v>
      </c>
      <c r="AA549" s="5">
        <v>8</v>
      </c>
      <c r="AB549">
        <f t="shared" si="165"/>
        <v>15530.929919999999</v>
      </c>
      <c r="AC549">
        <f t="shared" si="153"/>
        <v>10392.24</v>
      </c>
      <c r="AD549">
        <f t="shared" si="166"/>
        <v>5138.6899199999989</v>
      </c>
      <c r="AE549">
        <f t="shared" si="167"/>
        <v>0.3308681416032041</v>
      </c>
      <c r="AF549">
        <f t="shared" si="168"/>
        <v>0</v>
      </c>
      <c r="AG549">
        <f t="shared" si="169"/>
        <v>1</v>
      </c>
      <c r="AK549">
        <f>AA549*(1+What_if_Analysis!$B$4)</f>
        <v>9.6</v>
      </c>
      <c r="AL549" s="5">
        <f>MIN(Z549,What_if_Analysis!$B$2)</f>
        <v>0.05</v>
      </c>
      <c r="AM549">
        <f t="shared" si="170"/>
        <v>22355.126399999994</v>
      </c>
      <c r="AN549">
        <f>AM549-(AK549*(T549*(1+What_if_Analysis!$B$3)))</f>
        <v>-3529.7568000000065</v>
      </c>
    </row>
    <row r="550" spans="1:40" x14ac:dyDescent="0.3">
      <c r="A550" t="s">
        <v>562</v>
      </c>
      <c r="B550" s="3">
        <v>44985</v>
      </c>
      <c r="C550" s="3" t="str">
        <f t="shared" si="154"/>
        <v>Feb-2023</v>
      </c>
      <c r="D550" s="3" t="str">
        <f t="shared" si="155"/>
        <v>Q1-2023</v>
      </c>
      <c r="E550" s="3">
        <v>44991</v>
      </c>
      <c r="F550" s="3" t="str">
        <f t="shared" si="156"/>
        <v>Valid</v>
      </c>
      <c r="G550" s="12">
        <f t="shared" si="157"/>
        <v>6</v>
      </c>
      <c r="H550" s="3">
        <f t="shared" si="158"/>
        <v>44991</v>
      </c>
      <c r="I550" t="s">
        <v>649</v>
      </c>
      <c r="J550" t="str">
        <f t="shared" si="159"/>
        <v>Europe → Germany → Frankfurt</v>
      </c>
      <c r="K550" s="3" t="str">
        <f t="shared" si="160"/>
        <v>Germany-2023-02</v>
      </c>
      <c r="L550" t="s">
        <v>656</v>
      </c>
      <c r="M550" t="s">
        <v>698</v>
      </c>
      <c r="N550" t="s">
        <v>705</v>
      </c>
      <c r="O550" t="s">
        <v>709</v>
      </c>
      <c r="P550" t="s">
        <v>726</v>
      </c>
      <c r="Q550" t="s">
        <v>728</v>
      </c>
      <c r="R550" t="s">
        <v>1280</v>
      </c>
      <c r="S550" s="5">
        <v>880.02</v>
      </c>
      <c r="T550" s="5">
        <v>1251.21</v>
      </c>
      <c r="U550" s="5" t="str">
        <f t="shared" si="161"/>
        <v>Valid</v>
      </c>
      <c r="V550" s="5">
        <f t="shared" si="152"/>
        <v>1251.21</v>
      </c>
      <c r="W550" s="5" t="str">
        <f t="shared" si="162"/>
        <v>Medium</v>
      </c>
      <c r="X550" s="5">
        <v>0.123</v>
      </c>
      <c r="Y550" s="5" t="str">
        <f t="shared" si="163"/>
        <v>Valid</v>
      </c>
      <c r="Z550" s="5">
        <f t="shared" si="164"/>
        <v>0.123</v>
      </c>
      <c r="AA550" s="5">
        <v>29</v>
      </c>
      <c r="AB550">
        <f t="shared" si="165"/>
        <v>31822.023930000003</v>
      </c>
      <c r="AC550">
        <f t="shared" si="153"/>
        <v>25520.579999999998</v>
      </c>
      <c r="AD550">
        <f t="shared" si="166"/>
        <v>6301.4439300000049</v>
      </c>
      <c r="AE550">
        <f t="shared" si="167"/>
        <v>0.19802146915172672</v>
      </c>
      <c r="AF550">
        <f t="shared" si="168"/>
        <v>1</v>
      </c>
      <c r="AG550">
        <f t="shared" si="169"/>
        <v>0</v>
      </c>
      <c r="AK550">
        <f>AA550*(1+What_if_Analysis!$B$4)</f>
        <v>34.799999999999997</v>
      </c>
      <c r="AL550" s="5">
        <f>MIN(Z550,What_if_Analysis!$B$2)</f>
        <v>0.05</v>
      </c>
      <c r="AM550">
        <f t="shared" si="170"/>
        <v>41365.0026</v>
      </c>
      <c r="AN550">
        <f>AM550-(AK550*(T550*(1+What_if_Analysis!$B$3)))</f>
        <v>-6531.3162000000011</v>
      </c>
    </row>
    <row r="551" spans="1:40" x14ac:dyDescent="0.3">
      <c r="A551" t="s">
        <v>563</v>
      </c>
      <c r="B551" s="3">
        <v>45486</v>
      </c>
      <c r="C551" s="3" t="str">
        <f t="shared" si="154"/>
        <v>Jul-2024</v>
      </c>
      <c r="D551" s="3" t="str">
        <f t="shared" si="155"/>
        <v>Q3-2024</v>
      </c>
      <c r="E551" s="3">
        <v>45507</v>
      </c>
      <c r="F551" s="3" t="str">
        <f t="shared" si="156"/>
        <v>Valid</v>
      </c>
      <c r="G551" s="12">
        <f t="shared" si="157"/>
        <v>21</v>
      </c>
      <c r="H551" s="3">
        <f t="shared" si="158"/>
        <v>45507</v>
      </c>
      <c r="I551" t="s">
        <v>648</v>
      </c>
      <c r="J551" t="str">
        <f t="shared" si="159"/>
        <v>Americas → Brazil → Rio de Janeiro</v>
      </c>
      <c r="K551" s="3" t="str">
        <f t="shared" si="160"/>
        <v>Brazil-2024-07</v>
      </c>
      <c r="L551" t="s">
        <v>655</v>
      </c>
      <c r="M551" t="s">
        <v>692</v>
      </c>
      <c r="N551" t="s">
        <v>701</v>
      </c>
      <c r="O551" t="s">
        <v>709</v>
      </c>
      <c r="P551" t="s">
        <v>724</v>
      </c>
      <c r="Q551" t="s">
        <v>732</v>
      </c>
      <c r="R551" t="s">
        <v>1281</v>
      </c>
      <c r="S551" s="5">
        <v>702.98</v>
      </c>
      <c r="T551" s="5">
        <v>1104.8</v>
      </c>
      <c r="U551" s="5" t="str">
        <f t="shared" si="161"/>
        <v>Valid</v>
      </c>
      <c r="V551" s="5">
        <f t="shared" si="152"/>
        <v>1104.8</v>
      </c>
      <c r="W551" s="5" t="str">
        <f t="shared" si="162"/>
        <v>Medium</v>
      </c>
      <c r="X551" s="5">
        <v>0.17499999999999999</v>
      </c>
      <c r="Y551" s="5" t="str">
        <f t="shared" si="163"/>
        <v>Valid</v>
      </c>
      <c r="Z551" s="5">
        <f t="shared" si="164"/>
        <v>0.17499999999999999</v>
      </c>
      <c r="AA551" s="5">
        <v>12</v>
      </c>
      <c r="AB551">
        <f t="shared" si="165"/>
        <v>10937.519999999999</v>
      </c>
      <c r="AC551">
        <f t="shared" si="153"/>
        <v>8435.76</v>
      </c>
      <c r="AD551">
        <f t="shared" si="166"/>
        <v>2501.7599999999984</v>
      </c>
      <c r="AE551">
        <f t="shared" si="167"/>
        <v>0.22873192460448061</v>
      </c>
      <c r="AF551">
        <f t="shared" si="168"/>
        <v>0</v>
      </c>
      <c r="AG551">
        <f t="shared" si="169"/>
        <v>0</v>
      </c>
      <c r="AK551">
        <f>AA551*(1+What_if_Analysis!$B$4)</f>
        <v>14.399999999999999</v>
      </c>
      <c r="AL551" s="5">
        <f>MIN(Z551,What_if_Analysis!$B$2)</f>
        <v>0.05</v>
      </c>
      <c r="AM551">
        <f t="shared" si="170"/>
        <v>15113.663999999997</v>
      </c>
      <c r="AN551">
        <f>AM551-(AK551*(T551*(1+What_if_Analysis!$B$3)))</f>
        <v>-2386.3680000000022</v>
      </c>
    </row>
    <row r="552" spans="1:40" x14ac:dyDescent="0.3">
      <c r="A552" t="s">
        <v>564</v>
      </c>
      <c r="B552" s="3">
        <v>45633</v>
      </c>
      <c r="C552" s="3" t="str">
        <f t="shared" si="154"/>
        <v>Dec-2024</v>
      </c>
      <c r="D552" s="3" t="str">
        <f t="shared" si="155"/>
        <v>Q4-2024</v>
      </c>
      <c r="E552" s="3">
        <v>45652</v>
      </c>
      <c r="F552" s="3" t="str">
        <f t="shared" si="156"/>
        <v>Valid</v>
      </c>
      <c r="G552" s="12">
        <f t="shared" si="157"/>
        <v>19</v>
      </c>
      <c r="H552" s="3">
        <f t="shared" si="158"/>
        <v>45652</v>
      </c>
      <c r="I552" t="s">
        <v>649</v>
      </c>
      <c r="J552" t="str">
        <f t="shared" si="159"/>
        <v>Europe → United Kingdom → London</v>
      </c>
      <c r="K552" s="3" t="str">
        <f t="shared" si="160"/>
        <v>United Kingdom-2024-12</v>
      </c>
      <c r="L552" t="s">
        <v>658</v>
      </c>
      <c r="M552" t="s">
        <v>683</v>
      </c>
      <c r="N552" t="s">
        <v>706</v>
      </c>
      <c r="O552" t="s">
        <v>708</v>
      </c>
      <c r="P552" t="s">
        <v>726</v>
      </c>
      <c r="Q552" t="s">
        <v>729</v>
      </c>
      <c r="R552" t="s">
        <v>1282</v>
      </c>
      <c r="S552" s="5">
        <v>1035.24</v>
      </c>
      <c r="T552" s="5">
        <v>2383.41</v>
      </c>
      <c r="U552" s="5" t="str">
        <f t="shared" si="161"/>
        <v>Valid</v>
      </c>
      <c r="V552" s="5">
        <f t="shared" si="152"/>
        <v>2383.41</v>
      </c>
      <c r="W552" s="5" t="str">
        <f t="shared" si="162"/>
        <v>High</v>
      </c>
      <c r="X552" s="5">
        <v>0.17</v>
      </c>
      <c r="Y552" s="5" t="str">
        <f t="shared" si="163"/>
        <v>Valid</v>
      </c>
      <c r="Z552" s="5">
        <f t="shared" si="164"/>
        <v>0.17</v>
      </c>
      <c r="AA552" s="5">
        <v>15</v>
      </c>
      <c r="AB552">
        <f t="shared" si="165"/>
        <v>29673.454499999993</v>
      </c>
      <c r="AC552">
        <f t="shared" si="153"/>
        <v>15528.6</v>
      </c>
      <c r="AD552">
        <f t="shared" si="166"/>
        <v>14144.854499999992</v>
      </c>
      <c r="AE552">
        <f t="shared" si="167"/>
        <v>0.47668378145860962</v>
      </c>
      <c r="AF552">
        <f t="shared" si="168"/>
        <v>0</v>
      </c>
      <c r="AG552">
        <f t="shared" si="169"/>
        <v>0</v>
      </c>
      <c r="AK552">
        <f>AA552*(1+What_if_Analysis!$B$4)</f>
        <v>18</v>
      </c>
      <c r="AL552" s="5">
        <f>MIN(Z552,What_if_Analysis!$B$2)</f>
        <v>0.05</v>
      </c>
      <c r="AM552">
        <f t="shared" si="170"/>
        <v>40756.310999999994</v>
      </c>
      <c r="AN552">
        <f>AM552-(AK552*(T552*(1+What_if_Analysis!$B$3)))</f>
        <v>-6435.2070000000094</v>
      </c>
    </row>
    <row r="553" spans="1:40" x14ac:dyDescent="0.3">
      <c r="A553" t="s">
        <v>565</v>
      </c>
      <c r="B553" s="3">
        <v>45875</v>
      </c>
      <c r="C553" s="3" t="str">
        <f t="shared" si="154"/>
        <v>Aug-2025</v>
      </c>
      <c r="D553" s="3" t="str">
        <f t="shared" si="155"/>
        <v>Q3-2025</v>
      </c>
      <c r="E553" s="3">
        <v>45892</v>
      </c>
      <c r="F553" s="3" t="str">
        <f t="shared" si="156"/>
        <v>Valid</v>
      </c>
      <c r="G553" s="12">
        <f t="shared" si="157"/>
        <v>17</v>
      </c>
      <c r="H553" s="3">
        <f t="shared" si="158"/>
        <v>45892</v>
      </c>
      <c r="I553" t="s">
        <v>648</v>
      </c>
      <c r="J553" t="str">
        <f t="shared" si="159"/>
        <v>Americas → Brazil → Brasília</v>
      </c>
      <c r="K553" s="3" t="str">
        <f t="shared" si="160"/>
        <v>Brazil-2025-08</v>
      </c>
      <c r="L553" t="s">
        <v>655</v>
      </c>
      <c r="M553" t="s">
        <v>672</v>
      </c>
      <c r="N553" t="s">
        <v>704</v>
      </c>
      <c r="O553" t="s">
        <v>710</v>
      </c>
      <c r="P553" t="s">
        <v>720</v>
      </c>
      <c r="Q553" t="s">
        <v>732</v>
      </c>
      <c r="R553" t="s">
        <v>1283</v>
      </c>
      <c r="S553" s="5">
        <v>86.64</v>
      </c>
      <c r="T553" s="5">
        <v>213.06</v>
      </c>
      <c r="U553" s="5" t="str">
        <f t="shared" si="161"/>
        <v>Valid</v>
      </c>
      <c r="V553" s="5">
        <f t="shared" si="152"/>
        <v>213.06</v>
      </c>
      <c r="W553" s="5" t="str">
        <f t="shared" si="162"/>
        <v>Low</v>
      </c>
      <c r="X553" s="5">
        <v>0.21199999999999999</v>
      </c>
      <c r="Y553" s="5" t="str">
        <f t="shared" si="163"/>
        <v>Valid</v>
      </c>
      <c r="Z553" s="5">
        <f t="shared" si="164"/>
        <v>0.21199999999999999</v>
      </c>
      <c r="AA553" s="5">
        <v>11</v>
      </c>
      <c r="AB553">
        <f t="shared" si="165"/>
        <v>1846.8040799999999</v>
      </c>
      <c r="AC553">
        <f t="shared" si="153"/>
        <v>953.04</v>
      </c>
      <c r="AD553">
        <f t="shared" si="166"/>
        <v>893.76407999999992</v>
      </c>
      <c r="AE553">
        <f t="shared" si="167"/>
        <v>0.48395175735154322</v>
      </c>
      <c r="AF553">
        <f t="shared" si="168"/>
        <v>0</v>
      </c>
      <c r="AG553">
        <f t="shared" si="169"/>
        <v>1</v>
      </c>
      <c r="AK553">
        <f>AA553*(1+What_if_Analysis!$B$4)</f>
        <v>13.2</v>
      </c>
      <c r="AL553" s="5">
        <f>MIN(Z553,What_if_Analysis!$B$2)</f>
        <v>0.05</v>
      </c>
      <c r="AM553">
        <f t="shared" si="170"/>
        <v>2671.7723999999998</v>
      </c>
      <c r="AN553">
        <f>AM553-(AK553*(T553*(1+What_if_Analysis!$B$3)))</f>
        <v>-421.85879999999997</v>
      </c>
    </row>
    <row r="554" spans="1:40" x14ac:dyDescent="0.3">
      <c r="A554" t="s">
        <v>566</v>
      </c>
      <c r="B554" s="3">
        <v>44988</v>
      </c>
      <c r="C554" s="3" t="str">
        <f t="shared" si="154"/>
        <v>Mar-2023</v>
      </c>
      <c r="D554" s="3" t="str">
        <f t="shared" si="155"/>
        <v>Q1-2023</v>
      </c>
      <c r="E554" s="3">
        <v>45005</v>
      </c>
      <c r="F554" s="3" t="str">
        <f t="shared" si="156"/>
        <v>Valid</v>
      </c>
      <c r="G554" s="12">
        <f t="shared" si="157"/>
        <v>17</v>
      </c>
      <c r="H554" s="3">
        <f t="shared" si="158"/>
        <v>45005</v>
      </c>
      <c r="I554" t="s">
        <v>647</v>
      </c>
      <c r="J554" t="str">
        <f t="shared" si="159"/>
        <v>Asia → Japan → Nagoya</v>
      </c>
      <c r="K554" s="3" t="str">
        <f t="shared" si="160"/>
        <v>Japan-2023-03</v>
      </c>
      <c r="L554" t="s">
        <v>652</v>
      </c>
      <c r="M554" t="s">
        <v>694</v>
      </c>
      <c r="N554" t="s">
        <v>705</v>
      </c>
      <c r="O554" t="s">
        <v>708</v>
      </c>
      <c r="P554" t="s">
        <v>726</v>
      </c>
      <c r="Q554" t="s">
        <v>729</v>
      </c>
      <c r="R554" t="s">
        <v>1284</v>
      </c>
      <c r="S554" s="5">
        <v>1171.17</v>
      </c>
      <c r="T554" s="5">
        <v>2030.64</v>
      </c>
      <c r="U554" s="5" t="str">
        <f t="shared" si="161"/>
        <v>Valid</v>
      </c>
      <c r="V554" s="5">
        <f t="shared" si="152"/>
        <v>2030.64</v>
      </c>
      <c r="W554" s="5" t="str">
        <f t="shared" si="162"/>
        <v>High</v>
      </c>
      <c r="X554" s="5">
        <v>0.157</v>
      </c>
      <c r="Y554" s="5" t="str">
        <f t="shared" si="163"/>
        <v>Valid</v>
      </c>
      <c r="Z554" s="5">
        <f t="shared" si="164"/>
        <v>0.157</v>
      </c>
      <c r="AA554" s="5">
        <v>11</v>
      </c>
      <c r="AB554">
        <f t="shared" si="165"/>
        <v>18830.12472</v>
      </c>
      <c r="AC554">
        <f t="shared" si="153"/>
        <v>12882.87</v>
      </c>
      <c r="AD554">
        <f t="shared" si="166"/>
        <v>5947.254719999999</v>
      </c>
      <c r="AE554">
        <f t="shared" si="167"/>
        <v>0.31583724528830415</v>
      </c>
      <c r="AF554">
        <f t="shared" si="168"/>
        <v>0</v>
      </c>
      <c r="AG554">
        <f t="shared" si="169"/>
        <v>0</v>
      </c>
      <c r="AK554">
        <f>AA554*(1+What_if_Analysis!$B$4)</f>
        <v>13.2</v>
      </c>
      <c r="AL554" s="5">
        <f>MIN(Z554,What_if_Analysis!$B$2)</f>
        <v>0.05</v>
      </c>
      <c r="AM554">
        <f t="shared" si="170"/>
        <v>25464.225599999998</v>
      </c>
      <c r="AN554">
        <f>AM554-(AK554*(T554*(1+What_if_Analysis!$B$3)))</f>
        <v>-4020.6672000000035</v>
      </c>
    </row>
    <row r="555" spans="1:40" x14ac:dyDescent="0.3">
      <c r="A555" t="s">
        <v>567</v>
      </c>
      <c r="B555" s="3">
        <v>45704</v>
      </c>
      <c r="C555" s="3" t="str">
        <f t="shared" si="154"/>
        <v>Feb-2025</v>
      </c>
      <c r="D555" s="3" t="str">
        <f t="shared" si="155"/>
        <v>Q1-2025</v>
      </c>
      <c r="E555" s="3">
        <v>45733</v>
      </c>
      <c r="F555" s="3" t="str">
        <f t="shared" si="156"/>
        <v>Valid</v>
      </c>
      <c r="G555" s="12">
        <f t="shared" si="157"/>
        <v>29</v>
      </c>
      <c r="H555" s="3">
        <f t="shared" si="158"/>
        <v>45733</v>
      </c>
      <c r="I555" t="s">
        <v>649</v>
      </c>
      <c r="J555" t="str">
        <f t="shared" si="159"/>
        <v>Europe → Germany → Munich</v>
      </c>
      <c r="K555" s="3" t="str">
        <f t="shared" si="160"/>
        <v>Germany-2025-02</v>
      </c>
      <c r="L555" t="s">
        <v>656</v>
      </c>
      <c r="M555" t="s">
        <v>684</v>
      </c>
      <c r="N555" t="s">
        <v>704</v>
      </c>
      <c r="O555" t="s">
        <v>707</v>
      </c>
      <c r="P555" t="s">
        <v>716</v>
      </c>
      <c r="Q555" t="s">
        <v>733</v>
      </c>
      <c r="R555" t="s">
        <v>1285</v>
      </c>
      <c r="S555" s="5">
        <v>730.42</v>
      </c>
      <c r="T555" s="5">
        <v>956.7</v>
      </c>
      <c r="U555" s="5" t="str">
        <f t="shared" si="161"/>
        <v>Valid</v>
      </c>
      <c r="V555" s="5">
        <f t="shared" si="152"/>
        <v>956.7</v>
      </c>
      <c r="W555" s="5" t="str">
        <f t="shared" si="162"/>
        <v>Medium</v>
      </c>
      <c r="X555" s="5">
        <v>4.2000000000000003E-2</v>
      </c>
      <c r="Y555" s="5" t="str">
        <f t="shared" si="163"/>
        <v>Valid</v>
      </c>
      <c r="Z555" s="5">
        <f t="shared" si="164"/>
        <v>4.2000000000000003E-2</v>
      </c>
      <c r="AA555" s="5">
        <v>22</v>
      </c>
      <c r="AB555">
        <f t="shared" si="165"/>
        <v>20163.409200000002</v>
      </c>
      <c r="AC555">
        <f t="shared" si="153"/>
        <v>16069.24</v>
      </c>
      <c r="AD555">
        <f t="shared" si="166"/>
        <v>4094.1692000000021</v>
      </c>
      <c r="AE555">
        <f t="shared" si="167"/>
        <v>0.20304945256975698</v>
      </c>
      <c r="AF555">
        <f t="shared" si="168"/>
        <v>0</v>
      </c>
      <c r="AG555">
        <f t="shared" si="169"/>
        <v>0</v>
      </c>
      <c r="AK555">
        <f>AA555*(1+What_if_Analysis!$B$4)</f>
        <v>26.4</v>
      </c>
      <c r="AL555" s="5">
        <f>MIN(Z555,What_if_Analysis!$B$2)</f>
        <v>4.2000000000000003E-2</v>
      </c>
      <c r="AM555">
        <f t="shared" si="170"/>
        <v>24196.091039999999</v>
      </c>
      <c r="AN555">
        <f>AM555-(AK555*(T555*(1+What_if_Analysis!$B$3)))</f>
        <v>-3586.4769600000036</v>
      </c>
    </row>
    <row r="556" spans="1:40" x14ac:dyDescent="0.3">
      <c r="A556" t="s">
        <v>568</v>
      </c>
      <c r="B556" s="3">
        <v>45703</v>
      </c>
      <c r="C556" s="3" t="str">
        <f t="shared" si="154"/>
        <v>Feb-2025</v>
      </c>
      <c r="D556" s="3" t="str">
        <f t="shared" si="155"/>
        <v>Q1-2025</v>
      </c>
      <c r="E556" s="3">
        <v>45717</v>
      </c>
      <c r="F556" s="3" t="str">
        <f t="shared" si="156"/>
        <v>Valid</v>
      </c>
      <c r="G556" s="12">
        <f t="shared" si="157"/>
        <v>14</v>
      </c>
      <c r="H556" s="3">
        <f t="shared" si="158"/>
        <v>45717</v>
      </c>
      <c r="I556" t="s">
        <v>646</v>
      </c>
      <c r="J556" t="str">
        <f t="shared" si="159"/>
        <v>Africa → Kenya → Mombasa</v>
      </c>
      <c r="K556" s="3" t="str">
        <f t="shared" si="160"/>
        <v>Kenya-2025-02</v>
      </c>
      <c r="L556" t="s">
        <v>650</v>
      </c>
      <c r="M556" t="s">
        <v>675</v>
      </c>
      <c r="N556" t="s">
        <v>702</v>
      </c>
      <c r="O556" t="s">
        <v>711</v>
      </c>
      <c r="P556" t="s">
        <v>716</v>
      </c>
      <c r="Q556" t="s">
        <v>733</v>
      </c>
      <c r="R556" t="s">
        <v>1286</v>
      </c>
      <c r="S556" s="5">
        <v>1162.8599999999999</v>
      </c>
      <c r="T556" s="5">
        <v>1447.68</v>
      </c>
      <c r="U556" s="5" t="str">
        <f t="shared" si="161"/>
        <v>Valid</v>
      </c>
      <c r="V556" s="5">
        <f t="shared" si="152"/>
        <v>1447.68</v>
      </c>
      <c r="W556" s="5" t="str">
        <f t="shared" si="162"/>
        <v>Medium</v>
      </c>
      <c r="X556" s="5">
        <v>8.6999999999999994E-2</v>
      </c>
      <c r="Y556" s="5" t="str">
        <f t="shared" si="163"/>
        <v>Valid</v>
      </c>
      <c r="Z556" s="5">
        <f t="shared" si="164"/>
        <v>8.6999999999999994E-2</v>
      </c>
      <c r="AA556" s="5">
        <v>12</v>
      </c>
      <c r="AB556">
        <f t="shared" si="165"/>
        <v>15860.782080000001</v>
      </c>
      <c r="AC556">
        <f t="shared" si="153"/>
        <v>13954.32</v>
      </c>
      <c r="AD556">
        <f t="shared" si="166"/>
        <v>1906.4620800000012</v>
      </c>
      <c r="AE556">
        <f t="shared" si="167"/>
        <v>0.12019975247021369</v>
      </c>
      <c r="AF556">
        <f t="shared" si="168"/>
        <v>0</v>
      </c>
      <c r="AG556">
        <f t="shared" si="169"/>
        <v>0</v>
      </c>
      <c r="AK556">
        <f>AA556*(1+What_if_Analysis!$B$4)</f>
        <v>14.399999999999999</v>
      </c>
      <c r="AL556" s="5">
        <f>MIN(Z556,What_if_Analysis!$B$2)</f>
        <v>0.05</v>
      </c>
      <c r="AM556">
        <f t="shared" si="170"/>
        <v>19804.2624</v>
      </c>
      <c r="AN556">
        <f>AM556-(AK556*(T556*(1+What_if_Analysis!$B$3)))</f>
        <v>-3126.9887999999992</v>
      </c>
    </row>
    <row r="557" spans="1:40" x14ac:dyDescent="0.3">
      <c r="A557" t="s">
        <v>569</v>
      </c>
      <c r="B557" s="3">
        <v>45535</v>
      </c>
      <c r="C557" s="3" t="str">
        <f t="shared" si="154"/>
        <v>Aug-2024</v>
      </c>
      <c r="D557" s="3" t="str">
        <f t="shared" si="155"/>
        <v>Q3-2024</v>
      </c>
      <c r="E557" s="3">
        <v>45561</v>
      </c>
      <c r="F557" s="3" t="str">
        <f t="shared" si="156"/>
        <v>Valid</v>
      </c>
      <c r="G557" s="12">
        <f t="shared" si="157"/>
        <v>26</v>
      </c>
      <c r="H557" s="3">
        <f t="shared" si="158"/>
        <v>45561</v>
      </c>
      <c r="I557" t="s">
        <v>647</v>
      </c>
      <c r="J557" t="str">
        <f t="shared" si="159"/>
        <v>Asia → Japan → Tokyo</v>
      </c>
      <c r="K557" s="3" t="str">
        <f t="shared" si="160"/>
        <v>Japan-2024-08</v>
      </c>
      <c r="L557" t="s">
        <v>652</v>
      </c>
      <c r="M557" t="s">
        <v>689</v>
      </c>
      <c r="N557" t="s">
        <v>702</v>
      </c>
      <c r="O557" t="s">
        <v>708</v>
      </c>
      <c r="P557" t="s">
        <v>714</v>
      </c>
      <c r="Q557" t="s">
        <v>730</v>
      </c>
      <c r="R557" t="s">
        <v>1287</v>
      </c>
      <c r="S557" s="5">
        <v>1189.03</v>
      </c>
      <c r="T557" s="5">
        <v>2949.62</v>
      </c>
      <c r="U557" s="5" t="str">
        <f t="shared" si="161"/>
        <v>Valid</v>
      </c>
      <c r="V557" s="5">
        <f t="shared" si="152"/>
        <v>2949.62</v>
      </c>
      <c r="W557" s="5" t="str">
        <f t="shared" si="162"/>
        <v>High</v>
      </c>
      <c r="X557" s="5">
        <v>0.125</v>
      </c>
      <c r="Y557" s="5" t="str">
        <f t="shared" si="163"/>
        <v>Valid</v>
      </c>
      <c r="Z557" s="5">
        <f t="shared" si="164"/>
        <v>0.125</v>
      </c>
      <c r="AA557" s="5">
        <v>13</v>
      </c>
      <c r="AB557">
        <f t="shared" si="165"/>
        <v>33551.927499999998</v>
      </c>
      <c r="AC557">
        <f t="shared" si="153"/>
        <v>15457.39</v>
      </c>
      <c r="AD557">
        <f t="shared" si="166"/>
        <v>18094.537499999999</v>
      </c>
      <c r="AE557">
        <f t="shared" si="167"/>
        <v>0.53929949330034765</v>
      </c>
      <c r="AF557">
        <f t="shared" si="168"/>
        <v>0</v>
      </c>
      <c r="AG557">
        <f t="shared" si="169"/>
        <v>0</v>
      </c>
      <c r="AK557">
        <f>AA557*(1+What_if_Analysis!$B$4)</f>
        <v>15.6</v>
      </c>
      <c r="AL557" s="5">
        <f>MIN(Z557,What_if_Analysis!$B$2)</f>
        <v>0.05</v>
      </c>
      <c r="AM557">
        <f t="shared" si="170"/>
        <v>43713.368399999999</v>
      </c>
      <c r="AN557">
        <f>AM557-(AK557*(T557*(1+What_if_Analysis!$B$3)))</f>
        <v>-6902.1108000000022</v>
      </c>
    </row>
    <row r="558" spans="1:40" x14ac:dyDescent="0.3">
      <c r="A558" t="s">
        <v>570</v>
      </c>
      <c r="B558" s="3">
        <v>45053</v>
      </c>
      <c r="C558" s="3" t="str">
        <f t="shared" si="154"/>
        <v>May-2023</v>
      </c>
      <c r="D558" s="3" t="str">
        <f t="shared" si="155"/>
        <v>Q2-2023</v>
      </c>
      <c r="E558" s="3">
        <v>45066</v>
      </c>
      <c r="F558" s="3" t="str">
        <f t="shared" si="156"/>
        <v>Valid</v>
      </c>
      <c r="G558" s="12">
        <f t="shared" si="157"/>
        <v>13</v>
      </c>
      <c r="H558" s="3">
        <f t="shared" si="158"/>
        <v>45066</v>
      </c>
      <c r="I558" t="s">
        <v>647</v>
      </c>
      <c r="J558" t="str">
        <f t="shared" si="159"/>
        <v>Asia → India → Mumbai</v>
      </c>
      <c r="K558" s="3" t="str">
        <f t="shared" si="160"/>
        <v>India-2023-05</v>
      </c>
      <c r="L558" t="s">
        <v>654</v>
      </c>
      <c r="M558" t="s">
        <v>691</v>
      </c>
      <c r="N558" t="s">
        <v>706</v>
      </c>
      <c r="O558" t="s">
        <v>707</v>
      </c>
      <c r="P558" t="s">
        <v>726</v>
      </c>
      <c r="Q558" t="s">
        <v>733</v>
      </c>
      <c r="R558" t="s">
        <v>1288</v>
      </c>
      <c r="S558" s="5">
        <v>1443.28</v>
      </c>
      <c r="T558" s="5">
        <v>2580.5700000000002</v>
      </c>
      <c r="U558" s="5" t="str">
        <f t="shared" si="161"/>
        <v>Valid</v>
      </c>
      <c r="V558" s="5">
        <f t="shared" si="152"/>
        <v>2580.5700000000002</v>
      </c>
      <c r="W558" s="5" t="str">
        <f t="shared" si="162"/>
        <v>High</v>
      </c>
      <c r="X558" s="5">
        <v>0</v>
      </c>
      <c r="Y558" s="5" t="str">
        <f t="shared" si="163"/>
        <v>Valid</v>
      </c>
      <c r="Z558" s="5">
        <f t="shared" si="164"/>
        <v>0</v>
      </c>
      <c r="AA558" s="5">
        <v>18</v>
      </c>
      <c r="AB558">
        <f t="shared" si="165"/>
        <v>46450.26</v>
      </c>
      <c r="AC558">
        <f t="shared" si="153"/>
        <v>25979.040000000001</v>
      </c>
      <c r="AD558">
        <f t="shared" si="166"/>
        <v>20471.22</v>
      </c>
      <c r="AE558">
        <f t="shared" si="167"/>
        <v>0.4407127107577008</v>
      </c>
      <c r="AF558">
        <f t="shared" si="168"/>
        <v>0</v>
      </c>
      <c r="AG558">
        <f t="shared" si="169"/>
        <v>0</v>
      </c>
      <c r="AK558">
        <f>AA558*(1+What_if_Analysis!$B$4)</f>
        <v>21.599999999999998</v>
      </c>
      <c r="AL558" s="5">
        <f>MIN(Z558,What_if_Analysis!$B$2)</f>
        <v>0</v>
      </c>
      <c r="AM558">
        <f t="shared" si="170"/>
        <v>55740.311999999998</v>
      </c>
      <c r="AN558">
        <f>AM558-(AK558*(T558*(1+What_if_Analysis!$B$3)))</f>
        <v>-5574.0312000000049</v>
      </c>
    </row>
    <row r="559" spans="1:40" x14ac:dyDescent="0.3">
      <c r="A559" t="s">
        <v>571</v>
      </c>
      <c r="B559" s="3">
        <v>45791</v>
      </c>
      <c r="C559" s="3" t="str">
        <f t="shared" si="154"/>
        <v>May-2025</v>
      </c>
      <c r="D559" s="3" t="str">
        <f t="shared" si="155"/>
        <v>Q2-2025</v>
      </c>
      <c r="E559" s="3">
        <v>45789</v>
      </c>
      <c r="F559" s="3" t="str">
        <f t="shared" si="156"/>
        <v>Invalid RequiredDate</v>
      </c>
      <c r="G559" s="12">
        <f t="shared" si="157"/>
        <v>-2</v>
      </c>
      <c r="H559" s="3">
        <f t="shared" si="158"/>
        <v>45817</v>
      </c>
      <c r="I559" t="s">
        <v>648</v>
      </c>
      <c r="J559" t="str">
        <f t="shared" si="159"/>
        <v>Americas → Canada → Vancouver</v>
      </c>
      <c r="K559" s="3" t="str">
        <f t="shared" si="160"/>
        <v>Canada-2025-05</v>
      </c>
      <c r="L559" t="s">
        <v>653</v>
      </c>
      <c r="M559" t="s">
        <v>688</v>
      </c>
      <c r="N559" t="s">
        <v>703</v>
      </c>
      <c r="O559" t="s">
        <v>710</v>
      </c>
      <c r="P559" t="s">
        <v>721</v>
      </c>
      <c r="Q559" t="s">
        <v>728</v>
      </c>
      <c r="R559" t="s">
        <v>1289</v>
      </c>
      <c r="S559" s="5">
        <v>883.5</v>
      </c>
      <c r="T559" s="5">
        <v>1978.91</v>
      </c>
      <c r="U559" s="5" t="str">
        <f t="shared" si="161"/>
        <v>Valid</v>
      </c>
      <c r="V559" s="5">
        <f t="shared" si="152"/>
        <v>1978.91</v>
      </c>
      <c r="W559" s="5" t="str">
        <f t="shared" si="162"/>
        <v>High</v>
      </c>
      <c r="X559" s="5">
        <v>5.3999999999999999E-2</v>
      </c>
      <c r="Y559" s="5" t="str">
        <f t="shared" si="163"/>
        <v>Valid</v>
      </c>
      <c r="Z559" s="5">
        <f t="shared" si="164"/>
        <v>5.3999999999999999E-2</v>
      </c>
      <c r="AA559" s="5">
        <v>27</v>
      </c>
      <c r="AB559">
        <f t="shared" si="165"/>
        <v>50545.319219999998</v>
      </c>
      <c r="AC559">
        <f t="shared" si="153"/>
        <v>23854.5</v>
      </c>
      <c r="AD559">
        <f t="shared" si="166"/>
        <v>26690.819219999998</v>
      </c>
      <c r="AE559">
        <f t="shared" si="167"/>
        <v>0.52805718970390547</v>
      </c>
      <c r="AF559">
        <f t="shared" si="168"/>
        <v>1</v>
      </c>
      <c r="AG559">
        <f t="shared" si="169"/>
        <v>0</v>
      </c>
      <c r="AK559">
        <f>AA559*(1+What_if_Analysis!$B$4)</f>
        <v>32.4</v>
      </c>
      <c r="AL559" s="5">
        <f>MIN(Z559,What_if_Analysis!$B$2)</f>
        <v>0.05</v>
      </c>
      <c r="AM559">
        <f t="shared" si="170"/>
        <v>60910.849799999996</v>
      </c>
      <c r="AN559">
        <f>AM559-(AK559*(T559*(1+What_if_Analysis!$B$3)))</f>
        <v>-9617.5026000000071</v>
      </c>
    </row>
    <row r="560" spans="1:40" x14ac:dyDescent="0.3">
      <c r="A560" t="s">
        <v>572</v>
      </c>
      <c r="B560" s="3">
        <v>45362</v>
      </c>
      <c r="C560" s="3" t="str">
        <f t="shared" si="154"/>
        <v>Mar-2024</v>
      </c>
      <c r="D560" s="3" t="str">
        <f t="shared" si="155"/>
        <v>Q1-2024</v>
      </c>
      <c r="E560" s="3">
        <v>45380</v>
      </c>
      <c r="F560" s="3" t="str">
        <f t="shared" si="156"/>
        <v>Valid</v>
      </c>
      <c r="G560" s="12">
        <f t="shared" si="157"/>
        <v>18</v>
      </c>
      <c r="H560" s="3">
        <f t="shared" si="158"/>
        <v>45380</v>
      </c>
      <c r="I560" t="s">
        <v>648</v>
      </c>
      <c r="J560" t="str">
        <f t="shared" si="159"/>
        <v>Americas → USA → New York</v>
      </c>
      <c r="K560" s="3" t="str">
        <f t="shared" si="160"/>
        <v>USA-2024-03</v>
      </c>
      <c r="L560" t="s">
        <v>660</v>
      </c>
      <c r="M560" t="s">
        <v>700</v>
      </c>
      <c r="N560" t="s">
        <v>701</v>
      </c>
      <c r="O560" t="s">
        <v>707</v>
      </c>
      <c r="P560" t="s">
        <v>724</v>
      </c>
      <c r="Q560" t="s">
        <v>732</v>
      </c>
      <c r="R560" t="s">
        <v>1290</v>
      </c>
      <c r="S560" s="5">
        <v>710.98</v>
      </c>
      <c r="T560" s="5">
        <v>1481.45</v>
      </c>
      <c r="U560" s="5" t="str">
        <f t="shared" si="161"/>
        <v>Valid</v>
      </c>
      <c r="V560" s="5">
        <f t="shared" si="152"/>
        <v>1481.45</v>
      </c>
      <c r="W560" s="5" t="str">
        <f t="shared" si="162"/>
        <v>Medium</v>
      </c>
      <c r="X560" s="5">
        <v>0.21099999999999999</v>
      </c>
      <c r="Y560" s="5" t="str">
        <f t="shared" si="163"/>
        <v>Valid</v>
      </c>
      <c r="Z560" s="5">
        <f t="shared" si="164"/>
        <v>0.21099999999999999</v>
      </c>
      <c r="AA560" s="5">
        <v>9</v>
      </c>
      <c r="AB560">
        <f t="shared" si="165"/>
        <v>10519.776450000001</v>
      </c>
      <c r="AC560">
        <f t="shared" si="153"/>
        <v>6398.82</v>
      </c>
      <c r="AD560">
        <f t="shared" si="166"/>
        <v>4120.9564500000015</v>
      </c>
      <c r="AE560">
        <f t="shared" si="167"/>
        <v>0.39173422264120461</v>
      </c>
      <c r="AF560">
        <f t="shared" si="168"/>
        <v>0</v>
      </c>
      <c r="AG560">
        <f t="shared" si="169"/>
        <v>1</v>
      </c>
      <c r="AK560">
        <f>AA560*(1+What_if_Analysis!$B$4)</f>
        <v>10.799999999999999</v>
      </c>
      <c r="AL560" s="5">
        <f>MIN(Z560,What_if_Analysis!$B$2)</f>
        <v>0.05</v>
      </c>
      <c r="AM560">
        <f t="shared" si="170"/>
        <v>15199.676999999998</v>
      </c>
      <c r="AN560">
        <f>AM560-(AK560*(T560*(1+What_if_Analysis!$B$3)))</f>
        <v>-2399.9490000000023</v>
      </c>
    </row>
    <row r="561" spans="1:40" x14ac:dyDescent="0.3">
      <c r="A561" t="s">
        <v>573</v>
      </c>
      <c r="B561" s="3">
        <v>45430</v>
      </c>
      <c r="C561" s="3" t="str">
        <f t="shared" si="154"/>
        <v>May-2024</v>
      </c>
      <c r="D561" s="3" t="str">
        <f t="shared" si="155"/>
        <v>Q2-2024</v>
      </c>
      <c r="E561" s="3">
        <v>45434</v>
      </c>
      <c r="F561" s="3" t="str">
        <f t="shared" si="156"/>
        <v>Valid</v>
      </c>
      <c r="G561" s="12">
        <f t="shared" si="157"/>
        <v>4</v>
      </c>
      <c r="H561" s="3">
        <f t="shared" si="158"/>
        <v>45434</v>
      </c>
      <c r="I561" t="s">
        <v>646</v>
      </c>
      <c r="J561" t="str">
        <f t="shared" si="159"/>
        <v>Africa → Kenya → Nairobi</v>
      </c>
      <c r="K561" s="3" t="str">
        <f t="shared" si="160"/>
        <v>Kenya-2024-05</v>
      </c>
      <c r="L561" t="s">
        <v>650</v>
      </c>
      <c r="M561" t="s">
        <v>664</v>
      </c>
      <c r="N561" t="s">
        <v>701</v>
      </c>
      <c r="O561" t="s">
        <v>711</v>
      </c>
      <c r="P561" t="s">
        <v>722</v>
      </c>
      <c r="Q561" t="s">
        <v>733</v>
      </c>
      <c r="R561" t="s">
        <v>1291</v>
      </c>
      <c r="S561" s="5">
        <v>857.42</v>
      </c>
      <c r="T561" s="5">
        <v>1658.92</v>
      </c>
      <c r="U561" s="5" t="str">
        <f t="shared" si="161"/>
        <v>Valid</v>
      </c>
      <c r="V561" s="5">
        <f t="shared" si="152"/>
        <v>1658.92</v>
      </c>
      <c r="W561" s="5" t="str">
        <f t="shared" si="162"/>
        <v>Medium</v>
      </c>
      <c r="X561" s="5">
        <v>0.122</v>
      </c>
      <c r="Y561" s="5" t="str">
        <f t="shared" si="163"/>
        <v>Valid</v>
      </c>
      <c r="Z561" s="5">
        <f t="shared" si="164"/>
        <v>0.122</v>
      </c>
      <c r="AA561" s="5">
        <v>9</v>
      </c>
      <c r="AB561">
        <f t="shared" si="165"/>
        <v>13108.78584</v>
      </c>
      <c r="AC561">
        <f t="shared" si="153"/>
        <v>7716.78</v>
      </c>
      <c r="AD561">
        <f t="shared" si="166"/>
        <v>5392.0058400000007</v>
      </c>
      <c r="AE561">
        <f t="shared" si="167"/>
        <v>0.41132763215544305</v>
      </c>
      <c r="AF561">
        <f t="shared" si="168"/>
        <v>1</v>
      </c>
      <c r="AG561">
        <f t="shared" si="169"/>
        <v>0</v>
      </c>
      <c r="AK561">
        <f>AA561*(1+What_if_Analysis!$B$4)</f>
        <v>10.799999999999999</v>
      </c>
      <c r="AL561" s="5">
        <f>MIN(Z561,What_if_Analysis!$B$2)</f>
        <v>0.05</v>
      </c>
      <c r="AM561">
        <f t="shared" si="170"/>
        <v>17020.519199999999</v>
      </c>
      <c r="AN561">
        <f>AM561-(AK561*(T561*(1+What_if_Analysis!$B$3)))</f>
        <v>-2687.4504000000015</v>
      </c>
    </row>
    <row r="562" spans="1:40" x14ac:dyDescent="0.3">
      <c r="A562" t="s">
        <v>574</v>
      </c>
      <c r="B562" s="3">
        <v>45299</v>
      </c>
      <c r="C562" s="3" t="str">
        <f t="shared" si="154"/>
        <v>Jan-2024</v>
      </c>
      <c r="D562" s="3" t="str">
        <f t="shared" si="155"/>
        <v>Q1-2024</v>
      </c>
      <c r="E562" s="3">
        <v>45303</v>
      </c>
      <c r="F562" s="3" t="str">
        <f t="shared" si="156"/>
        <v>Valid</v>
      </c>
      <c r="G562" s="12">
        <f t="shared" si="157"/>
        <v>4</v>
      </c>
      <c r="H562" s="3">
        <f t="shared" si="158"/>
        <v>45303</v>
      </c>
      <c r="I562" t="s">
        <v>647</v>
      </c>
      <c r="J562" t="str">
        <f t="shared" si="159"/>
        <v>Asia → India → Bengaluru</v>
      </c>
      <c r="K562" s="3" t="str">
        <f t="shared" si="160"/>
        <v>India-2024-01</v>
      </c>
      <c r="L562" t="s">
        <v>654</v>
      </c>
      <c r="M562" t="s">
        <v>668</v>
      </c>
      <c r="N562" t="s">
        <v>701</v>
      </c>
      <c r="O562" t="s">
        <v>711</v>
      </c>
      <c r="P562" t="s">
        <v>718</v>
      </c>
      <c r="Q562" t="s">
        <v>728</v>
      </c>
      <c r="R562" t="s">
        <v>1292</v>
      </c>
      <c r="S562" s="5">
        <v>802.32</v>
      </c>
      <c r="T562" s="5">
        <v>602.34</v>
      </c>
      <c r="U562" s="5" t="str">
        <f t="shared" si="161"/>
        <v>Valid</v>
      </c>
      <c r="V562" s="5">
        <f t="shared" si="152"/>
        <v>602.34</v>
      </c>
      <c r="W562" s="5" t="str">
        <f t="shared" si="162"/>
        <v>Low</v>
      </c>
      <c r="X562" s="5">
        <v>0.12</v>
      </c>
      <c r="Y562" s="5" t="str">
        <f t="shared" si="163"/>
        <v>Valid</v>
      </c>
      <c r="Z562" s="5">
        <f t="shared" si="164"/>
        <v>0.12</v>
      </c>
      <c r="AA562" s="5">
        <v>25</v>
      </c>
      <c r="AB562">
        <f t="shared" si="165"/>
        <v>13251.48</v>
      </c>
      <c r="AC562">
        <f t="shared" si="153"/>
        <v>20058</v>
      </c>
      <c r="AD562">
        <f t="shared" si="166"/>
        <v>-6806.52</v>
      </c>
      <c r="AE562">
        <f t="shared" si="167"/>
        <v>-0.51364224977134632</v>
      </c>
      <c r="AF562">
        <f t="shared" si="168"/>
        <v>1</v>
      </c>
      <c r="AG562">
        <f t="shared" si="169"/>
        <v>0</v>
      </c>
      <c r="AK562">
        <f>AA562*(1+What_if_Analysis!$B$4)</f>
        <v>30</v>
      </c>
      <c r="AL562" s="5">
        <f>MIN(Z562,What_if_Analysis!$B$2)</f>
        <v>0.05</v>
      </c>
      <c r="AM562">
        <f t="shared" si="170"/>
        <v>17166.689999999999</v>
      </c>
      <c r="AN562">
        <f>AM562-(AK562*(T562*(1+What_if_Analysis!$B$3)))</f>
        <v>-2710.5300000000025</v>
      </c>
    </row>
    <row r="563" spans="1:40" x14ac:dyDescent="0.3">
      <c r="A563" t="s">
        <v>575</v>
      </c>
      <c r="B563" s="3">
        <v>45590</v>
      </c>
      <c r="C563" s="3" t="str">
        <f t="shared" si="154"/>
        <v>Oct-2024</v>
      </c>
      <c r="D563" s="3" t="str">
        <f t="shared" si="155"/>
        <v>Q4-2024</v>
      </c>
      <c r="E563" s="3">
        <v>45601</v>
      </c>
      <c r="F563" s="3" t="str">
        <f t="shared" si="156"/>
        <v>Valid</v>
      </c>
      <c r="G563" s="12">
        <f t="shared" si="157"/>
        <v>11</v>
      </c>
      <c r="H563" s="3">
        <f t="shared" si="158"/>
        <v>45601</v>
      </c>
      <c r="I563" t="s">
        <v>648</v>
      </c>
      <c r="J563" t="str">
        <f t="shared" si="159"/>
        <v>Americas → USA → New York</v>
      </c>
      <c r="K563" s="3" t="str">
        <f t="shared" si="160"/>
        <v>USA-2024-10</v>
      </c>
      <c r="L563" t="s">
        <v>660</v>
      </c>
      <c r="M563" t="s">
        <v>700</v>
      </c>
      <c r="N563" t="s">
        <v>701</v>
      </c>
      <c r="O563" t="s">
        <v>710</v>
      </c>
      <c r="P563" t="s">
        <v>725</v>
      </c>
      <c r="Q563" t="s">
        <v>727</v>
      </c>
      <c r="R563" t="s">
        <v>1293</v>
      </c>
      <c r="S563" s="5">
        <v>446.66</v>
      </c>
      <c r="T563" s="5">
        <v>527.64</v>
      </c>
      <c r="U563" s="5" t="str">
        <f t="shared" si="161"/>
        <v>Valid</v>
      </c>
      <c r="V563" s="5">
        <f t="shared" si="152"/>
        <v>527.64</v>
      </c>
      <c r="W563" s="5" t="str">
        <f t="shared" si="162"/>
        <v>Low</v>
      </c>
      <c r="X563" s="5">
        <v>0.14499999999999999</v>
      </c>
      <c r="Y563" s="5" t="str">
        <f t="shared" si="163"/>
        <v>Valid</v>
      </c>
      <c r="Z563" s="5">
        <f t="shared" si="164"/>
        <v>0.14499999999999999</v>
      </c>
      <c r="AA563" s="5">
        <v>15</v>
      </c>
      <c r="AB563">
        <f t="shared" si="165"/>
        <v>6766.9829999999993</v>
      </c>
      <c r="AC563">
        <f t="shared" si="153"/>
        <v>6699.9000000000005</v>
      </c>
      <c r="AD563">
        <f t="shared" si="166"/>
        <v>67.082999999998719</v>
      </c>
      <c r="AE563">
        <f t="shared" si="167"/>
        <v>9.9132804087137105E-3</v>
      </c>
      <c r="AF563">
        <f t="shared" si="168"/>
        <v>0</v>
      </c>
      <c r="AG563">
        <f t="shared" si="169"/>
        <v>0</v>
      </c>
      <c r="AK563">
        <f>AA563*(1+What_if_Analysis!$B$4)</f>
        <v>18</v>
      </c>
      <c r="AL563" s="5">
        <f>MIN(Z563,What_if_Analysis!$B$2)</f>
        <v>0.05</v>
      </c>
      <c r="AM563">
        <f t="shared" si="170"/>
        <v>9022.6440000000002</v>
      </c>
      <c r="AN563">
        <f>AM563-(AK563*(T563*(1+What_if_Analysis!$B$3)))</f>
        <v>-1424.6280000000006</v>
      </c>
    </row>
    <row r="564" spans="1:40" x14ac:dyDescent="0.3">
      <c r="A564" t="s">
        <v>576</v>
      </c>
      <c r="B564" s="3">
        <v>45626</v>
      </c>
      <c r="C564" s="3" t="str">
        <f t="shared" si="154"/>
        <v>Nov-2024</v>
      </c>
      <c r="D564" s="3" t="str">
        <f t="shared" si="155"/>
        <v>Q4-2024</v>
      </c>
      <c r="E564" s="3">
        <v>45645</v>
      </c>
      <c r="F564" s="3" t="str">
        <f t="shared" si="156"/>
        <v>Valid</v>
      </c>
      <c r="G564" s="12">
        <f t="shared" si="157"/>
        <v>19</v>
      </c>
      <c r="H564" s="3">
        <f t="shared" si="158"/>
        <v>45645</v>
      </c>
      <c r="I564" t="s">
        <v>646</v>
      </c>
      <c r="J564" t="str">
        <f t="shared" si="159"/>
        <v>Africa → Kenya → Kisumu</v>
      </c>
      <c r="K564" s="3" t="str">
        <f t="shared" si="160"/>
        <v>Kenya-2024-11</v>
      </c>
      <c r="L564" t="s">
        <v>650</v>
      </c>
      <c r="M564" t="s">
        <v>662</v>
      </c>
      <c r="N564" t="s">
        <v>701</v>
      </c>
      <c r="O564" t="s">
        <v>708</v>
      </c>
      <c r="P564" t="s">
        <v>716</v>
      </c>
      <c r="Q564" t="s">
        <v>730</v>
      </c>
      <c r="R564" t="s">
        <v>1294</v>
      </c>
      <c r="S564" s="5">
        <v>1195.98</v>
      </c>
      <c r="T564" s="5">
        <v>1841.9</v>
      </c>
      <c r="U564" s="5" t="str">
        <f t="shared" si="161"/>
        <v>Valid</v>
      </c>
      <c r="V564" s="5">
        <f t="shared" si="152"/>
        <v>1841.9</v>
      </c>
      <c r="W564" s="5" t="str">
        <f t="shared" si="162"/>
        <v>Medium</v>
      </c>
      <c r="X564" s="5">
        <v>5.5E-2</v>
      </c>
      <c r="Y564" s="5" t="str">
        <f t="shared" si="163"/>
        <v>Valid</v>
      </c>
      <c r="Z564" s="5">
        <f t="shared" si="164"/>
        <v>5.5E-2</v>
      </c>
      <c r="AA564" s="5">
        <v>19</v>
      </c>
      <c r="AB564">
        <f t="shared" si="165"/>
        <v>33071.3145</v>
      </c>
      <c r="AC564">
        <f t="shared" si="153"/>
        <v>22723.62</v>
      </c>
      <c r="AD564">
        <f t="shared" si="166"/>
        <v>10347.694500000001</v>
      </c>
      <c r="AE564">
        <f t="shared" si="167"/>
        <v>0.31289032977506842</v>
      </c>
      <c r="AF564">
        <f t="shared" si="168"/>
        <v>0</v>
      </c>
      <c r="AG564">
        <f t="shared" si="169"/>
        <v>0</v>
      </c>
      <c r="AK564">
        <f>AA564*(1+What_if_Analysis!$B$4)</f>
        <v>22.8</v>
      </c>
      <c r="AL564" s="5">
        <f>MIN(Z564,What_if_Analysis!$B$2)</f>
        <v>0.05</v>
      </c>
      <c r="AM564">
        <f t="shared" si="170"/>
        <v>39895.554000000004</v>
      </c>
      <c r="AN564">
        <f>AM564-(AK564*(T564*(1+What_if_Analysis!$B$3)))</f>
        <v>-6299.2980000000098</v>
      </c>
    </row>
    <row r="565" spans="1:40" x14ac:dyDescent="0.3">
      <c r="A565" t="s">
        <v>577</v>
      </c>
      <c r="B565" s="3">
        <v>45029</v>
      </c>
      <c r="C565" s="3" t="str">
        <f t="shared" si="154"/>
        <v>Apr-2023</v>
      </c>
      <c r="D565" s="3" t="str">
        <f t="shared" si="155"/>
        <v>Q2-2023</v>
      </c>
      <c r="E565" s="3">
        <v>45048</v>
      </c>
      <c r="F565" s="3" t="str">
        <f t="shared" si="156"/>
        <v>Valid</v>
      </c>
      <c r="G565" s="12">
        <f t="shared" si="157"/>
        <v>19</v>
      </c>
      <c r="H565" s="3">
        <f t="shared" si="158"/>
        <v>45048</v>
      </c>
      <c r="I565" t="s">
        <v>648</v>
      </c>
      <c r="J565" t="str">
        <f t="shared" si="159"/>
        <v>Americas → Canada → Montreal</v>
      </c>
      <c r="K565" s="3" t="str">
        <f t="shared" si="160"/>
        <v>Canada-2023-04</v>
      </c>
      <c r="L565" t="s">
        <v>653</v>
      </c>
      <c r="M565" t="s">
        <v>681</v>
      </c>
      <c r="N565" t="s">
        <v>704</v>
      </c>
      <c r="O565" t="s">
        <v>710</v>
      </c>
      <c r="P565" t="s">
        <v>718</v>
      </c>
      <c r="Q565" t="s">
        <v>732</v>
      </c>
      <c r="R565" t="s">
        <v>1295</v>
      </c>
      <c r="S565" s="5">
        <v>671.05</v>
      </c>
      <c r="T565" s="5">
        <v>1645.48</v>
      </c>
      <c r="U565" s="5" t="str">
        <f t="shared" si="161"/>
        <v>Valid</v>
      </c>
      <c r="V565" s="5">
        <f t="shared" si="152"/>
        <v>1645.48</v>
      </c>
      <c r="W565" s="5" t="str">
        <f t="shared" si="162"/>
        <v>Medium</v>
      </c>
      <c r="X565" s="5">
        <v>0.13700000000000001</v>
      </c>
      <c r="Y565" s="5" t="str">
        <f t="shared" si="163"/>
        <v>Valid</v>
      </c>
      <c r="Z565" s="5">
        <f t="shared" si="164"/>
        <v>0.13700000000000001</v>
      </c>
      <c r="AA565" s="5">
        <v>6</v>
      </c>
      <c r="AB565">
        <f t="shared" si="165"/>
        <v>8520.2954399999999</v>
      </c>
      <c r="AC565">
        <f t="shared" si="153"/>
        <v>4026.2999999999997</v>
      </c>
      <c r="AD565">
        <f t="shared" si="166"/>
        <v>4493.9954400000006</v>
      </c>
      <c r="AE565">
        <f t="shared" si="167"/>
        <v>0.52744596377517172</v>
      </c>
      <c r="AF565">
        <f t="shared" si="168"/>
        <v>0</v>
      </c>
      <c r="AG565">
        <f t="shared" si="169"/>
        <v>0</v>
      </c>
      <c r="AK565">
        <f>AA565*(1+What_if_Analysis!$B$4)</f>
        <v>7.1999999999999993</v>
      </c>
      <c r="AL565" s="5">
        <f>MIN(Z565,What_if_Analysis!$B$2)</f>
        <v>0.05</v>
      </c>
      <c r="AM565">
        <f t="shared" si="170"/>
        <v>11255.083199999997</v>
      </c>
      <c r="AN565">
        <f>AM565-(AK565*(T565*(1+What_if_Analysis!$B$3)))</f>
        <v>-1777.118400000003</v>
      </c>
    </row>
    <row r="566" spans="1:40" x14ac:dyDescent="0.3">
      <c r="A566" t="s">
        <v>578</v>
      </c>
      <c r="B566" s="3">
        <v>45692</v>
      </c>
      <c r="C566" s="3" t="str">
        <f t="shared" si="154"/>
        <v>Feb-2025</v>
      </c>
      <c r="D566" s="3" t="str">
        <f t="shared" si="155"/>
        <v>Q1-2025</v>
      </c>
      <c r="E566" s="3">
        <v>45696</v>
      </c>
      <c r="F566" s="3" t="str">
        <f t="shared" si="156"/>
        <v>Valid</v>
      </c>
      <c r="G566" s="12">
        <f t="shared" si="157"/>
        <v>4</v>
      </c>
      <c r="H566" s="3">
        <f t="shared" si="158"/>
        <v>45696</v>
      </c>
      <c r="I566" t="s">
        <v>649</v>
      </c>
      <c r="J566" t="str">
        <f t="shared" si="159"/>
        <v>Europe → United Kingdom → Manchester</v>
      </c>
      <c r="K566" s="3" t="str">
        <f t="shared" si="160"/>
        <v>United Kingdom-2025-02</v>
      </c>
      <c r="L566" t="s">
        <v>658</v>
      </c>
      <c r="M566" t="s">
        <v>693</v>
      </c>
      <c r="N566" t="s">
        <v>706</v>
      </c>
      <c r="O566" t="s">
        <v>709</v>
      </c>
      <c r="P566" t="s">
        <v>716</v>
      </c>
      <c r="Q566" t="s">
        <v>729</v>
      </c>
      <c r="R566" t="s">
        <v>1296</v>
      </c>
      <c r="S566" s="5">
        <v>586.21</v>
      </c>
      <c r="T566" s="5">
        <v>727.22</v>
      </c>
      <c r="U566" s="5" t="str">
        <f t="shared" si="161"/>
        <v>Valid</v>
      </c>
      <c r="V566" s="5">
        <f t="shared" si="152"/>
        <v>727.22</v>
      </c>
      <c r="W566" s="5" t="str">
        <f t="shared" si="162"/>
        <v>Medium</v>
      </c>
      <c r="X566" s="5">
        <v>6.8000000000000005E-2</v>
      </c>
      <c r="Y566" s="5" t="str">
        <f t="shared" si="163"/>
        <v>Valid</v>
      </c>
      <c r="Z566" s="5">
        <f t="shared" si="164"/>
        <v>6.8000000000000005E-2</v>
      </c>
      <c r="AA566" s="5">
        <v>15</v>
      </c>
      <c r="AB566">
        <f t="shared" si="165"/>
        <v>10166.535600000001</v>
      </c>
      <c r="AC566">
        <f t="shared" si="153"/>
        <v>8793.1500000000015</v>
      </c>
      <c r="AD566">
        <f t="shared" si="166"/>
        <v>1373.3855999999996</v>
      </c>
      <c r="AE566">
        <f t="shared" si="167"/>
        <v>0.13508884973559721</v>
      </c>
      <c r="AF566">
        <f t="shared" si="168"/>
        <v>1</v>
      </c>
      <c r="AG566">
        <f t="shared" si="169"/>
        <v>0</v>
      </c>
      <c r="AK566">
        <f>AA566*(1+What_if_Analysis!$B$4)</f>
        <v>18</v>
      </c>
      <c r="AL566" s="5">
        <f>MIN(Z566,What_if_Analysis!$B$2)</f>
        <v>0.05</v>
      </c>
      <c r="AM566">
        <f t="shared" si="170"/>
        <v>12435.462</v>
      </c>
      <c r="AN566">
        <f>AM566-(AK566*(T566*(1+What_if_Analysis!$B$3)))</f>
        <v>-1963.4940000000024</v>
      </c>
    </row>
    <row r="567" spans="1:40" x14ac:dyDescent="0.3">
      <c r="A567" t="s">
        <v>579</v>
      </c>
      <c r="B567" s="3">
        <v>45315</v>
      </c>
      <c r="C567" s="3" t="str">
        <f t="shared" si="154"/>
        <v>Jan-2024</v>
      </c>
      <c r="D567" s="3" t="str">
        <f t="shared" si="155"/>
        <v>Q1-2024</v>
      </c>
      <c r="E567" s="3">
        <v>45326</v>
      </c>
      <c r="F567" s="3" t="str">
        <f t="shared" si="156"/>
        <v>Valid</v>
      </c>
      <c r="G567" s="12">
        <f t="shared" si="157"/>
        <v>11</v>
      </c>
      <c r="H567" s="3">
        <f t="shared" si="158"/>
        <v>45326</v>
      </c>
      <c r="I567" t="s">
        <v>649</v>
      </c>
      <c r="J567" t="str">
        <f t="shared" si="159"/>
        <v>Europe → United Kingdom → Manchester</v>
      </c>
      <c r="K567" s="3" t="str">
        <f t="shared" si="160"/>
        <v>United Kingdom-2024-01</v>
      </c>
      <c r="L567" t="s">
        <v>658</v>
      </c>
      <c r="M567" t="s">
        <v>693</v>
      </c>
      <c r="N567" t="s">
        <v>704</v>
      </c>
      <c r="O567" t="s">
        <v>707</v>
      </c>
      <c r="P567" t="s">
        <v>717</v>
      </c>
      <c r="Q567" t="s">
        <v>731</v>
      </c>
      <c r="R567" t="s">
        <v>1297</v>
      </c>
      <c r="S567" s="5">
        <v>525.34</v>
      </c>
      <c r="T567" s="5">
        <v>1233.79</v>
      </c>
      <c r="U567" s="5" t="str">
        <f t="shared" si="161"/>
        <v>Valid</v>
      </c>
      <c r="V567" s="5">
        <f t="shared" si="152"/>
        <v>1233.79</v>
      </c>
      <c r="W567" s="5" t="str">
        <f t="shared" si="162"/>
        <v>Medium</v>
      </c>
      <c r="X567" s="5">
        <v>0.14299999999999999</v>
      </c>
      <c r="Y567" s="5" t="str">
        <f t="shared" si="163"/>
        <v>Valid</v>
      </c>
      <c r="Z567" s="5">
        <f t="shared" si="164"/>
        <v>0.14299999999999999</v>
      </c>
      <c r="AA567" s="5">
        <v>4</v>
      </c>
      <c r="AB567">
        <f t="shared" si="165"/>
        <v>4229.4321199999995</v>
      </c>
      <c r="AC567">
        <f t="shared" si="153"/>
        <v>2101.36</v>
      </c>
      <c r="AD567">
        <f t="shared" si="166"/>
        <v>2128.0721199999994</v>
      </c>
      <c r="AE567">
        <f t="shared" si="167"/>
        <v>0.50315788494082736</v>
      </c>
      <c r="AF567">
        <f t="shared" si="168"/>
        <v>0</v>
      </c>
      <c r="AG567">
        <f t="shared" si="169"/>
        <v>0</v>
      </c>
      <c r="AK567">
        <f>AA567*(1+What_if_Analysis!$B$4)</f>
        <v>4.8</v>
      </c>
      <c r="AL567" s="5">
        <f>MIN(Z567,What_if_Analysis!$B$2)</f>
        <v>0.05</v>
      </c>
      <c r="AM567">
        <f t="shared" si="170"/>
        <v>5626.0823999999993</v>
      </c>
      <c r="AN567">
        <f>AM567-(AK567*(T567*(1+What_if_Analysis!$B$3)))</f>
        <v>-888.32880000000114</v>
      </c>
    </row>
    <row r="568" spans="1:40" x14ac:dyDescent="0.3">
      <c r="A568" t="s">
        <v>580</v>
      </c>
      <c r="B568" s="3">
        <v>45330</v>
      </c>
      <c r="C568" s="3" t="str">
        <f t="shared" si="154"/>
        <v>Feb-2024</v>
      </c>
      <c r="D568" s="3" t="str">
        <f t="shared" si="155"/>
        <v>Q1-2024</v>
      </c>
      <c r="E568" s="3">
        <v>45331</v>
      </c>
      <c r="F568" s="3" t="str">
        <f t="shared" si="156"/>
        <v>Valid</v>
      </c>
      <c r="G568" s="12">
        <f t="shared" si="157"/>
        <v>1</v>
      </c>
      <c r="H568" s="3">
        <f t="shared" si="158"/>
        <v>45331</v>
      </c>
      <c r="I568" t="s">
        <v>646</v>
      </c>
      <c r="J568" t="str">
        <f t="shared" si="159"/>
        <v>Africa → Kenya → Mombasa</v>
      </c>
      <c r="K568" s="3" t="str">
        <f t="shared" si="160"/>
        <v>Kenya-2024-02</v>
      </c>
      <c r="L568" t="s">
        <v>650</v>
      </c>
      <c r="M568" t="s">
        <v>675</v>
      </c>
      <c r="N568" t="s">
        <v>701</v>
      </c>
      <c r="O568" t="s">
        <v>711</v>
      </c>
      <c r="P568" t="s">
        <v>721</v>
      </c>
      <c r="Q568" t="s">
        <v>727</v>
      </c>
      <c r="R568" t="s">
        <v>1298</v>
      </c>
      <c r="S568" s="5">
        <v>1233.52</v>
      </c>
      <c r="T568" s="5">
        <v>1543.76</v>
      </c>
      <c r="U568" s="5" t="str">
        <f t="shared" si="161"/>
        <v>Valid</v>
      </c>
      <c r="V568" s="5">
        <f t="shared" si="152"/>
        <v>1543.76</v>
      </c>
      <c r="W568" s="5" t="str">
        <f t="shared" si="162"/>
        <v>Medium</v>
      </c>
      <c r="X568" s="5">
        <v>0.126</v>
      </c>
      <c r="Y568" s="5" t="str">
        <f t="shared" si="163"/>
        <v>Valid</v>
      </c>
      <c r="Z568" s="5">
        <f t="shared" si="164"/>
        <v>0.126</v>
      </c>
      <c r="AA568" s="5">
        <v>13</v>
      </c>
      <c r="AB568">
        <f t="shared" si="165"/>
        <v>17540.201120000002</v>
      </c>
      <c r="AC568">
        <f t="shared" si="153"/>
        <v>16035.76</v>
      </c>
      <c r="AD568">
        <f t="shared" si="166"/>
        <v>1504.4411200000013</v>
      </c>
      <c r="AE568">
        <f t="shared" si="167"/>
        <v>8.5771030201277493E-2</v>
      </c>
      <c r="AF568">
        <f t="shared" si="168"/>
        <v>1</v>
      </c>
      <c r="AG568">
        <f t="shared" si="169"/>
        <v>0</v>
      </c>
      <c r="AK568">
        <f>AA568*(1+What_if_Analysis!$B$4)</f>
        <v>15.6</v>
      </c>
      <c r="AL568" s="5">
        <f>MIN(Z568,What_if_Analysis!$B$2)</f>
        <v>0.05</v>
      </c>
      <c r="AM568">
        <f t="shared" si="170"/>
        <v>22878.5232</v>
      </c>
      <c r="AN568">
        <f>AM568-(AK568*(T568*(1+What_if_Analysis!$B$3)))</f>
        <v>-3612.3984000000019</v>
      </c>
    </row>
    <row r="569" spans="1:40" x14ac:dyDescent="0.3">
      <c r="A569" t="s">
        <v>581</v>
      </c>
      <c r="B569" s="3">
        <v>45834</v>
      </c>
      <c r="C569" s="3" t="str">
        <f t="shared" si="154"/>
        <v>Jun-2025</v>
      </c>
      <c r="D569" s="3" t="str">
        <f t="shared" si="155"/>
        <v>Q2-2025</v>
      </c>
      <c r="E569" s="3">
        <v>45849</v>
      </c>
      <c r="F569" s="3" t="str">
        <f t="shared" si="156"/>
        <v>Valid</v>
      </c>
      <c r="G569" s="12">
        <f t="shared" si="157"/>
        <v>15</v>
      </c>
      <c r="H569" s="3">
        <f t="shared" si="158"/>
        <v>45849</v>
      </c>
      <c r="I569" t="s">
        <v>646</v>
      </c>
      <c r="J569" t="str">
        <f t="shared" si="159"/>
        <v>Africa → Nigeria → Port Harcourt</v>
      </c>
      <c r="K569" s="3" t="str">
        <f t="shared" si="160"/>
        <v>Nigeria-2025-06</v>
      </c>
      <c r="L569" t="s">
        <v>651</v>
      </c>
      <c r="M569" t="s">
        <v>663</v>
      </c>
      <c r="N569" t="s">
        <v>705</v>
      </c>
      <c r="O569" t="s">
        <v>708</v>
      </c>
      <c r="P569" t="s">
        <v>720</v>
      </c>
      <c r="Q569" t="s">
        <v>731</v>
      </c>
      <c r="R569" t="s">
        <v>1299</v>
      </c>
      <c r="S569" s="5">
        <v>1170.1500000000001</v>
      </c>
      <c r="T569" s="5">
        <v>2115.19</v>
      </c>
      <c r="U569" s="5" t="str">
        <f t="shared" si="161"/>
        <v>Valid</v>
      </c>
      <c r="V569" s="5">
        <f t="shared" si="152"/>
        <v>2115.19</v>
      </c>
      <c r="W569" s="5" t="str">
        <f t="shared" si="162"/>
        <v>High</v>
      </c>
      <c r="X569" s="5">
        <v>9.1999999999999998E-2</v>
      </c>
      <c r="Y569" s="5" t="str">
        <f t="shared" si="163"/>
        <v>Valid</v>
      </c>
      <c r="Z569" s="5">
        <f t="shared" si="164"/>
        <v>9.1999999999999998E-2</v>
      </c>
      <c r="AA569" s="5">
        <v>23</v>
      </c>
      <c r="AB569">
        <f t="shared" si="165"/>
        <v>44173.627960000005</v>
      </c>
      <c r="AC569">
        <f t="shared" si="153"/>
        <v>26913.45</v>
      </c>
      <c r="AD569">
        <f t="shared" si="166"/>
        <v>17260.177960000005</v>
      </c>
      <c r="AE569">
        <f t="shared" si="167"/>
        <v>0.39073489674946776</v>
      </c>
      <c r="AF569">
        <f t="shared" si="168"/>
        <v>0</v>
      </c>
      <c r="AG569">
        <f t="shared" si="169"/>
        <v>0</v>
      </c>
      <c r="AK569">
        <f>AA569*(1+What_if_Analysis!$B$4)</f>
        <v>27.599999999999998</v>
      </c>
      <c r="AL569" s="5">
        <f>MIN(Z569,What_if_Analysis!$B$2)</f>
        <v>0.05</v>
      </c>
      <c r="AM569">
        <f t="shared" si="170"/>
        <v>55460.281799999997</v>
      </c>
      <c r="AN569">
        <f>AM569-(AK569*(T569*(1+What_if_Analysis!$B$3)))</f>
        <v>-8756.8866000000053</v>
      </c>
    </row>
    <row r="570" spans="1:40" x14ac:dyDescent="0.3">
      <c r="A570" t="s">
        <v>582</v>
      </c>
      <c r="B570" s="3">
        <v>45600</v>
      </c>
      <c r="C570" s="3" t="str">
        <f t="shared" si="154"/>
        <v>Nov-2024</v>
      </c>
      <c r="D570" s="3" t="str">
        <f t="shared" si="155"/>
        <v>Q4-2024</v>
      </c>
      <c r="E570" s="3">
        <v>45603</v>
      </c>
      <c r="F570" s="3" t="str">
        <f t="shared" si="156"/>
        <v>Valid</v>
      </c>
      <c r="G570" s="12">
        <f t="shared" si="157"/>
        <v>3</v>
      </c>
      <c r="H570" s="3">
        <f t="shared" si="158"/>
        <v>45603</v>
      </c>
      <c r="I570" t="s">
        <v>649</v>
      </c>
      <c r="J570" t="str">
        <f t="shared" si="159"/>
        <v>Europe → France → Lyon</v>
      </c>
      <c r="K570" s="3" t="str">
        <f t="shared" si="160"/>
        <v>France-2024-11</v>
      </c>
      <c r="L570" t="s">
        <v>657</v>
      </c>
      <c r="M570" t="s">
        <v>679</v>
      </c>
      <c r="N570" t="s">
        <v>701</v>
      </c>
      <c r="O570" t="s">
        <v>708</v>
      </c>
      <c r="P570" t="s">
        <v>719</v>
      </c>
      <c r="Q570" t="s">
        <v>732</v>
      </c>
      <c r="R570" t="s">
        <v>1300</v>
      </c>
      <c r="S570" s="5">
        <v>740.68</v>
      </c>
      <c r="T570" s="5">
        <v>1837.19</v>
      </c>
      <c r="U570" s="5" t="str">
        <f t="shared" si="161"/>
        <v>Valid</v>
      </c>
      <c r="V570" s="5">
        <f t="shared" si="152"/>
        <v>1837.19</v>
      </c>
      <c r="W570" s="5" t="str">
        <f t="shared" si="162"/>
        <v>Medium</v>
      </c>
      <c r="X570" s="5">
        <v>0.19700000000000001</v>
      </c>
      <c r="Y570" s="5" t="str">
        <f t="shared" si="163"/>
        <v>Valid</v>
      </c>
      <c r="Z570" s="5">
        <f t="shared" si="164"/>
        <v>0.19700000000000001</v>
      </c>
      <c r="AA570" s="5">
        <v>17</v>
      </c>
      <c r="AB570">
        <f t="shared" si="165"/>
        <v>25079.480689999997</v>
      </c>
      <c r="AC570">
        <f t="shared" si="153"/>
        <v>12591.56</v>
      </c>
      <c r="AD570">
        <f t="shared" si="166"/>
        <v>12487.920689999997</v>
      </c>
      <c r="AE570">
        <f t="shared" si="167"/>
        <v>0.4979337827748298</v>
      </c>
      <c r="AF570">
        <f t="shared" si="168"/>
        <v>1</v>
      </c>
      <c r="AG570">
        <f t="shared" si="169"/>
        <v>0</v>
      </c>
      <c r="AK570">
        <f>AA570*(1+What_if_Analysis!$B$4)</f>
        <v>20.399999999999999</v>
      </c>
      <c r="AL570" s="5">
        <f>MIN(Z570,What_if_Analysis!$B$2)</f>
        <v>0.05</v>
      </c>
      <c r="AM570">
        <f t="shared" si="170"/>
        <v>35604.742200000001</v>
      </c>
      <c r="AN570">
        <f>AM570-(AK570*(T570*(1+What_if_Analysis!$B$3)))</f>
        <v>-5621.8014000000039</v>
      </c>
    </row>
    <row r="571" spans="1:40" x14ac:dyDescent="0.3">
      <c r="A571" t="s">
        <v>583</v>
      </c>
      <c r="B571" s="3">
        <v>45342</v>
      </c>
      <c r="C571" s="3" t="str">
        <f t="shared" si="154"/>
        <v>Feb-2024</v>
      </c>
      <c r="D571" s="3" t="str">
        <f t="shared" si="155"/>
        <v>Q1-2024</v>
      </c>
      <c r="E571" s="3">
        <v>45342</v>
      </c>
      <c r="F571" s="3" t="str">
        <f t="shared" si="156"/>
        <v>Valid</v>
      </c>
      <c r="G571" s="12">
        <f t="shared" si="157"/>
        <v>0</v>
      </c>
      <c r="H571" s="3">
        <f t="shared" si="158"/>
        <v>45342</v>
      </c>
      <c r="I571" t="s">
        <v>648</v>
      </c>
      <c r="J571" t="str">
        <f t="shared" si="159"/>
        <v>Americas → USA → New York</v>
      </c>
      <c r="K571" s="3" t="str">
        <f t="shared" si="160"/>
        <v>USA-2024-02</v>
      </c>
      <c r="L571" t="s">
        <v>660</v>
      </c>
      <c r="M571" t="s">
        <v>700</v>
      </c>
      <c r="N571" t="s">
        <v>706</v>
      </c>
      <c r="O571" t="s">
        <v>708</v>
      </c>
      <c r="P571" t="s">
        <v>712</v>
      </c>
      <c r="Q571" t="s">
        <v>729</v>
      </c>
      <c r="R571" t="s">
        <v>1301</v>
      </c>
      <c r="S571" s="5">
        <v>1407.05</v>
      </c>
      <c r="T571" s="5">
        <v>2858.93</v>
      </c>
      <c r="U571" s="5" t="str">
        <f t="shared" si="161"/>
        <v>Valid</v>
      </c>
      <c r="V571" s="5">
        <f t="shared" si="152"/>
        <v>2858.93</v>
      </c>
      <c r="W571" s="5" t="str">
        <f t="shared" si="162"/>
        <v>High</v>
      </c>
      <c r="X571" s="5">
        <v>0</v>
      </c>
      <c r="Y571" s="5" t="str">
        <f t="shared" si="163"/>
        <v>Valid</v>
      </c>
      <c r="Z571" s="5">
        <f t="shared" si="164"/>
        <v>0</v>
      </c>
      <c r="AA571" s="5">
        <v>12</v>
      </c>
      <c r="AB571">
        <f t="shared" si="165"/>
        <v>34307.159999999996</v>
      </c>
      <c r="AC571">
        <f t="shared" si="153"/>
        <v>16884.599999999999</v>
      </c>
      <c r="AD571">
        <f t="shared" si="166"/>
        <v>17422.559999999998</v>
      </c>
      <c r="AE571">
        <f t="shared" si="167"/>
        <v>0.50784034586366222</v>
      </c>
      <c r="AF571">
        <f t="shared" si="168"/>
        <v>1</v>
      </c>
      <c r="AG571">
        <f t="shared" si="169"/>
        <v>0</v>
      </c>
      <c r="AK571">
        <f>AA571*(1+What_if_Analysis!$B$4)</f>
        <v>14.399999999999999</v>
      </c>
      <c r="AL571" s="5">
        <f>MIN(Z571,What_if_Analysis!$B$2)</f>
        <v>0</v>
      </c>
      <c r="AM571">
        <f t="shared" si="170"/>
        <v>41168.591999999997</v>
      </c>
      <c r="AN571">
        <f>AM571-(AK571*(T571*(1+What_if_Analysis!$B$3)))</f>
        <v>-4116.859199999999</v>
      </c>
    </row>
    <row r="572" spans="1:40" x14ac:dyDescent="0.3">
      <c r="A572" t="s">
        <v>584</v>
      </c>
      <c r="B572" s="3">
        <v>45760</v>
      </c>
      <c r="C572" s="3" t="str">
        <f t="shared" si="154"/>
        <v>Apr-2025</v>
      </c>
      <c r="D572" s="3" t="str">
        <f t="shared" si="155"/>
        <v>Q2-2025</v>
      </c>
      <c r="E572" s="3">
        <v>45761</v>
      </c>
      <c r="F572" s="3" t="str">
        <f t="shared" si="156"/>
        <v>Valid</v>
      </c>
      <c r="G572" s="12">
        <f t="shared" si="157"/>
        <v>1</v>
      </c>
      <c r="H572" s="3">
        <f t="shared" si="158"/>
        <v>45761</v>
      </c>
      <c r="I572" t="s">
        <v>647</v>
      </c>
      <c r="J572" t="str">
        <f t="shared" si="159"/>
        <v>Asia → Japan → Osaka</v>
      </c>
      <c r="K572" s="3" t="str">
        <f t="shared" si="160"/>
        <v>Japan-2025-04</v>
      </c>
      <c r="L572" t="s">
        <v>652</v>
      </c>
      <c r="M572" t="s">
        <v>666</v>
      </c>
      <c r="N572" t="s">
        <v>706</v>
      </c>
      <c r="O572" t="s">
        <v>708</v>
      </c>
      <c r="P572" t="s">
        <v>715</v>
      </c>
      <c r="Q572" t="s">
        <v>727</v>
      </c>
      <c r="R572" t="s">
        <v>1302</v>
      </c>
      <c r="S572" s="5">
        <v>138.9</v>
      </c>
      <c r="T572" s="5">
        <v>289.92</v>
      </c>
      <c r="U572" s="5" t="str">
        <f t="shared" si="161"/>
        <v>Valid</v>
      </c>
      <c r="V572" s="5">
        <f t="shared" si="152"/>
        <v>289.92</v>
      </c>
      <c r="W572" s="5" t="str">
        <f t="shared" si="162"/>
        <v>Low</v>
      </c>
      <c r="X572" s="5">
        <v>2.9000000000000001E-2</v>
      </c>
      <c r="Y572" s="5" t="str">
        <f t="shared" si="163"/>
        <v>Valid</v>
      </c>
      <c r="Z572" s="5">
        <f t="shared" si="164"/>
        <v>2.9000000000000001E-2</v>
      </c>
      <c r="AA572" s="5">
        <v>12</v>
      </c>
      <c r="AB572">
        <f t="shared" si="165"/>
        <v>3378.1478400000001</v>
      </c>
      <c r="AC572">
        <f t="shared" si="153"/>
        <v>1666.8000000000002</v>
      </c>
      <c r="AD572">
        <f t="shared" si="166"/>
        <v>1711.3478399999999</v>
      </c>
      <c r="AE572">
        <f t="shared" si="167"/>
        <v>0.50659353025828491</v>
      </c>
      <c r="AF572">
        <f t="shared" si="168"/>
        <v>1</v>
      </c>
      <c r="AG572">
        <f t="shared" si="169"/>
        <v>0</v>
      </c>
      <c r="AK572">
        <f>AA572*(1+What_if_Analysis!$B$4)</f>
        <v>14.399999999999999</v>
      </c>
      <c r="AL572" s="5">
        <f>MIN(Z572,What_if_Analysis!$B$2)</f>
        <v>2.9000000000000001E-2</v>
      </c>
      <c r="AM572">
        <f t="shared" si="170"/>
        <v>4053.7774079999999</v>
      </c>
      <c r="AN572">
        <f>AM572-(AK572*(T572*(1+What_if_Analysis!$B$3)))</f>
        <v>-538.55539200000021</v>
      </c>
    </row>
    <row r="573" spans="1:40" x14ac:dyDescent="0.3">
      <c r="A573" t="s">
        <v>585</v>
      </c>
      <c r="B573" s="3">
        <v>45078</v>
      </c>
      <c r="C573" s="3" t="str">
        <f t="shared" si="154"/>
        <v>Jun-2023</v>
      </c>
      <c r="D573" s="3" t="str">
        <f t="shared" si="155"/>
        <v>Q2-2023</v>
      </c>
      <c r="E573" s="3">
        <v>45078</v>
      </c>
      <c r="F573" s="3" t="str">
        <f t="shared" si="156"/>
        <v>Valid</v>
      </c>
      <c r="G573" s="12">
        <f t="shared" si="157"/>
        <v>0</v>
      </c>
      <c r="H573" s="3">
        <f t="shared" si="158"/>
        <v>45078</v>
      </c>
      <c r="I573" t="s">
        <v>647</v>
      </c>
      <c r="J573" t="str">
        <f t="shared" si="159"/>
        <v>Asia → India → Bengaluru</v>
      </c>
      <c r="K573" s="3" t="str">
        <f t="shared" si="160"/>
        <v>India-2023-06</v>
      </c>
      <c r="L573" t="s">
        <v>654</v>
      </c>
      <c r="M573" t="s">
        <v>668</v>
      </c>
      <c r="N573" t="s">
        <v>701</v>
      </c>
      <c r="O573" t="s">
        <v>707</v>
      </c>
      <c r="P573" t="s">
        <v>718</v>
      </c>
      <c r="Q573" t="s">
        <v>733</v>
      </c>
      <c r="R573" t="s">
        <v>1303</v>
      </c>
      <c r="S573" s="5">
        <v>669.37</v>
      </c>
      <c r="T573" s="5">
        <v>997.2</v>
      </c>
      <c r="U573" s="5" t="str">
        <f t="shared" si="161"/>
        <v>Valid</v>
      </c>
      <c r="V573" s="5">
        <f t="shared" si="152"/>
        <v>997.2</v>
      </c>
      <c r="W573" s="5" t="str">
        <f t="shared" si="162"/>
        <v>Medium</v>
      </c>
      <c r="X573" s="5">
        <v>8.2000000000000003E-2</v>
      </c>
      <c r="Y573" s="5" t="str">
        <f t="shared" si="163"/>
        <v>Valid</v>
      </c>
      <c r="Z573" s="5">
        <f t="shared" si="164"/>
        <v>8.2000000000000003E-2</v>
      </c>
      <c r="AA573" s="5">
        <v>5</v>
      </c>
      <c r="AB573">
        <f t="shared" si="165"/>
        <v>4577.1480000000001</v>
      </c>
      <c r="AC573">
        <f t="shared" si="153"/>
        <v>3346.85</v>
      </c>
      <c r="AD573">
        <f t="shared" si="166"/>
        <v>1230.2980000000002</v>
      </c>
      <c r="AE573">
        <f t="shared" si="167"/>
        <v>0.26879139586484863</v>
      </c>
      <c r="AF573">
        <f t="shared" si="168"/>
        <v>1</v>
      </c>
      <c r="AG573">
        <f t="shared" si="169"/>
        <v>0</v>
      </c>
      <c r="AK573">
        <f>AA573*(1+What_if_Analysis!$B$4)</f>
        <v>6</v>
      </c>
      <c r="AL573" s="5">
        <f>MIN(Z573,What_if_Analysis!$B$2)</f>
        <v>0.05</v>
      </c>
      <c r="AM573">
        <f t="shared" si="170"/>
        <v>5684.0400000000009</v>
      </c>
      <c r="AN573">
        <f>AM573-(AK573*(T573*(1+What_if_Analysis!$B$3)))</f>
        <v>-897.47999999999956</v>
      </c>
    </row>
    <row r="574" spans="1:40" x14ac:dyDescent="0.3">
      <c r="A574" t="s">
        <v>586</v>
      </c>
      <c r="B574" s="3">
        <v>45740</v>
      </c>
      <c r="C574" s="3" t="str">
        <f t="shared" si="154"/>
        <v>Mar-2025</v>
      </c>
      <c r="D574" s="3" t="str">
        <f t="shared" si="155"/>
        <v>Q1-2025</v>
      </c>
      <c r="E574" s="3">
        <v>45751</v>
      </c>
      <c r="F574" s="3" t="str">
        <f t="shared" si="156"/>
        <v>Valid</v>
      </c>
      <c r="G574" s="12">
        <f t="shared" si="157"/>
        <v>11</v>
      </c>
      <c r="H574" s="3">
        <f t="shared" si="158"/>
        <v>45751</v>
      </c>
      <c r="I574" t="s">
        <v>647</v>
      </c>
      <c r="J574" t="str">
        <f t="shared" si="159"/>
        <v>Asia → India → Mumbai</v>
      </c>
      <c r="K574" s="3" t="str">
        <f t="shared" si="160"/>
        <v>India-2025-03</v>
      </c>
      <c r="L574" t="s">
        <v>654</v>
      </c>
      <c r="M574" t="s">
        <v>691</v>
      </c>
      <c r="N574" t="s">
        <v>702</v>
      </c>
      <c r="O574" t="s">
        <v>709</v>
      </c>
      <c r="P574" t="s">
        <v>713</v>
      </c>
      <c r="Q574" t="s">
        <v>730</v>
      </c>
      <c r="R574" t="s">
        <v>1304</v>
      </c>
      <c r="S574" s="5">
        <v>23.83</v>
      </c>
      <c r="T574" s="5">
        <v>47.29</v>
      </c>
      <c r="U574" s="5" t="str">
        <f t="shared" si="161"/>
        <v>Valid</v>
      </c>
      <c r="V574" s="5">
        <f t="shared" si="152"/>
        <v>47.29</v>
      </c>
      <c r="W574" s="5" t="str">
        <f t="shared" si="162"/>
        <v>Low</v>
      </c>
      <c r="X574" s="5">
        <v>6.4000000000000001E-2</v>
      </c>
      <c r="Y574" s="5" t="str">
        <f t="shared" si="163"/>
        <v>Valid</v>
      </c>
      <c r="Z574" s="5">
        <f t="shared" si="164"/>
        <v>6.4000000000000001E-2</v>
      </c>
      <c r="AA574" s="5">
        <v>19</v>
      </c>
      <c r="AB574">
        <f t="shared" si="165"/>
        <v>841.00536</v>
      </c>
      <c r="AC574">
        <f t="shared" si="153"/>
        <v>452.77</v>
      </c>
      <c r="AD574">
        <f t="shared" si="166"/>
        <v>388.23536000000001</v>
      </c>
      <c r="AE574">
        <f t="shared" si="167"/>
        <v>0.46163244429262618</v>
      </c>
      <c r="AF574">
        <f t="shared" si="168"/>
        <v>0</v>
      </c>
      <c r="AG574">
        <f t="shared" si="169"/>
        <v>0</v>
      </c>
      <c r="AK574">
        <f>AA574*(1+What_if_Analysis!$B$4)</f>
        <v>22.8</v>
      </c>
      <c r="AL574" s="5">
        <f>MIN(Z574,What_if_Analysis!$B$2)</f>
        <v>0.05</v>
      </c>
      <c r="AM574">
        <f t="shared" si="170"/>
        <v>1024.3013999999998</v>
      </c>
      <c r="AN574">
        <f>AM574-(AK574*(T574*(1+What_if_Analysis!$B$3)))</f>
        <v>-161.73180000000025</v>
      </c>
    </row>
    <row r="575" spans="1:40" x14ac:dyDescent="0.3">
      <c r="A575" t="s">
        <v>587</v>
      </c>
      <c r="B575" s="3">
        <v>45293</v>
      </c>
      <c r="C575" s="3" t="str">
        <f t="shared" si="154"/>
        <v>Jan-2024</v>
      </c>
      <c r="D575" s="3" t="str">
        <f t="shared" si="155"/>
        <v>Q1-2024</v>
      </c>
      <c r="E575" s="3">
        <v>45293</v>
      </c>
      <c r="F575" s="3" t="str">
        <f t="shared" si="156"/>
        <v>Valid</v>
      </c>
      <c r="G575" s="12">
        <f t="shared" si="157"/>
        <v>0</v>
      </c>
      <c r="H575" s="3">
        <f t="shared" si="158"/>
        <v>45293</v>
      </c>
      <c r="I575" t="s">
        <v>648</v>
      </c>
      <c r="J575" t="str">
        <f t="shared" si="159"/>
        <v>Americas → Canada → Vancouver</v>
      </c>
      <c r="K575" s="3" t="str">
        <f t="shared" si="160"/>
        <v>Canada-2024-01</v>
      </c>
      <c r="L575" t="s">
        <v>653</v>
      </c>
      <c r="M575" t="s">
        <v>688</v>
      </c>
      <c r="N575" t="s">
        <v>702</v>
      </c>
      <c r="O575" t="s">
        <v>711</v>
      </c>
      <c r="P575" t="s">
        <v>720</v>
      </c>
      <c r="Q575" t="s">
        <v>731</v>
      </c>
      <c r="R575" t="s">
        <v>1305</v>
      </c>
      <c r="S575" s="5">
        <v>444.41</v>
      </c>
      <c r="T575" s="5">
        <v>754.24</v>
      </c>
      <c r="U575" s="5" t="str">
        <f t="shared" si="161"/>
        <v>Valid</v>
      </c>
      <c r="V575" s="5">
        <f t="shared" si="152"/>
        <v>754.24</v>
      </c>
      <c r="W575" s="5" t="str">
        <f t="shared" si="162"/>
        <v>Medium</v>
      </c>
      <c r="X575" s="5">
        <v>0.20699999999999999</v>
      </c>
      <c r="Y575" s="5" t="str">
        <f t="shared" si="163"/>
        <v>Valid</v>
      </c>
      <c r="Z575" s="5">
        <f t="shared" si="164"/>
        <v>0.20699999999999999</v>
      </c>
      <c r="AA575" s="5">
        <v>32</v>
      </c>
      <c r="AB575">
        <f t="shared" si="165"/>
        <v>19139.594240000002</v>
      </c>
      <c r="AC575">
        <f t="shared" si="153"/>
        <v>14221.12</v>
      </c>
      <c r="AD575">
        <f t="shared" si="166"/>
        <v>4918.4742400000014</v>
      </c>
      <c r="AE575">
        <f t="shared" si="167"/>
        <v>0.25697902360546598</v>
      </c>
      <c r="AF575">
        <f t="shared" si="168"/>
        <v>1</v>
      </c>
      <c r="AG575">
        <f t="shared" si="169"/>
        <v>1</v>
      </c>
      <c r="AK575">
        <f>AA575*(1+What_if_Analysis!$B$4)</f>
        <v>38.4</v>
      </c>
      <c r="AL575" s="5">
        <f>MIN(Z575,What_if_Analysis!$B$2)</f>
        <v>0.05</v>
      </c>
      <c r="AM575">
        <f t="shared" si="170"/>
        <v>27514.675199999998</v>
      </c>
      <c r="AN575">
        <f>AM575-(AK575*(T575*(1+What_if_Analysis!$B$3)))</f>
        <v>-4344.4224000000031</v>
      </c>
    </row>
    <row r="576" spans="1:40" x14ac:dyDescent="0.3">
      <c r="A576" t="s">
        <v>588</v>
      </c>
      <c r="B576" s="3">
        <v>45279</v>
      </c>
      <c r="C576" s="3" t="str">
        <f t="shared" si="154"/>
        <v>Dec-2023</v>
      </c>
      <c r="D576" s="3" t="str">
        <f t="shared" si="155"/>
        <v>Q4-2023</v>
      </c>
      <c r="E576" s="3">
        <v>45292</v>
      </c>
      <c r="F576" s="3" t="str">
        <f t="shared" si="156"/>
        <v>Valid</v>
      </c>
      <c r="G576" s="12">
        <f t="shared" si="157"/>
        <v>13</v>
      </c>
      <c r="H576" s="3">
        <f t="shared" si="158"/>
        <v>45292</v>
      </c>
      <c r="I576" t="s">
        <v>648</v>
      </c>
      <c r="J576" t="str">
        <f t="shared" si="159"/>
        <v>Americas → Canada → Toronto</v>
      </c>
      <c r="K576" s="3" t="str">
        <f t="shared" si="160"/>
        <v>Canada-2023-12</v>
      </c>
      <c r="L576" t="s">
        <v>653</v>
      </c>
      <c r="M576" t="s">
        <v>667</v>
      </c>
      <c r="N576" t="s">
        <v>706</v>
      </c>
      <c r="O576" t="s">
        <v>707</v>
      </c>
      <c r="P576" t="s">
        <v>723</v>
      </c>
      <c r="Q576" t="s">
        <v>732</v>
      </c>
      <c r="R576" t="s">
        <v>1306</v>
      </c>
      <c r="S576" s="5">
        <v>856.1</v>
      </c>
      <c r="T576" s="5">
        <v>901.48</v>
      </c>
      <c r="U576" s="5" t="str">
        <f t="shared" si="161"/>
        <v>Valid</v>
      </c>
      <c r="V576" s="5">
        <f t="shared" si="152"/>
        <v>901.48</v>
      </c>
      <c r="W576" s="5" t="str">
        <f t="shared" si="162"/>
        <v>Medium</v>
      </c>
      <c r="X576" s="5">
        <v>5.6000000000000001E-2</v>
      </c>
      <c r="Y576" s="5" t="str">
        <f t="shared" si="163"/>
        <v>Valid</v>
      </c>
      <c r="Z576" s="5">
        <f t="shared" si="164"/>
        <v>5.6000000000000001E-2</v>
      </c>
      <c r="AA576" s="5">
        <v>17</v>
      </c>
      <c r="AB576">
        <f t="shared" si="165"/>
        <v>14466.95104</v>
      </c>
      <c r="AC576">
        <f t="shared" si="153"/>
        <v>14553.7</v>
      </c>
      <c r="AD576">
        <f t="shared" si="166"/>
        <v>-86.748960000000807</v>
      </c>
      <c r="AE576">
        <f t="shared" si="167"/>
        <v>-5.9963540182134192E-3</v>
      </c>
      <c r="AF576">
        <f t="shared" si="168"/>
        <v>0</v>
      </c>
      <c r="AG576">
        <f t="shared" si="169"/>
        <v>0</v>
      </c>
      <c r="AK576">
        <f>AA576*(1+What_if_Analysis!$B$4)</f>
        <v>20.399999999999999</v>
      </c>
      <c r="AL576" s="5">
        <f>MIN(Z576,What_if_Analysis!$B$2)</f>
        <v>0.05</v>
      </c>
      <c r="AM576">
        <f t="shared" si="170"/>
        <v>17470.682399999998</v>
      </c>
      <c r="AN576">
        <f>AM576-(AK576*(T576*(1+What_if_Analysis!$B$3)))</f>
        <v>-2758.5288000000037</v>
      </c>
    </row>
    <row r="577" spans="1:40" x14ac:dyDescent="0.3">
      <c r="A577" t="s">
        <v>589</v>
      </c>
      <c r="B577" s="3">
        <v>45042</v>
      </c>
      <c r="C577" s="3" t="str">
        <f t="shared" si="154"/>
        <v>Apr-2023</v>
      </c>
      <c r="D577" s="3" t="str">
        <f t="shared" si="155"/>
        <v>Q2-2023</v>
      </c>
      <c r="E577" s="3">
        <v>45042</v>
      </c>
      <c r="F577" s="3" t="str">
        <f t="shared" si="156"/>
        <v>Valid</v>
      </c>
      <c r="G577" s="12">
        <f t="shared" si="157"/>
        <v>0</v>
      </c>
      <c r="H577" s="3">
        <f t="shared" si="158"/>
        <v>45042</v>
      </c>
      <c r="I577" t="s">
        <v>649</v>
      </c>
      <c r="J577" t="str">
        <f t="shared" si="159"/>
        <v>Europe → France → Marseille</v>
      </c>
      <c r="K577" s="3" t="str">
        <f t="shared" si="160"/>
        <v>France-2023-04</v>
      </c>
      <c r="L577" t="s">
        <v>657</v>
      </c>
      <c r="M577" t="s">
        <v>673</v>
      </c>
      <c r="N577" t="s">
        <v>704</v>
      </c>
      <c r="O577" t="s">
        <v>711</v>
      </c>
      <c r="P577" t="s">
        <v>724</v>
      </c>
      <c r="Q577" t="s">
        <v>727</v>
      </c>
      <c r="R577" t="s">
        <v>1307</v>
      </c>
      <c r="S577" s="5">
        <v>81.489999999999995</v>
      </c>
      <c r="T577" s="5">
        <v>113.08</v>
      </c>
      <c r="U577" s="5" t="str">
        <f t="shared" si="161"/>
        <v>Valid</v>
      </c>
      <c r="V577" s="5">
        <f t="shared" si="152"/>
        <v>113.08</v>
      </c>
      <c r="W577" s="5" t="str">
        <f t="shared" si="162"/>
        <v>Low</v>
      </c>
      <c r="X577" s="5">
        <v>0.121</v>
      </c>
      <c r="Y577" s="5" t="str">
        <f t="shared" si="163"/>
        <v>Valid</v>
      </c>
      <c r="Z577" s="5">
        <f t="shared" si="164"/>
        <v>0.121</v>
      </c>
      <c r="AA577" s="5">
        <v>5</v>
      </c>
      <c r="AB577">
        <f t="shared" si="165"/>
        <v>496.98660000000001</v>
      </c>
      <c r="AC577">
        <f t="shared" si="153"/>
        <v>407.45</v>
      </c>
      <c r="AD577">
        <f t="shared" si="166"/>
        <v>89.536600000000021</v>
      </c>
      <c r="AE577">
        <f t="shared" si="167"/>
        <v>0.18015898215364362</v>
      </c>
      <c r="AF577">
        <f t="shared" si="168"/>
        <v>1</v>
      </c>
      <c r="AG577">
        <f t="shared" si="169"/>
        <v>0</v>
      </c>
      <c r="AK577">
        <f>AA577*(1+What_if_Analysis!$B$4)</f>
        <v>6</v>
      </c>
      <c r="AL577" s="5">
        <f>MIN(Z577,What_if_Analysis!$B$2)</f>
        <v>0.05</v>
      </c>
      <c r="AM577">
        <f t="shared" si="170"/>
        <v>644.55600000000004</v>
      </c>
      <c r="AN577">
        <f>AM577-(AK577*(T577*(1+What_if_Analysis!$B$3)))</f>
        <v>-101.77199999999993</v>
      </c>
    </row>
    <row r="578" spans="1:40" x14ac:dyDescent="0.3">
      <c r="A578" t="s">
        <v>590</v>
      </c>
      <c r="B578" s="3">
        <v>45872</v>
      </c>
      <c r="C578" s="3" t="str">
        <f t="shared" si="154"/>
        <v>Aug-2025</v>
      </c>
      <c r="D578" s="3" t="str">
        <f t="shared" si="155"/>
        <v>Q3-2025</v>
      </c>
      <c r="E578" s="3">
        <v>45885</v>
      </c>
      <c r="F578" s="3" t="str">
        <f t="shared" si="156"/>
        <v>Valid</v>
      </c>
      <c r="G578" s="12">
        <f t="shared" si="157"/>
        <v>13</v>
      </c>
      <c r="H578" s="3">
        <f t="shared" si="158"/>
        <v>45885</v>
      </c>
      <c r="I578" t="s">
        <v>648</v>
      </c>
      <c r="J578" t="str">
        <f t="shared" si="159"/>
        <v>Americas → Canada → Montreal</v>
      </c>
      <c r="K578" s="3" t="str">
        <f t="shared" si="160"/>
        <v>Canada-2025-08</v>
      </c>
      <c r="L578" t="s">
        <v>653</v>
      </c>
      <c r="M578" t="s">
        <v>681</v>
      </c>
      <c r="N578" t="s">
        <v>706</v>
      </c>
      <c r="O578" t="s">
        <v>710</v>
      </c>
      <c r="P578" t="s">
        <v>719</v>
      </c>
      <c r="Q578" t="s">
        <v>729</v>
      </c>
      <c r="R578" t="s">
        <v>1308</v>
      </c>
      <c r="S578" s="5">
        <v>698.66</v>
      </c>
      <c r="T578" s="5">
        <v>868.62</v>
      </c>
      <c r="U578" s="5" t="str">
        <f t="shared" si="161"/>
        <v>Valid</v>
      </c>
      <c r="V578" s="5">
        <f t="shared" ref="V578:V633" si="171">IF(T578&lt;0,AVERAGEIF($Q$2:$Q$633,Q578,$T$2:$T$633),T578)</f>
        <v>868.62</v>
      </c>
      <c r="W578" s="5" t="str">
        <f t="shared" si="162"/>
        <v>Medium</v>
      </c>
      <c r="X578" s="5">
        <v>7.1999999999999995E-2</v>
      </c>
      <c r="Y578" s="5" t="str">
        <f t="shared" si="163"/>
        <v>Valid</v>
      </c>
      <c r="Z578" s="5">
        <f t="shared" si="164"/>
        <v>7.1999999999999995E-2</v>
      </c>
      <c r="AA578" s="5">
        <v>15</v>
      </c>
      <c r="AB578">
        <f t="shared" si="165"/>
        <v>12091.190399999999</v>
      </c>
      <c r="AC578">
        <f t="shared" ref="AC578:AC633" si="172">S578*AA578</f>
        <v>10479.9</v>
      </c>
      <c r="AD578">
        <f t="shared" si="166"/>
        <v>1611.2903999999999</v>
      </c>
      <c r="AE578">
        <f t="shared" si="167"/>
        <v>0.13326151906432637</v>
      </c>
      <c r="AF578">
        <f t="shared" si="168"/>
        <v>0</v>
      </c>
      <c r="AG578">
        <f t="shared" si="169"/>
        <v>0</v>
      </c>
      <c r="AK578">
        <f>AA578*(1+What_if_Analysis!$B$4)</f>
        <v>18</v>
      </c>
      <c r="AL578" s="5">
        <f>MIN(Z578,What_if_Analysis!$B$2)</f>
        <v>0.05</v>
      </c>
      <c r="AM578">
        <f t="shared" si="170"/>
        <v>14853.402</v>
      </c>
      <c r="AN578">
        <f>AM578-(AK578*(T578*(1+What_if_Analysis!$B$3)))</f>
        <v>-2345.2740000000031</v>
      </c>
    </row>
    <row r="579" spans="1:40" x14ac:dyDescent="0.3">
      <c r="A579" t="s">
        <v>591</v>
      </c>
      <c r="B579" s="3">
        <v>45140</v>
      </c>
      <c r="C579" s="3" t="str">
        <f t="shared" ref="C579:C633" si="173">TEXT(B579,"mmm-yyyy")</f>
        <v>Aug-2023</v>
      </c>
      <c r="D579" s="3" t="str">
        <f t="shared" ref="D579:D633" si="174">"Q" &amp; ROUNDUP(MONTH(B579)/3,0) &amp; "-" &amp; YEAR(B579)</f>
        <v>Q3-2023</v>
      </c>
      <c r="E579" s="3">
        <v>45157</v>
      </c>
      <c r="F579" s="3" t="str">
        <f t="shared" ref="F579:F633" si="175">IF(E579&lt;B579,"Invalid RequiredDate","Valid")</f>
        <v>Valid</v>
      </c>
      <c r="G579" s="12">
        <f t="shared" ref="G579:G633" si="176">MEDIAN($E$2:$E$633-$B$2:$B$633)</f>
        <v>17</v>
      </c>
      <c r="H579" s="3">
        <f t="shared" ref="H579:H633" si="177">IF(E579&lt;B579,B579+$G$2,E579)</f>
        <v>45157</v>
      </c>
      <c r="I579" t="s">
        <v>648</v>
      </c>
      <c r="J579" t="str">
        <f t="shared" ref="J579:J633" si="178">I579 &amp; " → " &amp; L579 &amp; " → " &amp; M579</f>
        <v>Americas → Canada → Vancouver</v>
      </c>
      <c r="K579" s="3" t="str">
        <f t="shared" ref="K579:K633" si="179">L579 &amp; "-" &amp; TEXT(C579,"YYYY-MM")</f>
        <v>Canada-2023-08</v>
      </c>
      <c r="L579" t="s">
        <v>653</v>
      </c>
      <c r="M579" t="s">
        <v>688</v>
      </c>
      <c r="N579" t="s">
        <v>701</v>
      </c>
      <c r="O579" t="s">
        <v>708</v>
      </c>
      <c r="P579" t="s">
        <v>721</v>
      </c>
      <c r="Q579" t="s">
        <v>729</v>
      </c>
      <c r="R579" t="s">
        <v>1309</v>
      </c>
      <c r="S579" s="5">
        <v>175.38</v>
      </c>
      <c r="T579" s="5">
        <v>347.9</v>
      </c>
      <c r="U579" s="5" t="str">
        <f t="shared" ref="U579:U633" si="180">IF(T579&lt;0,"Invalid Price","Valid")</f>
        <v>Valid</v>
      </c>
      <c r="V579" s="5">
        <f t="shared" si="171"/>
        <v>347.9</v>
      </c>
      <c r="W579" s="5" t="str">
        <f t="shared" ref="W579:W633" si="181">IF(V579&lt;=616.86,"Low",IF(V579&lt;1912.05,"Medium","High"))</f>
        <v>Low</v>
      </c>
      <c r="X579" s="5">
        <v>7.1999999999999995E-2</v>
      </c>
      <c r="Y579" s="5" t="str">
        <f t="shared" ref="Y579:Y633" si="182">IF(X579&gt;30%,"High Discount","Valid")</f>
        <v>Valid</v>
      </c>
      <c r="Z579" s="5">
        <f t="shared" ref="Z579:Z633" si="183">IF(X579&gt;30%,30%,X579)</f>
        <v>7.1999999999999995E-2</v>
      </c>
      <c r="AA579" s="5">
        <v>43</v>
      </c>
      <c r="AB579">
        <f t="shared" ref="AB579:AB633" si="184">V579 * AA579 * (1 - Z579)</f>
        <v>13882.6016</v>
      </c>
      <c r="AC579">
        <f t="shared" si="172"/>
        <v>7541.34</v>
      </c>
      <c r="AD579">
        <f t="shared" ref="AD579:AD633" si="185">AB579-AC579</f>
        <v>6341.2615999999998</v>
      </c>
      <c r="AE579">
        <f t="shared" ref="AE579:AE633" si="186">IF(AB579=0, 0, AD579 / AB579)</f>
        <v>0.45677761148169804</v>
      </c>
      <c r="AF579">
        <f t="shared" ref="AF579:AF633" si="187">IF(G579&lt;=7,1,0)</f>
        <v>0</v>
      </c>
      <c r="AG579">
        <f t="shared" ref="AG579:AG633" si="188">IF(Z579&gt;20%,1,0)</f>
        <v>0</v>
      </c>
      <c r="AK579">
        <f>AA579*(1+What_if_Analysis!$B$4)</f>
        <v>51.6</v>
      </c>
      <c r="AL579" s="5">
        <f>MIN(Z579,What_if_Analysis!$B$2)</f>
        <v>0.05</v>
      </c>
      <c r="AM579">
        <f t="shared" ref="AM579:AM633" si="189">AK579*V579*(1-AL579)</f>
        <v>17054.057999999997</v>
      </c>
      <c r="AN579">
        <f>AM579-(AK579*(T579*(1+What_if_Analysis!$B$3)))</f>
        <v>-2692.7460000000028</v>
      </c>
    </row>
    <row r="580" spans="1:40" x14ac:dyDescent="0.3">
      <c r="A580" t="s">
        <v>592</v>
      </c>
      <c r="B580" s="3">
        <v>45092</v>
      </c>
      <c r="C580" s="3" t="str">
        <f t="shared" si="173"/>
        <v>Jun-2023</v>
      </c>
      <c r="D580" s="3" t="str">
        <f t="shared" si="174"/>
        <v>Q2-2023</v>
      </c>
      <c r="E580" s="3">
        <v>45119</v>
      </c>
      <c r="F580" s="3" t="str">
        <f t="shared" si="175"/>
        <v>Valid</v>
      </c>
      <c r="G580" s="12">
        <f t="shared" si="176"/>
        <v>27</v>
      </c>
      <c r="H580" s="3">
        <f t="shared" si="177"/>
        <v>45119</v>
      </c>
      <c r="I580" t="s">
        <v>649</v>
      </c>
      <c r="J580" t="str">
        <f t="shared" si="178"/>
        <v>Europe → United Kingdom → Manchester</v>
      </c>
      <c r="K580" s="3" t="str">
        <f t="shared" si="179"/>
        <v>United Kingdom-2023-06</v>
      </c>
      <c r="L580" t="s">
        <v>658</v>
      </c>
      <c r="M580" t="s">
        <v>693</v>
      </c>
      <c r="N580" t="s">
        <v>704</v>
      </c>
      <c r="O580" t="s">
        <v>711</v>
      </c>
      <c r="P580" t="s">
        <v>714</v>
      </c>
      <c r="Q580" t="s">
        <v>733</v>
      </c>
      <c r="R580" t="s">
        <v>1310</v>
      </c>
      <c r="S580" s="5">
        <v>751.28</v>
      </c>
      <c r="T580" s="5">
        <v>1111.8800000000001</v>
      </c>
      <c r="U580" s="5" t="str">
        <f t="shared" si="180"/>
        <v>Valid</v>
      </c>
      <c r="V580" s="5">
        <f t="shared" si="171"/>
        <v>1111.8800000000001</v>
      </c>
      <c r="W580" s="5" t="str">
        <f t="shared" si="181"/>
        <v>Medium</v>
      </c>
      <c r="X580" s="5">
        <v>0.13500000000000001</v>
      </c>
      <c r="Y580" s="5" t="str">
        <f t="shared" si="182"/>
        <v>Valid</v>
      </c>
      <c r="Z580" s="5">
        <f t="shared" si="183"/>
        <v>0.13500000000000001</v>
      </c>
      <c r="AA580" s="5">
        <v>7</v>
      </c>
      <c r="AB580">
        <f t="shared" si="184"/>
        <v>6732.4334000000008</v>
      </c>
      <c r="AC580">
        <f t="shared" si="172"/>
        <v>5258.96</v>
      </c>
      <c r="AD580">
        <f t="shared" si="185"/>
        <v>1473.4734000000008</v>
      </c>
      <c r="AE580">
        <f t="shared" si="186"/>
        <v>0.21886193482433863</v>
      </c>
      <c r="AF580">
        <f t="shared" si="187"/>
        <v>0</v>
      </c>
      <c r="AG580">
        <f t="shared" si="188"/>
        <v>0</v>
      </c>
      <c r="AK580">
        <f>AA580*(1+What_if_Analysis!$B$4)</f>
        <v>8.4</v>
      </c>
      <c r="AL580" s="5">
        <f>MIN(Z580,What_if_Analysis!$B$2)</f>
        <v>0.05</v>
      </c>
      <c r="AM580">
        <f t="shared" si="189"/>
        <v>8872.8024000000005</v>
      </c>
      <c r="AN580">
        <f>AM580-(AK580*(T580*(1+What_if_Analysis!$B$3)))</f>
        <v>-1400.9688000000024</v>
      </c>
    </row>
    <row r="581" spans="1:40" x14ac:dyDescent="0.3">
      <c r="A581" t="s">
        <v>593</v>
      </c>
      <c r="B581" s="3">
        <v>45607</v>
      </c>
      <c r="C581" s="3" t="str">
        <f t="shared" si="173"/>
        <v>Nov-2024</v>
      </c>
      <c r="D581" s="3" t="str">
        <f t="shared" si="174"/>
        <v>Q4-2024</v>
      </c>
      <c r="E581" s="3">
        <v>45620</v>
      </c>
      <c r="F581" s="3" t="str">
        <f t="shared" si="175"/>
        <v>Valid</v>
      </c>
      <c r="G581" s="12">
        <f t="shared" si="176"/>
        <v>13</v>
      </c>
      <c r="H581" s="3">
        <f t="shared" si="177"/>
        <v>45620</v>
      </c>
      <c r="I581" t="s">
        <v>649</v>
      </c>
      <c r="J581" t="str">
        <f t="shared" si="178"/>
        <v>Europe → United Kingdom → London</v>
      </c>
      <c r="K581" s="3" t="str">
        <f t="shared" si="179"/>
        <v>United Kingdom-2024-11</v>
      </c>
      <c r="L581" t="s">
        <v>658</v>
      </c>
      <c r="M581" t="s">
        <v>683</v>
      </c>
      <c r="N581" t="s">
        <v>701</v>
      </c>
      <c r="O581" t="s">
        <v>707</v>
      </c>
      <c r="P581" t="s">
        <v>718</v>
      </c>
      <c r="Q581" t="s">
        <v>729</v>
      </c>
      <c r="R581" t="s">
        <v>1311</v>
      </c>
      <c r="S581" s="5">
        <v>164.53</v>
      </c>
      <c r="T581" s="5">
        <v>327.72</v>
      </c>
      <c r="U581" s="5" t="str">
        <f t="shared" si="180"/>
        <v>Valid</v>
      </c>
      <c r="V581" s="5">
        <f t="shared" si="171"/>
        <v>327.72</v>
      </c>
      <c r="W581" s="5" t="str">
        <f t="shared" si="181"/>
        <v>Low</v>
      </c>
      <c r="X581" s="5">
        <v>6.7000000000000004E-2</v>
      </c>
      <c r="Y581" s="5" t="str">
        <f t="shared" si="182"/>
        <v>Valid</v>
      </c>
      <c r="Z581" s="5">
        <f t="shared" si="183"/>
        <v>6.7000000000000004E-2</v>
      </c>
      <c r="AA581" s="5">
        <v>14</v>
      </c>
      <c r="AB581">
        <f t="shared" si="184"/>
        <v>4280.6786400000001</v>
      </c>
      <c r="AC581">
        <f t="shared" si="172"/>
        <v>2303.42</v>
      </c>
      <c r="AD581">
        <f t="shared" si="185"/>
        <v>1977.25864</v>
      </c>
      <c r="AE581">
        <f t="shared" si="186"/>
        <v>0.46190307805960412</v>
      </c>
      <c r="AF581">
        <f t="shared" si="187"/>
        <v>0</v>
      </c>
      <c r="AG581">
        <f t="shared" si="188"/>
        <v>0</v>
      </c>
      <c r="AK581">
        <f>AA581*(1+What_if_Analysis!$B$4)</f>
        <v>16.8</v>
      </c>
      <c r="AL581" s="5">
        <f>MIN(Z581,What_if_Analysis!$B$2)</f>
        <v>0.05</v>
      </c>
      <c r="AM581">
        <f t="shared" si="189"/>
        <v>5230.4112000000005</v>
      </c>
      <c r="AN581">
        <f>AM581-(AK581*(T581*(1+What_if_Analysis!$B$3)))</f>
        <v>-825.85440000000108</v>
      </c>
    </row>
    <row r="582" spans="1:40" x14ac:dyDescent="0.3">
      <c r="A582" t="s">
        <v>594</v>
      </c>
      <c r="B582" s="3">
        <v>45849</v>
      </c>
      <c r="C582" s="3" t="str">
        <f t="shared" si="173"/>
        <v>Jul-2025</v>
      </c>
      <c r="D582" s="3" t="str">
        <f t="shared" si="174"/>
        <v>Q3-2025</v>
      </c>
      <c r="E582" s="3">
        <v>45872</v>
      </c>
      <c r="F582" s="3" t="str">
        <f t="shared" si="175"/>
        <v>Valid</v>
      </c>
      <c r="G582" s="12">
        <f t="shared" si="176"/>
        <v>23</v>
      </c>
      <c r="H582" s="3">
        <f t="shared" si="177"/>
        <v>45872</v>
      </c>
      <c r="I582" t="s">
        <v>646</v>
      </c>
      <c r="J582" t="str">
        <f t="shared" si="178"/>
        <v>Africa → Kenya → Nakuru</v>
      </c>
      <c r="K582" s="3" t="str">
        <f t="shared" si="179"/>
        <v>Kenya-2025-07</v>
      </c>
      <c r="L582" t="s">
        <v>650</v>
      </c>
      <c r="M582" t="s">
        <v>678</v>
      </c>
      <c r="N582" t="s">
        <v>705</v>
      </c>
      <c r="O582" t="s">
        <v>707</v>
      </c>
      <c r="P582" t="s">
        <v>712</v>
      </c>
      <c r="Q582" t="s">
        <v>730</v>
      </c>
      <c r="R582" t="s">
        <v>1312</v>
      </c>
      <c r="S582" s="5">
        <v>389.93</v>
      </c>
      <c r="T582" s="5">
        <v>486.13</v>
      </c>
      <c r="U582" s="5" t="str">
        <f t="shared" si="180"/>
        <v>Valid</v>
      </c>
      <c r="V582" s="5">
        <f t="shared" si="171"/>
        <v>486.13</v>
      </c>
      <c r="W582" s="5" t="str">
        <f t="shared" si="181"/>
        <v>Low</v>
      </c>
      <c r="X582" s="5">
        <v>0.13200000000000001</v>
      </c>
      <c r="Y582" s="5" t="str">
        <f t="shared" si="182"/>
        <v>Valid</v>
      </c>
      <c r="Z582" s="5">
        <f t="shared" si="183"/>
        <v>0.13200000000000001</v>
      </c>
      <c r="AA582" s="5">
        <v>17</v>
      </c>
      <c r="AB582">
        <f t="shared" si="184"/>
        <v>7173.3342799999991</v>
      </c>
      <c r="AC582">
        <f t="shared" si="172"/>
        <v>6628.81</v>
      </c>
      <c r="AD582">
        <f t="shared" si="185"/>
        <v>544.52427999999873</v>
      </c>
      <c r="AE582">
        <f t="shared" si="186"/>
        <v>7.5909508569562828E-2</v>
      </c>
      <c r="AF582">
        <f t="shared" si="187"/>
        <v>0</v>
      </c>
      <c r="AG582">
        <f t="shared" si="188"/>
        <v>0</v>
      </c>
      <c r="AK582">
        <f>AA582*(1+What_if_Analysis!$B$4)</f>
        <v>20.399999999999999</v>
      </c>
      <c r="AL582" s="5">
        <f>MIN(Z582,What_if_Analysis!$B$2)</f>
        <v>0.05</v>
      </c>
      <c r="AM582">
        <f t="shared" si="189"/>
        <v>9421.1993999999995</v>
      </c>
      <c r="AN582">
        <f>AM582-(AK582*(T582*(1+What_if_Analysis!$B$3)))</f>
        <v>-1487.5578000000005</v>
      </c>
    </row>
    <row r="583" spans="1:40" x14ac:dyDescent="0.3">
      <c r="A583" t="s">
        <v>595</v>
      </c>
      <c r="B583" s="3">
        <v>45080</v>
      </c>
      <c r="C583" s="3" t="str">
        <f t="shared" si="173"/>
        <v>Jun-2023</v>
      </c>
      <c r="D583" s="3" t="str">
        <f t="shared" si="174"/>
        <v>Q2-2023</v>
      </c>
      <c r="E583" s="3">
        <v>45108</v>
      </c>
      <c r="F583" s="3" t="str">
        <f t="shared" si="175"/>
        <v>Valid</v>
      </c>
      <c r="G583" s="12">
        <f t="shared" si="176"/>
        <v>28</v>
      </c>
      <c r="H583" s="3">
        <f t="shared" si="177"/>
        <v>45108</v>
      </c>
      <c r="I583" t="s">
        <v>648</v>
      </c>
      <c r="J583" t="str">
        <f t="shared" si="178"/>
        <v>Americas → Brazil → Brasília</v>
      </c>
      <c r="K583" s="3" t="str">
        <f t="shared" si="179"/>
        <v>Brazil-2023-06</v>
      </c>
      <c r="L583" t="s">
        <v>655</v>
      </c>
      <c r="M583" t="s">
        <v>672</v>
      </c>
      <c r="N583" t="s">
        <v>705</v>
      </c>
      <c r="O583" t="s">
        <v>709</v>
      </c>
      <c r="P583" t="s">
        <v>720</v>
      </c>
      <c r="Q583" t="s">
        <v>727</v>
      </c>
      <c r="R583" t="s">
        <v>1313</v>
      </c>
      <c r="S583" s="5">
        <v>860.4</v>
      </c>
      <c r="T583" s="5">
        <v>2066.6</v>
      </c>
      <c r="U583" s="5" t="str">
        <f t="shared" si="180"/>
        <v>Valid</v>
      </c>
      <c r="V583" s="5">
        <f t="shared" si="171"/>
        <v>2066.6</v>
      </c>
      <c r="W583" s="5" t="str">
        <f t="shared" si="181"/>
        <v>High</v>
      </c>
      <c r="X583" s="5">
        <v>0.01</v>
      </c>
      <c r="Y583" s="5" t="str">
        <f t="shared" si="182"/>
        <v>Valid</v>
      </c>
      <c r="Z583" s="5">
        <f t="shared" si="183"/>
        <v>0.01</v>
      </c>
      <c r="AA583" s="5">
        <v>3</v>
      </c>
      <c r="AB583">
        <f t="shared" si="184"/>
        <v>6137.8019999999988</v>
      </c>
      <c r="AC583">
        <f t="shared" si="172"/>
        <v>2581.1999999999998</v>
      </c>
      <c r="AD583">
        <f t="shared" si="185"/>
        <v>3556.601999999999</v>
      </c>
      <c r="AE583">
        <f t="shared" si="186"/>
        <v>0.57945857491004105</v>
      </c>
      <c r="AF583">
        <f t="shared" si="187"/>
        <v>0</v>
      </c>
      <c r="AG583">
        <f t="shared" si="188"/>
        <v>0</v>
      </c>
      <c r="AK583">
        <f>AA583*(1+What_if_Analysis!$B$4)</f>
        <v>3.5999999999999996</v>
      </c>
      <c r="AL583" s="5">
        <f>MIN(Z583,What_if_Analysis!$B$2)</f>
        <v>0.01</v>
      </c>
      <c r="AM583">
        <f t="shared" si="189"/>
        <v>7365.3623999999991</v>
      </c>
      <c r="AN583">
        <f>AM583-(AK583*(T583*(1+What_if_Analysis!$B$3)))</f>
        <v>-818.37360000000081</v>
      </c>
    </row>
    <row r="584" spans="1:40" x14ac:dyDescent="0.3">
      <c r="A584" t="s">
        <v>596</v>
      </c>
      <c r="B584" s="3">
        <v>44955</v>
      </c>
      <c r="C584" s="3" t="str">
        <f t="shared" si="173"/>
        <v>Jan-2023</v>
      </c>
      <c r="D584" s="3" t="str">
        <f t="shared" si="174"/>
        <v>Q1-2023</v>
      </c>
      <c r="E584" s="3">
        <v>44963</v>
      </c>
      <c r="F584" s="3" t="str">
        <f t="shared" si="175"/>
        <v>Valid</v>
      </c>
      <c r="G584" s="12">
        <f t="shared" si="176"/>
        <v>8</v>
      </c>
      <c r="H584" s="3">
        <f t="shared" si="177"/>
        <v>44963</v>
      </c>
      <c r="I584" t="s">
        <v>648</v>
      </c>
      <c r="J584" t="str">
        <f t="shared" si="178"/>
        <v>Americas → Brazil → Brasília</v>
      </c>
      <c r="K584" s="3" t="str">
        <f t="shared" si="179"/>
        <v>Brazil-2023-01</v>
      </c>
      <c r="L584" t="s">
        <v>655</v>
      </c>
      <c r="M584" t="s">
        <v>672</v>
      </c>
      <c r="N584" t="s">
        <v>701</v>
      </c>
      <c r="O584" t="s">
        <v>709</v>
      </c>
      <c r="P584" t="s">
        <v>726</v>
      </c>
      <c r="Q584" t="s">
        <v>732</v>
      </c>
      <c r="R584" t="s">
        <v>1314</v>
      </c>
      <c r="S584" s="5">
        <v>41.84</v>
      </c>
      <c r="T584" s="5">
        <v>86.2</v>
      </c>
      <c r="U584" s="5" t="str">
        <f t="shared" si="180"/>
        <v>Valid</v>
      </c>
      <c r="V584" s="5">
        <f t="shared" si="171"/>
        <v>86.2</v>
      </c>
      <c r="W584" s="5" t="str">
        <f t="shared" si="181"/>
        <v>Low</v>
      </c>
      <c r="X584" s="5">
        <v>0.22600000000000001</v>
      </c>
      <c r="Y584" s="5" t="str">
        <f t="shared" si="182"/>
        <v>Valid</v>
      </c>
      <c r="Z584" s="5">
        <f t="shared" si="183"/>
        <v>0.22600000000000001</v>
      </c>
      <c r="AA584" s="5">
        <v>27</v>
      </c>
      <c r="AB584">
        <f t="shared" si="184"/>
        <v>1801.4076000000002</v>
      </c>
      <c r="AC584">
        <f t="shared" si="172"/>
        <v>1129.68</v>
      </c>
      <c r="AD584">
        <f t="shared" si="185"/>
        <v>671.72760000000017</v>
      </c>
      <c r="AE584">
        <f t="shared" si="186"/>
        <v>0.37289039970742882</v>
      </c>
      <c r="AF584">
        <f t="shared" si="187"/>
        <v>0</v>
      </c>
      <c r="AG584">
        <f t="shared" si="188"/>
        <v>1</v>
      </c>
      <c r="AK584">
        <f>AA584*(1+What_if_Analysis!$B$4)</f>
        <v>32.4</v>
      </c>
      <c r="AL584" s="5">
        <f>MIN(Z584,What_if_Analysis!$B$2)</f>
        <v>0.05</v>
      </c>
      <c r="AM584">
        <f t="shared" si="189"/>
        <v>2653.2359999999999</v>
      </c>
      <c r="AN584">
        <f>AM584-(AK584*(T584*(1+What_if_Analysis!$B$3)))</f>
        <v>-418.93200000000024</v>
      </c>
    </row>
    <row r="585" spans="1:40" x14ac:dyDescent="0.3">
      <c r="A585" t="s">
        <v>597</v>
      </c>
      <c r="B585" s="3">
        <v>45541</v>
      </c>
      <c r="C585" s="3" t="str">
        <f t="shared" si="173"/>
        <v>Sept-2024</v>
      </c>
      <c r="D585" s="3" t="str">
        <f t="shared" si="174"/>
        <v>Q3-2024</v>
      </c>
      <c r="E585" s="3">
        <v>45539</v>
      </c>
      <c r="F585" s="3" t="str">
        <f t="shared" si="175"/>
        <v>Invalid RequiredDate</v>
      </c>
      <c r="G585" s="12">
        <f t="shared" si="176"/>
        <v>-2</v>
      </c>
      <c r="H585" s="3">
        <f t="shared" si="177"/>
        <v>45567</v>
      </c>
      <c r="I585" t="s">
        <v>647</v>
      </c>
      <c r="J585" t="str">
        <f t="shared" si="178"/>
        <v>Asia → Japan → Osaka</v>
      </c>
      <c r="K585" s="3" t="str">
        <f t="shared" si="179"/>
        <v>Japan-2024-09</v>
      </c>
      <c r="L585" t="s">
        <v>652</v>
      </c>
      <c r="M585" t="s">
        <v>666</v>
      </c>
      <c r="N585" t="s">
        <v>701</v>
      </c>
      <c r="O585" t="s">
        <v>711</v>
      </c>
      <c r="P585" t="s">
        <v>720</v>
      </c>
      <c r="Q585" t="s">
        <v>731</v>
      </c>
      <c r="R585" t="s">
        <v>1315</v>
      </c>
      <c r="S585" s="5">
        <v>1368.17</v>
      </c>
      <c r="T585" s="5">
        <v>2307.75</v>
      </c>
      <c r="U585" s="5" t="str">
        <f t="shared" si="180"/>
        <v>Valid</v>
      </c>
      <c r="V585" s="5">
        <f t="shared" si="171"/>
        <v>2307.75</v>
      </c>
      <c r="W585" s="5" t="str">
        <f t="shared" si="181"/>
        <v>High</v>
      </c>
      <c r="X585" s="5">
        <v>0.16300000000000001</v>
      </c>
      <c r="Y585" s="5" t="str">
        <f t="shared" si="182"/>
        <v>Valid</v>
      </c>
      <c r="Z585" s="5">
        <f t="shared" si="183"/>
        <v>0.16300000000000001</v>
      </c>
      <c r="AA585" s="5">
        <v>21</v>
      </c>
      <c r="AB585">
        <f t="shared" si="184"/>
        <v>40563.321749999996</v>
      </c>
      <c r="AC585">
        <f t="shared" si="172"/>
        <v>28731.57</v>
      </c>
      <c r="AD585">
        <f t="shared" si="185"/>
        <v>11831.751749999996</v>
      </c>
      <c r="AE585">
        <f t="shared" si="186"/>
        <v>0.29168596750831921</v>
      </c>
      <c r="AF585">
        <f t="shared" si="187"/>
        <v>1</v>
      </c>
      <c r="AG585">
        <f t="shared" si="188"/>
        <v>0</v>
      </c>
      <c r="AK585">
        <f>AA585*(1+What_if_Analysis!$B$4)</f>
        <v>25.2</v>
      </c>
      <c r="AL585" s="5">
        <f>MIN(Z585,What_if_Analysis!$B$2)</f>
        <v>0.05</v>
      </c>
      <c r="AM585">
        <f t="shared" si="189"/>
        <v>55247.534999999996</v>
      </c>
      <c r="AN585">
        <f>AM585-(AK585*(T585*(1+What_if_Analysis!$B$3)))</f>
        <v>-8723.2950000000055</v>
      </c>
    </row>
    <row r="586" spans="1:40" x14ac:dyDescent="0.3">
      <c r="A586" t="s">
        <v>598</v>
      </c>
      <c r="B586" s="3">
        <v>45507</v>
      </c>
      <c r="C586" s="3" t="str">
        <f t="shared" si="173"/>
        <v>Aug-2024</v>
      </c>
      <c r="D586" s="3" t="str">
        <f t="shared" si="174"/>
        <v>Q3-2024</v>
      </c>
      <c r="E586" s="3">
        <v>45513</v>
      </c>
      <c r="F586" s="3" t="str">
        <f t="shared" si="175"/>
        <v>Valid</v>
      </c>
      <c r="G586" s="12">
        <f t="shared" si="176"/>
        <v>6</v>
      </c>
      <c r="H586" s="3">
        <f t="shared" si="177"/>
        <v>45513</v>
      </c>
      <c r="I586" t="s">
        <v>646</v>
      </c>
      <c r="J586" t="str">
        <f t="shared" si="178"/>
        <v>Africa → Kenya → Mombasa</v>
      </c>
      <c r="K586" s="3" t="str">
        <f t="shared" si="179"/>
        <v>Kenya-2024-08</v>
      </c>
      <c r="L586" t="s">
        <v>650</v>
      </c>
      <c r="M586" t="s">
        <v>675</v>
      </c>
      <c r="N586" t="s">
        <v>704</v>
      </c>
      <c r="O586" t="s">
        <v>709</v>
      </c>
      <c r="P586" t="s">
        <v>722</v>
      </c>
      <c r="Q586" t="s">
        <v>731</v>
      </c>
      <c r="R586" t="s">
        <v>1316</v>
      </c>
      <c r="S586" s="5">
        <v>643.21</v>
      </c>
      <c r="T586" s="5">
        <v>1112.81</v>
      </c>
      <c r="U586" s="5" t="str">
        <f t="shared" si="180"/>
        <v>Valid</v>
      </c>
      <c r="V586" s="5">
        <f t="shared" si="171"/>
        <v>1112.81</v>
      </c>
      <c r="W586" s="5" t="str">
        <f t="shared" si="181"/>
        <v>Medium</v>
      </c>
      <c r="X586" s="5">
        <v>0.14099999999999999</v>
      </c>
      <c r="Y586" s="5" t="str">
        <f t="shared" si="182"/>
        <v>Valid</v>
      </c>
      <c r="Z586" s="5">
        <f t="shared" si="183"/>
        <v>0.14099999999999999</v>
      </c>
      <c r="AA586" s="5">
        <v>4</v>
      </c>
      <c r="AB586">
        <f t="shared" si="184"/>
        <v>3823.6151599999998</v>
      </c>
      <c r="AC586">
        <f t="shared" si="172"/>
        <v>2572.84</v>
      </c>
      <c r="AD586">
        <f t="shared" si="185"/>
        <v>1250.7751599999997</v>
      </c>
      <c r="AE586">
        <f t="shared" si="186"/>
        <v>0.32711847496702562</v>
      </c>
      <c r="AF586">
        <f t="shared" si="187"/>
        <v>1</v>
      </c>
      <c r="AG586">
        <f t="shared" si="188"/>
        <v>0</v>
      </c>
      <c r="AK586">
        <f>AA586*(1+What_if_Analysis!$B$4)</f>
        <v>4.8</v>
      </c>
      <c r="AL586" s="5">
        <f>MIN(Z586,What_if_Analysis!$B$2)</f>
        <v>0.05</v>
      </c>
      <c r="AM586">
        <f t="shared" si="189"/>
        <v>5074.413599999999</v>
      </c>
      <c r="AN586">
        <f>AM586-(AK586*(T586*(1+What_if_Analysis!$B$3)))</f>
        <v>-801.22320000000127</v>
      </c>
    </row>
    <row r="587" spans="1:40" x14ac:dyDescent="0.3">
      <c r="A587" t="s">
        <v>599</v>
      </c>
      <c r="B587" s="3">
        <v>45764</v>
      </c>
      <c r="C587" s="3" t="str">
        <f t="shared" si="173"/>
        <v>Apr-2025</v>
      </c>
      <c r="D587" s="3" t="str">
        <f t="shared" si="174"/>
        <v>Q2-2025</v>
      </c>
      <c r="E587" s="3">
        <v>45764</v>
      </c>
      <c r="F587" s="3" t="str">
        <f t="shared" si="175"/>
        <v>Valid</v>
      </c>
      <c r="G587" s="12">
        <f t="shared" si="176"/>
        <v>0</v>
      </c>
      <c r="H587" s="3">
        <f t="shared" si="177"/>
        <v>45764</v>
      </c>
      <c r="I587" t="s">
        <v>648</v>
      </c>
      <c r="J587" t="str">
        <f t="shared" si="178"/>
        <v>Americas → Brazil → São Paulo</v>
      </c>
      <c r="K587" s="3" t="str">
        <f t="shared" si="179"/>
        <v>Brazil-2025-04</v>
      </c>
      <c r="L587" t="s">
        <v>655</v>
      </c>
      <c r="M587" t="s">
        <v>670</v>
      </c>
      <c r="N587" t="s">
        <v>701</v>
      </c>
      <c r="O587" t="s">
        <v>710</v>
      </c>
      <c r="P587" t="s">
        <v>716</v>
      </c>
      <c r="Q587" t="s">
        <v>730</v>
      </c>
      <c r="R587" t="s">
        <v>1317</v>
      </c>
      <c r="S587" s="5">
        <v>719.41</v>
      </c>
      <c r="T587" s="5">
        <v>1125.99</v>
      </c>
      <c r="U587" s="5" t="str">
        <f t="shared" si="180"/>
        <v>Valid</v>
      </c>
      <c r="V587" s="5">
        <f t="shared" si="171"/>
        <v>1125.99</v>
      </c>
      <c r="W587" s="5" t="str">
        <f t="shared" si="181"/>
        <v>Medium</v>
      </c>
      <c r="X587" s="5">
        <v>4.1000000000000002E-2</v>
      </c>
      <c r="Y587" s="5" t="str">
        <f t="shared" si="182"/>
        <v>Valid</v>
      </c>
      <c r="Z587" s="5">
        <f t="shared" si="183"/>
        <v>4.1000000000000002E-2</v>
      </c>
      <c r="AA587" s="5">
        <v>21</v>
      </c>
      <c r="AB587">
        <f t="shared" si="184"/>
        <v>22676.312610000001</v>
      </c>
      <c r="AC587">
        <f t="shared" si="172"/>
        <v>15107.609999999999</v>
      </c>
      <c r="AD587">
        <f t="shared" si="185"/>
        <v>7568.7026100000021</v>
      </c>
      <c r="AE587">
        <f t="shared" si="186"/>
        <v>0.33377131194876403</v>
      </c>
      <c r="AF587">
        <f t="shared" si="187"/>
        <v>1</v>
      </c>
      <c r="AG587">
        <f t="shared" si="188"/>
        <v>0</v>
      </c>
      <c r="AK587">
        <f>AA587*(1+What_if_Analysis!$B$4)</f>
        <v>25.2</v>
      </c>
      <c r="AL587" s="5">
        <f>MIN(Z587,What_if_Analysis!$B$2)</f>
        <v>4.1000000000000002E-2</v>
      </c>
      <c r="AM587">
        <f t="shared" si="189"/>
        <v>27211.575131999998</v>
      </c>
      <c r="AN587">
        <f>AM587-(AK587*(T587*(1+What_if_Analysis!$B$3)))</f>
        <v>-4000.8676680000062</v>
      </c>
    </row>
    <row r="588" spans="1:40" x14ac:dyDescent="0.3">
      <c r="A588" t="s">
        <v>600</v>
      </c>
      <c r="B588" s="3">
        <v>45049</v>
      </c>
      <c r="C588" s="3" t="str">
        <f t="shared" si="173"/>
        <v>May-2023</v>
      </c>
      <c r="D588" s="3" t="str">
        <f t="shared" si="174"/>
        <v>Q2-2023</v>
      </c>
      <c r="E588" s="3">
        <v>45062</v>
      </c>
      <c r="F588" s="3" t="str">
        <f t="shared" si="175"/>
        <v>Valid</v>
      </c>
      <c r="G588" s="12">
        <f t="shared" si="176"/>
        <v>13</v>
      </c>
      <c r="H588" s="3">
        <f t="shared" si="177"/>
        <v>45062</v>
      </c>
      <c r="I588" t="s">
        <v>648</v>
      </c>
      <c r="J588" t="str">
        <f t="shared" si="178"/>
        <v>Americas → USA → New York</v>
      </c>
      <c r="K588" s="3" t="str">
        <f t="shared" si="179"/>
        <v>USA-2023-05</v>
      </c>
      <c r="L588" t="s">
        <v>660</v>
      </c>
      <c r="M588" t="s">
        <v>700</v>
      </c>
      <c r="N588" t="s">
        <v>701</v>
      </c>
      <c r="O588" t="s">
        <v>709</v>
      </c>
      <c r="P588" t="s">
        <v>716</v>
      </c>
      <c r="Q588" t="s">
        <v>730</v>
      </c>
      <c r="R588" t="s">
        <v>1318</v>
      </c>
      <c r="S588" s="5">
        <v>64.5</v>
      </c>
      <c r="T588" s="5">
        <v>123.62</v>
      </c>
      <c r="U588" s="5" t="str">
        <f t="shared" si="180"/>
        <v>Valid</v>
      </c>
      <c r="V588" s="5">
        <f t="shared" si="171"/>
        <v>123.62</v>
      </c>
      <c r="W588" s="5" t="str">
        <f t="shared" si="181"/>
        <v>Low</v>
      </c>
      <c r="X588" s="5">
        <v>0</v>
      </c>
      <c r="Y588" s="5" t="str">
        <f t="shared" si="182"/>
        <v>Valid</v>
      </c>
      <c r="Z588" s="5">
        <f t="shared" si="183"/>
        <v>0</v>
      </c>
      <c r="AA588" s="5">
        <v>3</v>
      </c>
      <c r="AB588">
        <f t="shared" si="184"/>
        <v>370.86</v>
      </c>
      <c r="AC588">
        <f t="shared" si="172"/>
        <v>193.5</v>
      </c>
      <c r="AD588">
        <f t="shared" si="185"/>
        <v>177.36</v>
      </c>
      <c r="AE588">
        <f t="shared" si="186"/>
        <v>0.47823976702798904</v>
      </c>
      <c r="AF588">
        <f t="shared" si="187"/>
        <v>0</v>
      </c>
      <c r="AG588">
        <f t="shared" si="188"/>
        <v>0</v>
      </c>
      <c r="AK588">
        <f>AA588*(1+What_if_Analysis!$B$4)</f>
        <v>3.5999999999999996</v>
      </c>
      <c r="AL588" s="5">
        <f>MIN(Z588,What_if_Analysis!$B$2)</f>
        <v>0</v>
      </c>
      <c r="AM588">
        <f t="shared" si="189"/>
        <v>445.03199999999998</v>
      </c>
      <c r="AN588">
        <f>AM588-(AK588*(T588*(1+What_if_Analysis!$B$3)))</f>
        <v>-44.503200000000049</v>
      </c>
    </row>
    <row r="589" spans="1:40" x14ac:dyDescent="0.3">
      <c r="A589" t="s">
        <v>601</v>
      </c>
      <c r="B589" s="3">
        <v>45364</v>
      </c>
      <c r="C589" s="3" t="str">
        <f t="shared" si="173"/>
        <v>Mar-2024</v>
      </c>
      <c r="D589" s="3" t="str">
        <f t="shared" si="174"/>
        <v>Q1-2024</v>
      </c>
      <c r="E589" s="3">
        <v>45388</v>
      </c>
      <c r="F589" s="3" t="str">
        <f t="shared" si="175"/>
        <v>Valid</v>
      </c>
      <c r="G589" s="12">
        <f t="shared" si="176"/>
        <v>24</v>
      </c>
      <c r="H589" s="3">
        <f t="shared" si="177"/>
        <v>45388</v>
      </c>
      <c r="I589" t="s">
        <v>646</v>
      </c>
      <c r="J589" t="str">
        <f t="shared" si="178"/>
        <v>Africa → Nigeria → Abuja</v>
      </c>
      <c r="K589" s="3" t="str">
        <f t="shared" si="179"/>
        <v>Nigeria-2024-03</v>
      </c>
      <c r="L589" t="s">
        <v>651</v>
      </c>
      <c r="M589" t="s">
        <v>669</v>
      </c>
      <c r="N589" t="s">
        <v>704</v>
      </c>
      <c r="O589" t="s">
        <v>710</v>
      </c>
      <c r="P589" t="s">
        <v>716</v>
      </c>
      <c r="Q589" t="s">
        <v>727</v>
      </c>
      <c r="R589" t="s">
        <v>1319</v>
      </c>
      <c r="S589" s="5">
        <v>1232.78</v>
      </c>
      <c r="T589" s="5">
        <v>1731.75</v>
      </c>
      <c r="U589" s="5" t="str">
        <f t="shared" si="180"/>
        <v>Valid</v>
      </c>
      <c r="V589" s="5">
        <f t="shared" si="171"/>
        <v>1731.75</v>
      </c>
      <c r="W589" s="5" t="str">
        <f t="shared" si="181"/>
        <v>Medium</v>
      </c>
      <c r="X589" s="5">
        <v>9.2999999999999999E-2</v>
      </c>
      <c r="Y589" s="5" t="str">
        <f t="shared" si="182"/>
        <v>Valid</v>
      </c>
      <c r="Z589" s="5">
        <f t="shared" si="183"/>
        <v>9.2999999999999999E-2</v>
      </c>
      <c r="AA589" s="5">
        <v>16</v>
      </c>
      <c r="AB589">
        <f t="shared" si="184"/>
        <v>25131.155999999999</v>
      </c>
      <c r="AC589">
        <f t="shared" si="172"/>
        <v>19724.48</v>
      </c>
      <c r="AD589">
        <f t="shared" si="185"/>
        <v>5406.6759999999995</v>
      </c>
      <c r="AE589">
        <f t="shared" si="186"/>
        <v>0.21513837246484005</v>
      </c>
      <c r="AF589">
        <f t="shared" si="187"/>
        <v>0</v>
      </c>
      <c r="AG589">
        <f t="shared" si="188"/>
        <v>0</v>
      </c>
      <c r="AK589">
        <f>AA589*(1+What_if_Analysis!$B$4)</f>
        <v>19.2</v>
      </c>
      <c r="AL589" s="5">
        <f>MIN(Z589,What_if_Analysis!$B$2)</f>
        <v>0.05</v>
      </c>
      <c r="AM589">
        <f t="shared" si="189"/>
        <v>31587.119999999995</v>
      </c>
      <c r="AN589">
        <f>AM589-(AK589*(T589*(1+What_if_Analysis!$B$3)))</f>
        <v>-4987.4400000000096</v>
      </c>
    </row>
    <row r="590" spans="1:40" x14ac:dyDescent="0.3">
      <c r="A590" t="s">
        <v>602</v>
      </c>
      <c r="B590" s="3">
        <v>45459</v>
      </c>
      <c r="C590" s="3" t="str">
        <f t="shared" si="173"/>
        <v>Jun-2024</v>
      </c>
      <c r="D590" s="3" t="str">
        <f t="shared" si="174"/>
        <v>Q2-2024</v>
      </c>
      <c r="E590" s="3">
        <v>45464</v>
      </c>
      <c r="F590" s="3" t="str">
        <f t="shared" si="175"/>
        <v>Valid</v>
      </c>
      <c r="G590" s="12">
        <f t="shared" si="176"/>
        <v>5</v>
      </c>
      <c r="H590" s="3">
        <f t="shared" si="177"/>
        <v>45464</v>
      </c>
      <c r="I590" t="s">
        <v>647</v>
      </c>
      <c r="J590" t="str">
        <f t="shared" si="178"/>
        <v>Asia → Japan → Tokyo</v>
      </c>
      <c r="K590" s="3" t="str">
        <f t="shared" si="179"/>
        <v>Japan-2024-06</v>
      </c>
      <c r="L590" t="s">
        <v>652</v>
      </c>
      <c r="M590" t="s">
        <v>689</v>
      </c>
      <c r="N590" t="s">
        <v>705</v>
      </c>
      <c r="O590" t="s">
        <v>710</v>
      </c>
      <c r="P590" t="s">
        <v>721</v>
      </c>
      <c r="Q590" t="s">
        <v>730</v>
      </c>
      <c r="R590" t="s">
        <v>1320</v>
      </c>
      <c r="S590" s="5">
        <v>1367.13</v>
      </c>
      <c r="T590" s="5">
        <v>3062.01</v>
      </c>
      <c r="U590" s="5" t="str">
        <f t="shared" si="180"/>
        <v>Valid</v>
      </c>
      <c r="V590" s="5">
        <f t="shared" si="171"/>
        <v>3062.01</v>
      </c>
      <c r="W590" s="5" t="str">
        <f t="shared" si="181"/>
        <v>High</v>
      </c>
      <c r="X590" s="5">
        <v>0.10299999999999999</v>
      </c>
      <c r="Y590" s="5" t="str">
        <f t="shared" si="182"/>
        <v>Valid</v>
      </c>
      <c r="Z590" s="5">
        <f t="shared" si="183"/>
        <v>0.10299999999999999</v>
      </c>
      <c r="AA590" s="5">
        <v>25</v>
      </c>
      <c r="AB590">
        <f t="shared" si="184"/>
        <v>68665.574250000005</v>
      </c>
      <c r="AC590">
        <f t="shared" si="172"/>
        <v>34178.25</v>
      </c>
      <c r="AD590">
        <f t="shared" si="185"/>
        <v>34487.324250000005</v>
      </c>
      <c r="AE590">
        <f t="shared" si="186"/>
        <v>0.50225057645971705</v>
      </c>
      <c r="AF590">
        <f t="shared" si="187"/>
        <v>1</v>
      </c>
      <c r="AG590">
        <f t="shared" si="188"/>
        <v>0</v>
      </c>
      <c r="AK590">
        <f>AA590*(1+What_if_Analysis!$B$4)</f>
        <v>30</v>
      </c>
      <c r="AL590" s="5">
        <f>MIN(Z590,What_if_Analysis!$B$2)</f>
        <v>0.05</v>
      </c>
      <c r="AM590">
        <f t="shared" si="189"/>
        <v>87267.285000000003</v>
      </c>
      <c r="AN590">
        <f>AM590-(AK590*(T590*(1+What_if_Analysis!$B$3)))</f>
        <v>-13779.045000000013</v>
      </c>
    </row>
    <row r="591" spans="1:40" x14ac:dyDescent="0.3">
      <c r="A591" t="s">
        <v>603</v>
      </c>
      <c r="B591" s="3">
        <v>45703</v>
      </c>
      <c r="C591" s="3" t="str">
        <f t="shared" si="173"/>
        <v>Feb-2025</v>
      </c>
      <c r="D591" s="3" t="str">
        <f t="shared" si="174"/>
        <v>Q1-2025</v>
      </c>
      <c r="E591" s="3">
        <v>45715</v>
      </c>
      <c r="F591" s="3" t="str">
        <f t="shared" si="175"/>
        <v>Valid</v>
      </c>
      <c r="G591" s="12">
        <f t="shared" si="176"/>
        <v>12</v>
      </c>
      <c r="H591" s="3">
        <f t="shared" si="177"/>
        <v>45715</v>
      </c>
      <c r="I591" t="s">
        <v>649</v>
      </c>
      <c r="J591" t="str">
        <f t="shared" si="178"/>
        <v>Europe → France → Lyon</v>
      </c>
      <c r="K591" s="3" t="str">
        <f t="shared" si="179"/>
        <v>France-2025-02</v>
      </c>
      <c r="L591" t="s">
        <v>657</v>
      </c>
      <c r="M591" t="s">
        <v>679</v>
      </c>
      <c r="N591" t="s">
        <v>703</v>
      </c>
      <c r="O591" t="s">
        <v>711</v>
      </c>
      <c r="P591" t="s">
        <v>723</v>
      </c>
      <c r="Q591" t="s">
        <v>733</v>
      </c>
      <c r="R591" t="s">
        <v>1321</v>
      </c>
      <c r="S591" s="5">
        <v>1027.26</v>
      </c>
      <c r="T591" s="5">
        <v>2200.41</v>
      </c>
      <c r="U591" s="5" t="str">
        <f t="shared" si="180"/>
        <v>Valid</v>
      </c>
      <c r="V591" s="5">
        <f t="shared" si="171"/>
        <v>2200.41</v>
      </c>
      <c r="W591" s="5" t="str">
        <f t="shared" si="181"/>
        <v>High</v>
      </c>
      <c r="X591" s="5">
        <v>8.7999999999999995E-2</v>
      </c>
      <c r="Y591" s="5" t="str">
        <f t="shared" si="182"/>
        <v>Valid</v>
      </c>
      <c r="Z591" s="5">
        <f t="shared" si="183"/>
        <v>8.7999999999999995E-2</v>
      </c>
      <c r="AA591" s="5">
        <v>6</v>
      </c>
      <c r="AB591">
        <f t="shared" si="184"/>
        <v>12040.64352</v>
      </c>
      <c r="AC591">
        <f t="shared" si="172"/>
        <v>6163.5599999999995</v>
      </c>
      <c r="AD591">
        <f t="shared" si="185"/>
        <v>5877.0835200000001</v>
      </c>
      <c r="AE591">
        <f t="shared" si="186"/>
        <v>0.48810377204822358</v>
      </c>
      <c r="AF591">
        <f t="shared" si="187"/>
        <v>0</v>
      </c>
      <c r="AG591">
        <f t="shared" si="188"/>
        <v>0</v>
      </c>
      <c r="AK591">
        <f>AA591*(1+What_if_Analysis!$B$4)</f>
        <v>7.1999999999999993</v>
      </c>
      <c r="AL591" s="5">
        <f>MIN(Z591,What_if_Analysis!$B$2)</f>
        <v>0.05</v>
      </c>
      <c r="AM591">
        <f t="shared" si="189"/>
        <v>15050.804399999997</v>
      </c>
      <c r="AN591">
        <f>AM591-(AK591*(T591*(1+What_if_Analysis!$B$3)))</f>
        <v>-2376.4428000000007</v>
      </c>
    </row>
    <row r="592" spans="1:40" x14ac:dyDescent="0.3">
      <c r="A592" t="s">
        <v>604</v>
      </c>
      <c r="B592" s="3">
        <v>45019</v>
      </c>
      <c r="C592" s="3" t="str">
        <f t="shared" si="173"/>
        <v>Apr-2023</v>
      </c>
      <c r="D592" s="3" t="str">
        <f t="shared" si="174"/>
        <v>Q2-2023</v>
      </c>
      <c r="E592" s="3">
        <v>45032</v>
      </c>
      <c r="F592" s="3" t="str">
        <f t="shared" si="175"/>
        <v>Valid</v>
      </c>
      <c r="G592" s="12">
        <f t="shared" si="176"/>
        <v>13</v>
      </c>
      <c r="H592" s="3">
        <f t="shared" si="177"/>
        <v>45032</v>
      </c>
      <c r="I592" t="s">
        <v>649</v>
      </c>
      <c r="J592" t="str">
        <f t="shared" si="178"/>
        <v>Europe → France → Marseille</v>
      </c>
      <c r="K592" s="3" t="str">
        <f t="shared" si="179"/>
        <v>France-2023-04</v>
      </c>
      <c r="L592" t="s">
        <v>657</v>
      </c>
      <c r="M592" t="s">
        <v>673</v>
      </c>
      <c r="N592" t="s">
        <v>703</v>
      </c>
      <c r="O592" t="s">
        <v>709</v>
      </c>
      <c r="P592" t="s">
        <v>724</v>
      </c>
      <c r="Q592" t="s">
        <v>733</v>
      </c>
      <c r="R592" t="s">
        <v>1322</v>
      </c>
      <c r="S592" s="5">
        <v>790.54</v>
      </c>
      <c r="T592" s="5">
        <v>601.49</v>
      </c>
      <c r="U592" s="5" t="str">
        <f t="shared" si="180"/>
        <v>Valid</v>
      </c>
      <c r="V592" s="5">
        <f t="shared" si="171"/>
        <v>601.49</v>
      </c>
      <c r="W592" s="5" t="str">
        <f t="shared" si="181"/>
        <v>Low</v>
      </c>
      <c r="X592" s="5">
        <v>0</v>
      </c>
      <c r="Y592" s="5" t="str">
        <f t="shared" si="182"/>
        <v>Valid</v>
      </c>
      <c r="Z592" s="5">
        <f t="shared" si="183"/>
        <v>0</v>
      </c>
      <c r="AA592" s="5">
        <v>15</v>
      </c>
      <c r="AB592">
        <f t="shared" si="184"/>
        <v>9022.35</v>
      </c>
      <c r="AC592">
        <f t="shared" si="172"/>
        <v>11858.099999999999</v>
      </c>
      <c r="AD592">
        <f t="shared" si="185"/>
        <v>-2835.7499999999982</v>
      </c>
      <c r="AE592">
        <f t="shared" si="186"/>
        <v>-0.31430281467688553</v>
      </c>
      <c r="AF592">
        <f t="shared" si="187"/>
        <v>0</v>
      </c>
      <c r="AG592">
        <f t="shared" si="188"/>
        <v>0</v>
      </c>
      <c r="AK592">
        <f>AA592*(1+What_if_Analysis!$B$4)</f>
        <v>18</v>
      </c>
      <c r="AL592" s="5">
        <f>MIN(Z592,What_if_Analysis!$B$2)</f>
        <v>0</v>
      </c>
      <c r="AM592">
        <f t="shared" si="189"/>
        <v>10826.82</v>
      </c>
      <c r="AN592">
        <f>AM592-(AK592*(T592*(1+What_if_Analysis!$B$3)))</f>
        <v>-1082.6820000000007</v>
      </c>
    </row>
    <row r="593" spans="1:40" x14ac:dyDescent="0.3">
      <c r="A593" t="s">
        <v>605</v>
      </c>
      <c r="B593" s="3">
        <v>45899</v>
      </c>
      <c r="C593" s="3" t="str">
        <f t="shared" si="173"/>
        <v>Aug-2025</v>
      </c>
      <c r="D593" s="3" t="str">
        <f t="shared" si="174"/>
        <v>Q3-2025</v>
      </c>
      <c r="E593" s="3">
        <v>45922</v>
      </c>
      <c r="F593" s="3" t="str">
        <f t="shared" si="175"/>
        <v>Valid</v>
      </c>
      <c r="G593" s="12">
        <f t="shared" si="176"/>
        <v>23</v>
      </c>
      <c r="H593" s="3">
        <f t="shared" si="177"/>
        <v>45922</v>
      </c>
      <c r="I593" t="s">
        <v>649</v>
      </c>
      <c r="J593" t="str">
        <f t="shared" si="178"/>
        <v>Europe → France → Marseille</v>
      </c>
      <c r="K593" s="3" t="str">
        <f t="shared" si="179"/>
        <v>France-2025-08</v>
      </c>
      <c r="L593" t="s">
        <v>657</v>
      </c>
      <c r="M593" t="s">
        <v>673</v>
      </c>
      <c r="N593" t="s">
        <v>701</v>
      </c>
      <c r="O593" t="s">
        <v>711</v>
      </c>
      <c r="P593" t="s">
        <v>718</v>
      </c>
      <c r="Q593" t="s">
        <v>727</v>
      </c>
      <c r="R593" t="s">
        <v>1323</v>
      </c>
      <c r="S593" s="5">
        <v>663.9</v>
      </c>
      <c r="T593" s="5">
        <v>947.77</v>
      </c>
      <c r="U593" s="5" t="str">
        <f t="shared" si="180"/>
        <v>Valid</v>
      </c>
      <c r="V593" s="5">
        <f t="shared" si="171"/>
        <v>947.77</v>
      </c>
      <c r="W593" s="5" t="str">
        <f t="shared" si="181"/>
        <v>Medium</v>
      </c>
      <c r="X593" s="5">
        <v>0.17399999999999999</v>
      </c>
      <c r="Y593" s="5" t="str">
        <f t="shared" si="182"/>
        <v>Valid</v>
      </c>
      <c r="Z593" s="5">
        <f t="shared" si="183"/>
        <v>0.17399999999999999</v>
      </c>
      <c r="AA593" s="5">
        <v>15</v>
      </c>
      <c r="AB593">
        <f t="shared" si="184"/>
        <v>11742.8703</v>
      </c>
      <c r="AC593">
        <f t="shared" si="172"/>
        <v>9958.5</v>
      </c>
      <c r="AD593">
        <f t="shared" si="185"/>
        <v>1784.3703000000005</v>
      </c>
      <c r="AE593">
        <f t="shared" si="186"/>
        <v>0.1519535049280073</v>
      </c>
      <c r="AF593">
        <f t="shared" si="187"/>
        <v>0</v>
      </c>
      <c r="AG593">
        <f t="shared" si="188"/>
        <v>0</v>
      </c>
      <c r="AK593">
        <f>AA593*(1+What_if_Analysis!$B$4)</f>
        <v>18</v>
      </c>
      <c r="AL593" s="5">
        <f>MIN(Z593,What_if_Analysis!$B$2)</f>
        <v>0.05</v>
      </c>
      <c r="AM593">
        <f t="shared" si="189"/>
        <v>16206.867</v>
      </c>
      <c r="AN593">
        <f>AM593-(AK593*(T593*(1+What_if_Analysis!$B$3)))</f>
        <v>-2558.9790000000012</v>
      </c>
    </row>
    <row r="594" spans="1:40" x14ac:dyDescent="0.3">
      <c r="A594" t="s">
        <v>606</v>
      </c>
      <c r="B594" s="3">
        <v>44984</v>
      </c>
      <c r="C594" s="3" t="str">
        <f t="shared" si="173"/>
        <v>Feb-2023</v>
      </c>
      <c r="D594" s="3" t="str">
        <f t="shared" si="174"/>
        <v>Q1-2023</v>
      </c>
      <c r="E594" s="3">
        <v>44983</v>
      </c>
      <c r="F594" s="3" t="str">
        <f t="shared" si="175"/>
        <v>Invalid RequiredDate</v>
      </c>
      <c r="G594" s="12">
        <f t="shared" si="176"/>
        <v>-1</v>
      </c>
      <c r="H594" s="3">
        <f t="shared" si="177"/>
        <v>45010</v>
      </c>
      <c r="I594" t="s">
        <v>648</v>
      </c>
      <c r="J594" t="str">
        <f t="shared" si="178"/>
        <v>Americas → USA → San Francisco</v>
      </c>
      <c r="K594" s="3" t="str">
        <f t="shared" si="179"/>
        <v>USA-2023-02</v>
      </c>
      <c r="L594" t="s">
        <v>660</v>
      </c>
      <c r="M594" t="s">
        <v>686</v>
      </c>
      <c r="N594" t="s">
        <v>703</v>
      </c>
      <c r="O594" t="s">
        <v>708</v>
      </c>
      <c r="P594" t="s">
        <v>716</v>
      </c>
      <c r="Q594" t="s">
        <v>729</v>
      </c>
      <c r="R594" t="s">
        <v>1324</v>
      </c>
      <c r="S594" s="5">
        <v>1015.91</v>
      </c>
      <c r="T594" s="5">
        <v>2331.48</v>
      </c>
      <c r="U594" s="5" t="str">
        <f t="shared" si="180"/>
        <v>Valid</v>
      </c>
      <c r="V594" s="5">
        <f t="shared" si="171"/>
        <v>2331.48</v>
      </c>
      <c r="W594" s="5" t="str">
        <f t="shared" si="181"/>
        <v>High</v>
      </c>
      <c r="X594" s="5">
        <v>0.14599999999999999</v>
      </c>
      <c r="Y594" s="5" t="str">
        <f t="shared" si="182"/>
        <v>Valid</v>
      </c>
      <c r="Z594" s="5">
        <f t="shared" si="183"/>
        <v>0.14599999999999999</v>
      </c>
      <c r="AA594" s="5">
        <v>26</v>
      </c>
      <c r="AB594">
        <f t="shared" si="184"/>
        <v>51768.181920000003</v>
      </c>
      <c r="AC594">
        <f t="shared" si="172"/>
        <v>26413.66</v>
      </c>
      <c r="AD594">
        <f t="shared" si="185"/>
        <v>25354.521920000003</v>
      </c>
      <c r="AE594">
        <f t="shared" si="186"/>
        <v>0.48977037592669626</v>
      </c>
      <c r="AF594">
        <f t="shared" si="187"/>
        <v>1</v>
      </c>
      <c r="AG594">
        <f t="shared" si="188"/>
        <v>0</v>
      </c>
      <c r="AK594">
        <f>AA594*(1+What_if_Analysis!$B$4)</f>
        <v>31.2</v>
      </c>
      <c r="AL594" s="5">
        <f>MIN(Z594,What_if_Analysis!$B$2)</f>
        <v>0.05</v>
      </c>
      <c r="AM594">
        <f t="shared" si="189"/>
        <v>69105.06719999999</v>
      </c>
      <c r="AN594">
        <f>AM594-(AK594*(T594*(1+What_if_Analysis!$B$3)))</f>
        <v>-10911.32640000002</v>
      </c>
    </row>
    <row r="595" spans="1:40" x14ac:dyDescent="0.3">
      <c r="A595" t="s">
        <v>607</v>
      </c>
      <c r="B595" s="3">
        <v>45504</v>
      </c>
      <c r="C595" s="3" t="str">
        <f t="shared" si="173"/>
        <v>Jul-2024</v>
      </c>
      <c r="D595" s="3" t="str">
        <f t="shared" si="174"/>
        <v>Q3-2024</v>
      </c>
      <c r="E595" s="3">
        <v>45519</v>
      </c>
      <c r="F595" s="3" t="str">
        <f t="shared" si="175"/>
        <v>Valid</v>
      </c>
      <c r="G595" s="12">
        <f t="shared" si="176"/>
        <v>15</v>
      </c>
      <c r="H595" s="3">
        <f t="shared" si="177"/>
        <v>45519</v>
      </c>
      <c r="I595" t="s">
        <v>647</v>
      </c>
      <c r="J595" t="str">
        <f t="shared" si="178"/>
        <v>Asia → Japan → Tokyo</v>
      </c>
      <c r="K595" s="3" t="str">
        <f t="shared" si="179"/>
        <v>Japan-2024-07</v>
      </c>
      <c r="L595" t="s">
        <v>652</v>
      </c>
      <c r="M595" t="s">
        <v>689</v>
      </c>
      <c r="N595" t="s">
        <v>701</v>
      </c>
      <c r="O595" t="s">
        <v>709</v>
      </c>
      <c r="P595" t="s">
        <v>721</v>
      </c>
      <c r="Q595" t="s">
        <v>732</v>
      </c>
      <c r="R595" t="s">
        <v>1325</v>
      </c>
      <c r="S595" s="5">
        <v>1252.52</v>
      </c>
      <c r="T595" s="5">
        <v>1417.24</v>
      </c>
      <c r="U595" s="5" t="str">
        <f t="shared" si="180"/>
        <v>Valid</v>
      </c>
      <c r="V595" s="5">
        <f t="shared" si="171"/>
        <v>1417.24</v>
      </c>
      <c r="W595" s="5" t="str">
        <f t="shared" si="181"/>
        <v>Medium</v>
      </c>
      <c r="X595" s="5">
        <v>0.192</v>
      </c>
      <c r="Y595" s="5" t="str">
        <f t="shared" si="182"/>
        <v>Valid</v>
      </c>
      <c r="Z595" s="5">
        <f t="shared" si="183"/>
        <v>0.192</v>
      </c>
      <c r="AA595" s="5">
        <v>5</v>
      </c>
      <c r="AB595">
        <f t="shared" si="184"/>
        <v>5725.6496000000006</v>
      </c>
      <c r="AC595">
        <f t="shared" si="172"/>
        <v>6262.6</v>
      </c>
      <c r="AD595">
        <f t="shared" si="185"/>
        <v>-536.95039999999972</v>
      </c>
      <c r="AE595">
        <f t="shared" si="186"/>
        <v>-9.3779821943696953E-2</v>
      </c>
      <c r="AF595">
        <f t="shared" si="187"/>
        <v>0</v>
      </c>
      <c r="AG595">
        <f t="shared" si="188"/>
        <v>0</v>
      </c>
      <c r="AK595">
        <f>AA595*(1+What_if_Analysis!$B$4)</f>
        <v>6</v>
      </c>
      <c r="AL595" s="5">
        <f>MIN(Z595,What_if_Analysis!$B$2)</f>
        <v>0.05</v>
      </c>
      <c r="AM595">
        <f t="shared" si="189"/>
        <v>8078.268</v>
      </c>
      <c r="AN595">
        <f>AM595-(AK595*(T595*(1+What_if_Analysis!$B$3)))</f>
        <v>-1275.5160000000014</v>
      </c>
    </row>
    <row r="596" spans="1:40" x14ac:dyDescent="0.3">
      <c r="A596" t="s">
        <v>608</v>
      </c>
      <c r="B596" s="3">
        <v>45823</v>
      </c>
      <c r="C596" s="3" t="str">
        <f t="shared" si="173"/>
        <v>Jun-2025</v>
      </c>
      <c r="D596" s="3" t="str">
        <f t="shared" si="174"/>
        <v>Q2-2025</v>
      </c>
      <c r="E596" s="3">
        <v>45850</v>
      </c>
      <c r="F596" s="3" t="str">
        <f t="shared" si="175"/>
        <v>Valid</v>
      </c>
      <c r="G596" s="12">
        <f t="shared" si="176"/>
        <v>27</v>
      </c>
      <c r="H596" s="3">
        <f t="shared" si="177"/>
        <v>45850</v>
      </c>
      <c r="I596" t="s">
        <v>649</v>
      </c>
      <c r="J596" t="str">
        <f t="shared" si="178"/>
        <v>Europe → France → Marseille</v>
      </c>
      <c r="K596" s="3" t="str">
        <f t="shared" si="179"/>
        <v>France-2025-06</v>
      </c>
      <c r="L596" t="s">
        <v>657</v>
      </c>
      <c r="M596" t="s">
        <v>673</v>
      </c>
      <c r="N596" t="s">
        <v>704</v>
      </c>
      <c r="O596" t="s">
        <v>711</v>
      </c>
      <c r="P596" t="s">
        <v>712</v>
      </c>
      <c r="Q596" t="s">
        <v>733</v>
      </c>
      <c r="R596" t="s">
        <v>1326</v>
      </c>
      <c r="S596" s="5">
        <v>318.83</v>
      </c>
      <c r="T596" s="5">
        <v>699.5</v>
      </c>
      <c r="U596" s="5" t="str">
        <f t="shared" si="180"/>
        <v>Valid</v>
      </c>
      <c r="V596" s="5">
        <f t="shared" si="171"/>
        <v>699.5</v>
      </c>
      <c r="W596" s="5" t="str">
        <f t="shared" si="181"/>
        <v>Medium</v>
      </c>
      <c r="X596" s="5">
        <v>0.08</v>
      </c>
      <c r="Y596" s="5" t="str">
        <f t="shared" si="182"/>
        <v>Valid</v>
      </c>
      <c r="Z596" s="5">
        <f t="shared" si="183"/>
        <v>0.08</v>
      </c>
      <c r="AA596" s="5">
        <v>13</v>
      </c>
      <c r="AB596">
        <f t="shared" si="184"/>
        <v>8366.02</v>
      </c>
      <c r="AC596">
        <f t="shared" si="172"/>
        <v>4144.79</v>
      </c>
      <c r="AD596">
        <f t="shared" si="185"/>
        <v>4221.2300000000005</v>
      </c>
      <c r="AE596">
        <f t="shared" si="186"/>
        <v>0.50456848059172699</v>
      </c>
      <c r="AF596">
        <f t="shared" si="187"/>
        <v>0</v>
      </c>
      <c r="AG596">
        <f t="shared" si="188"/>
        <v>0</v>
      </c>
      <c r="AK596">
        <f>AA596*(1+What_if_Analysis!$B$4)</f>
        <v>15.6</v>
      </c>
      <c r="AL596" s="5">
        <f>MIN(Z596,What_if_Analysis!$B$2)</f>
        <v>0.05</v>
      </c>
      <c r="AM596">
        <f t="shared" si="189"/>
        <v>10366.589999999998</v>
      </c>
      <c r="AN596">
        <f>AM596-(AK596*(T596*(1+What_if_Analysis!$B$3)))</f>
        <v>-1636.8300000000017</v>
      </c>
    </row>
    <row r="597" spans="1:40" x14ac:dyDescent="0.3">
      <c r="A597" t="s">
        <v>609</v>
      </c>
      <c r="B597" s="3">
        <v>45473</v>
      </c>
      <c r="C597" s="3" t="str">
        <f t="shared" si="173"/>
        <v>Jun-2024</v>
      </c>
      <c r="D597" s="3" t="str">
        <f t="shared" si="174"/>
        <v>Q2-2024</v>
      </c>
      <c r="E597" s="3">
        <v>45494</v>
      </c>
      <c r="F597" s="3" t="str">
        <f t="shared" si="175"/>
        <v>Valid</v>
      </c>
      <c r="G597" s="12">
        <f t="shared" si="176"/>
        <v>21</v>
      </c>
      <c r="H597" s="3">
        <f t="shared" si="177"/>
        <v>45494</v>
      </c>
      <c r="I597" t="s">
        <v>646</v>
      </c>
      <c r="J597" t="str">
        <f t="shared" si="178"/>
        <v>Africa → Kenya → Kisumu</v>
      </c>
      <c r="K597" s="3" t="str">
        <f t="shared" si="179"/>
        <v>Kenya-2024-06</v>
      </c>
      <c r="L597" t="s">
        <v>650</v>
      </c>
      <c r="M597" t="s">
        <v>662</v>
      </c>
      <c r="N597" t="s">
        <v>705</v>
      </c>
      <c r="O597" t="s">
        <v>707</v>
      </c>
      <c r="P597" t="s">
        <v>723</v>
      </c>
      <c r="Q597" t="s">
        <v>731</v>
      </c>
      <c r="R597" t="s">
        <v>1327</v>
      </c>
      <c r="S597" s="5">
        <v>753.43</v>
      </c>
      <c r="T597" s="5">
        <v>1787.2</v>
      </c>
      <c r="U597" s="5" t="str">
        <f t="shared" si="180"/>
        <v>Valid</v>
      </c>
      <c r="V597" s="5">
        <f t="shared" si="171"/>
        <v>1787.2</v>
      </c>
      <c r="W597" s="5" t="str">
        <f t="shared" si="181"/>
        <v>Medium</v>
      </c>
      <c r="X597" s="5">
        <v>7.2999999999999995E-2</v>
      </c>
      <c r="Y597" s="5" t="str">
        <f t="shared" si="182"/>
        <v>Valid</v>
      </c>
      <c r="Z597" s="5">
        <f t="shared" si="183"/>
        <v>7.2999999999999995E-2</v>
      </c>
      <c r="AA597" s="5">
        <v>9</v>
      </c>
      <c r="AB597">
        <f t="shared" si="184"/>
        <v>14910.609600000002</v>
      </c>
      <c r="AC597">
        <f t="shared" si="172"/>
        <v>6780.87</v>
      </c>
      <c r="AD597">
        <f t="shared" si="185"/>
        <v>8129.7396000000017</v>
      </c>
      <c r="AE597">
        <f t="shared" si="186"/>
        <v>0.54523187301476939</v>
      </c>
      <c r="AF597">
        <f t="shared" si="187"/>
        <v>0</v>
      </c>
      <c r="AG597">
        <f t="shared" si="188"/>
        <v>0</v>
      </c>
      <c r="AK597">
        <f>AA597*(1+What_if_Analysis!$B$4)</f>
        <v>10.799999999999999</v>
      </c>
      <c r="AL597" s="5">
        <f>MIN(Z597,What_if_Analysis!$B$2)</f>
        <v>0.05</v>
      </c>
      <c r="AM597">
        <f t="shared" si="189"/>
        <v>18336.671999999999</v>
      </c>
      <c r="AN597">
        <f>AM597-(AK597*(T597*(1+What_if_Analysis!$B$3)))</f>
        <v>-2895.2640000000029</v>
      </c>
    </row>
    <row r="598" spans="1:40" x14ac:dyDescent="0.3">
      <c r="A598" t="s">
        <v>610</v>
      </c>
      <c r="B598" s="3">
        <v>45705</v>
      </c>
      <c r="C598" s="3" t="str">
        <f t="shared" si="173"/>
        <v>Feb-2025</v>
      </c>
      <c r="D598" s="3" t="str">
        <f t="shared" si="174"/>
        <v>Q1-2025</v>
      </c>
      <c r="E598" s="3">
        <v>45703</v>
      </c>
      <c r="F598" s="3" t="str">
        <f t="shared" si="175"/>
        <v>Invalid RequiredDate</v>
      </c>
      <c r="G598" s="12">
        <f t="shared" si="176"/>
        <v>-2</v>
      </c>
      <c r="H598" s="3">
        <f t="shared" si="177"/>
        <v>45731</v>
      </c>
      <c r="I598" t="s">
        <v>648</v>
      </c>
      <c r="J598" t="str">
        <f t="shared" si="178"/>
        <v>Americas → Canada → Toronto</v>
      </c>
      <c r="K598" s="3" t="str">
        <f t="shared" si="179"/>
        <v>Canada-2025-02</v>
      </c>
      <c r="L598" t="s">
        <v>653</v>
      </c>
      <c r="M598" t="s">
        <v>667</v>
      </c>
      <c r="N598" t="s">
        <v>705</v>
      </c>
      <c r="O598" t="s">
        <v>707</v>
      </c>
      <c r="P598" t="s">
        <v>726</v>
      </c>
      <c r="Q598" t="s">
        <v>727</v>
      </c>
      <c r="R598" t="s">
        <v>1328</v>
      </c>
      <c r="S598" s="5">
        <v>1133.47</v>
      </c>
      <c r="T598" s="5">
        <v>1698.75</v>
      </c>
      <c r="U598" s="5" t="str">
        <f t="shared" si="180"/>
        <v>Valid</v>
      </c>
      <c r="V598" s="5">
        <f t="shared" si="171"/>
        <v>1698.75</v>
      </c>
      <c r="W598" s="5" t="str">
        <f t="shared" si="181"/>
        <v>Medium</v>
      </c>
      <c r="X598" s="5">
        <v>4.2999999999999997E-2</v>
      </c>
      <c r="Y598" s="5" t="str">
        <f t="shared" si="182"/>
        <v>Valid</v>
      </c>
      <c r="Z598" s="5">
        <f t="shared" si="183"/>
        <v>4.2999999999999997E-2</v>
      </c>
      <c r="AA598" s="5">
        <v>5</v>
      </c>
      <c r="AB598">
        <f t="shared" si="184"/>
        <v>8128.5187499999993</v>
      </c>
      <c r="AC598">
        <f t="shared" si="172"/>
        <v>5667.35</v>
      </c>
      <c r="AD598">
        <f t="shared" si="185"/>
        <v>2461.1687499999989</v>
      </c>
      <c r="AE598">
        <f t="shared" si="186"/>
        <v>0.30278194904821976</v>
      </c>
      <c r="AF598">
        <f t="shared" si="187"/>
        <v>1</v>
      </c>
      <c r="AG598">
        <f t="shared" si="188"/>
        <v>0</v>
      </c>
      <c r="AK598">
        <f>AA598*(1+What_if_Analysis!$B$4)</f>
        <v>6</v>
      </c>
      <c r="AL598" s="5">
        <f>MIN(Z598,What_if_Analysis!$B$2)</f>
        <v>4.2999999999999997E-2</v>
      </c>
      <c r="AM598">
        <f t="shared" si="189"/>
        <v>9754.2224999999999</v>
      </c>
      <c r="AN598">
        <f>AM598-(AK598*(T598*(1+What_if_Analysis!$B$3)))</f>
        <v>-1457.527500000002</v>
      </c>
    </row>
    <row r="599" spans="1:40" x14ac:dyDescent="0.3">
      <c r="A599" t="s">
        <v>611</v>
      </c>
      <c r="B599" s="3">
        <v>44933</v>
      </c>
      <c r="C599" s="3" t="str">
        <f t="shared" si="173"/>
        <v>Jan-2023</v>
      </c>
      <c r="D599" s="3" t="str">
        <f t="shared" si="174"/>
        <v>Q1-2023</v>
      </c>
      <c r="E599" s="3">
        <v>44956</v>
      </c>
      <c r="F599" s="3" t="str">
        <f t="shared" si="175"/>
        <v>Valid</v>
      </c>
      <c r="G599" s="12">
        <f t="shared" si="176"/>
        <v>23</v>
      </c>
      <c r="H599" s="3">
        <f t="shared" si="177"/>
        <v>44956</v>
      </c>
      <c r="I599" t="s">
        <v>646</v>
      </c>
      <c r="J599" t="str">
        <f t="shared" si="178"/>
        <v>Africa → South Africa → Cape Town</v>
      </c>
      <c r="K599" s="3" t="str">
        <f t="shared" si="179"/>
        <v>South Africa-2023-01</v>
      </c>
      <c r="L599" t="s">
        <v>661</v>
      </c>
      <c r="M599" t="s">
        <v>695</v>
      </c>
      <c r="N599" t="s">
        <v>704</v>
      </c>
      <c r="O599" t="s">
        <v>708</v>
      </c>
      <c r="P599" t="s">
        <v>720</v>
      </c>
      <c r="Q599" t="s">
        <v>728</v>
      </c>
      <c r="R599" t="s">
        <v>1329</v>
      </c>
      <c r="S599" s="5">
        <v>299.02</v>
      </c>
      <c r="T599" s="5">
        <v>724.7</v>
      </c>
      <c r="U599" s="5" t="str">
        <f t="shared" si="180"/>
        <v>Valid</v>
      </c>
      <c r="V599" s="5">
        <f t="shared" si="171"/>
        <v>724.7</v>
      </c>
      <c r="W599" s="5" t="str">
        <f t="shared" si="181"/>
        <v>Medium</v>
      </c>
      <c r="X599" s="5">
        <v>0.14000000000000001</v>
      </c>
      <c r="Y599" s="5" t="str">
        <f t="shared" si="182"/>
        <v>Valid</v>
      </c>
      <c r="Z599" s="5">
        <f t="shared" si="183"/>
        <v>0.14000000000000001</v>
      </c>
      <c r="AA599" s="5">
        <v>5</v>
      </c>
      <c r="AB599">
        <f t="shared" si="184"/>
        <v>3116.21</v>
      </c>
      <c r="AC599">
        <f t="shared" si="172"/>
        <v>1495.1</v>
      </c>
      <c r="AD599">
        <f t="shared" si="185"/>
        <v>1621.1100000000001</v>
      </c>
      <c r="AE599">
        <f t="shared" si="186"/>
        <v>0.52021847051386139</v>
      </c>
      <c r="AF599">
        <f t="shared" si="187"/>
        <v>0</v>
      </c>
      <c r="AG599">
        <f t="shared" si="188"/>
        <v>0</v>
      </c>
      <c r="AK599">
        <f>AA599*(1+What_if_Analysis!$B$4)</f>
        <v>6</v>
      </c>
      <c r="AL599" s="5">
        <f>MIN(Z599,What_if_Analysis!$B$2)</f>
        <v>0.05</v>
      </c>
      <c r="AM599">
        <f t="shared" si="189"/>
        <v>4130.7900000000009</v>
      </c>
      <c r="AN599">
        <f>AM599-(AK599*(T599*(1+What_if_Analysis!$B$3)))</f>
        <v>-652.22999999999956</v>
      </c>
    </row>
    <row r="600" spans="1:40" x14ac:dyDescent="0.3">
      <c r="A600" t="s">
        <v>612</v>
      </c>
      <c r="B600" s="3">
        <v>45726</v>
      </c>
      <c r="C600" s="3" t="str">
        <f t="shared" si="173"/>
        <v>Mar-2025</v>
      </c>
      <c r="D600" s="3" t="str">
        <f t="shared" si="174"/>
        <v>Q1-2025</v>
      </c>
      <c r="E600" s="3">
        <v>45751</v>
      </c>
      <c r="F600" s="3" t="str">
        <f t="shared" si="175"/>
        <v>Valid</v>
      </c>
      <c r="G600" s="12">
        <f t="shared" si="176"/>
        <v>25</v>
      </c>
      <c r="H600" s="3">
        <f t="shared" si="177"/>
        <v>45751</v>
      </c>
      <c r="I600" t="s">
        <v>647</v>
      </c>
      <c r="J600" t="str">
        <f t="shared" si="178"/>
        <v>Asia → Japan → Osaka</v>
      </c>
      <c r="K600" s="3" t="str">
        <f t="shared" si="179"/>
        <v>Japan-2025-03</v>
      </c>
      <c r="L600" t="s">
        <v>652</v>
      </c>
      <c r="M600" t="s">
        <v>666</v>
      </c>
      <c r="N600" t="s">
        <v>701</v>
      </c>
      <c r="O600" t="s">
        <v>711</v>
      </c>
      <c r="P600" t="s">
        <v>722</v>
      </c>
      <c r="Q600" t="s">
        <v>728</v>
      </c>
      <c r="R600" t="s">
        <v>1330</v>
      </c>
      <c r="S600" s="5">
        <v>783.72</v>
      </c>
      <c r="T600" s="5">
        <v>1355.94</v>
      </c>
      <c r="U600" s="5" t="str">
        <f t="shared" si="180"/>
        <v>Valid</v>
      </c>
      <c r="V600" s="5">
        <f t="shared" si="171"/>
        <v>1355.94</v>
      </c>
      <c r="W600" s="5" t="str">
        <f t="shared" si="181"/>
        <v>Medium</v>
      </c>
      <c r="X600" s="5">
        <v>0.187</v>
      </c>
      <c r="Y600" s="5" t="str">
        <f t="shared" si="182"/>
        <v>Valid</v>
      </c>
      <c r="Z600" s="5">
        <f t="shared" si="183"/>
        <v>0.187</v>
      </c>
      <c r="AA600" s="5">
        <v>4</v>
      </c>
      <c r="AB600">
        <f t="shared" si="184"/>
        <v>4409.5168800000001</v>
      </c>
      <c r="AC600">
        <f t="shared" si="172"/>
        <v>3134.88</v>
      </c>
      <c r="AD600">
        <f t="shared" si="185"/>
        <v>1274.63688</v>
      </c>
      <c r="AE600">
        <f t="shared" si="186"/>
        <v>0.28906497348525856</v>
      </c>
      <c r="AF600">
        <f t="shared" si="187"/>
        <v>0</v>
      </c>
      <c r="AG600">
        <f t="shared" si="188"/>
        <v>0</v>
      </c>
      <c r="AK600">
        <f>AA600*(1+What_if_Analysis!$B$4)</f>
        <v>4.8</v>
      </c>
      <c r="AL600" s="5">
        <f>MIN(Z600,What_if_Analysis!$B$2)</f>
        <v>0.05</v>
      </c>
      <c r="AM600">
        <f t="shared" si="189"/>
        <v>6183.0863999999992</v>
      </c>
      <c r="AN600">
        <f>AM600-(AK600*(T600*(1+What_if_Analysis!$B$3)))</f>
        <v>-976.27680000000146</v>
      </c>
    </row>
    <row r="601" spans="1:40" x14ac:dyDescent="0.3">
      <c r="A601" t="s">
        <v>613</v>
      </c>
      <c r="B601" s="3">
        <v>45521</v>
      </c>
      <c r="C601" s="3" t="str">
        <f t="shared" si="173"/>
        <v>Aug-2024</v>
      </c>
      <c r="D601" s="3" t="str">
        <f t="shared" si="174"/>
        <v>Q3-2024</v>
      </c>
      <c r="E601" s="3">
        <v>45519</v>
      </c>
      <c r="F601" s="3" t="str">
        <f t="shared" si="175"/>
        <v>Invalid RequiredDate</v>
      </c>
      <c r="G601" s="12">
        <f t="shared" si="176"/>
        <v>-2</v>
      </c>
      <c r="H601" s="3">
        <f t="shared" si="177"/>
        <v>45547</v>
      </c>
      <c r="I601" t="s">
        <v>648</v>
      </c>
      <c r="J601" t="str">
        <f t="shared" si="178"/>
        <v>Americas → Brazil → Rio de Janeiro</v>
      </c>
      <c r="K601" s="3" t="str">
        <f t="shared" si="179"/>
        <v>Brazil-2024-08</v>
      </c>
      <c r="L601" t="s">
        <v>655</v>
      </c>
      <c r="M601" t="s">
        <v>692</v>
      </c>
      <c r="N601" t="s">
        <v>704</v>
      </c>
      <c r="O601" t="s">
        <v>711</v>
      </c>
      <c r="P601" t="s">
        <v>724</v>
      </c>
      <c r="Q601" t="s">
        <v>732</v>
      </c>
      <c r="R601" t="s">
        <v>1331</v>
      </c>
      <c r="S601" s="5">
        <v>165.3</v>
      </c>
      <c r="T601" s="5">
        <v>275.07</v>
      </c>
      <c r="U601" s="5" t="str">
        <f t="shared" si="180"/>
        <v>Valid</v>
      </c>
      <c r="V601" s="5">
        <f t="shared" si="171"/>
        <v>275.07</v>
      </c>
      <c r="W601" s="5" t="str">
        <f t="shared" si="181"/>
        <v>Low</v>
      </c>
      <c r="X601" s="5">
        <v>0.13300000000000001</v>
      </c>
      <c r="Y601" s="5" t="str">
        <f t="shared" si="182"/>
        <v>Valid</v>
      </c>
      <c r="Z601" s="5">
        <f t="shared" si="183"/>
        <v>0.13300000000000001</v>
      </c>
      <c r="AA601" s="5">
        <v>25</v>
      </c>
      <c r="AB601">
        <f t="shared" si="184"/>
        <v>5962.1422499999999</v>
      </c>
      <c r="AC601">
        <f t="shared" si="172"/>
        <v>4132.5</v>
      </c>
      <c r="AD601">
        <f t="shared" si="185"/>
        <v>1829.6422499999999</v>
      </c>
      <c r="AE601">
        <f t="shared" si="186"/>
        <v>0.30687665159280625</v>
      </c>
      <c r="AF601">
        <f t="shared" si="187"/>
        <v>1</v>
      </c>
      <c r="AG601">
        <f t="shared" si="188"/>
        <v>0</v>
      </c>
      <c r="AK601">
        <f>AA601*(1+What_if_Analysis!$B$4)</f>
        <v>30</v>
      </c>
      <c r="AL601" s="5">
        <f>MIN(Z601,What_if_Analysis!$B$2)</f>
        <v>0.05</v>
      </c>
      <c r="AM601">
        <f t="shared" si="189"/>
        <v>7839.4949999999999</v>
      </c>
      <c r="AN601">
        <f>AM601-(AK601*(T601*(1+What_if_Analysis!$B$3)))</f>
        <v>-1237.8149999999996</v>
      </c>
    </row>
    <row r="602" spans="1:40" x14ac:dyDescent="0.3">
      <c r="A602" t="s">
        <v>614</v>
      </c>
      <c r="B602" s="3">
        <v>45360</v>
      </c>
      <c r="C602" s="3" t="str">
        <f t="shared" si="173"/>
        <v>Mar-2024</v>
      </c>
      <c r="D602" s="3" t="str">
        <f t="shared" si="174"/>
        <v>Q1-2024</v>
      </c>
      <c r="E602" s="3">
        <v>45373</v>
      </c>
      <c r="F602" s="3" t="str">
        <f t="shared" si="175"/>
        <v>Valid</v>
      </c>
      <c r="G602" s="12">
        <f t="shared" si="176"/>
        <v>13</v>
      </c>
      <c r="H602" s="3">
        <f t="shared" si="177"/>
        <v>45373</v>
      </c>
      <c r="I602" t="s">
        <v>649</v>
      </c>
      <c r="J602" t="str">
        <f t="shared" si="178"/>
        <v>Europe → United Kingdom → Manchester</v>
      </c>
      <c r="K602" s="3" t="str">
        <f t="shared" si="179"/>
        <v>United Kingdom-2024-03</v>
      </c>
      <c r="L602" t="s">
        <v>658</v>
      </c>
      <c r="M602" t="s">
        <v>693</v>
      </c>
      <c r="N602" t="s">
        <v>704</v>
      </c>
      <c r="O602" t="s">
        <v>708</v>
      </c>
      <c r="P602" t="s">
        <v>718</v>
      </c>
      <c r="Q602" t="s">
        <v>731</v>
      </c>
      <c r="R602" t="s">
        <v>1332</v>
      </c>
      <c r="S602" s="5">
        <v>985.45</v>
      </c>
      <c r="T602" s="5">
        <v>1802.44</v>
      </c>
      <c r="U602" s="5" t="str">
        <f t="shared" si="180"/>
        <v>Valid</v>
      </c>
      <c r="V602" s="5">
        <f t="shared" si="171"/>
        <v>1802.44</v>
      </c>
      <c r="W602" s="5" t="str">
        <f t="shared" si="181"/>
        <v>Medium</v>
      </c>
      <c r="X602" s="5">
        <v>8.9999999999999993E-3</v>
      </c>
      <c r="Y602" s="5" t="str">
        <f t="shared" si="182"/>
        <v>Valid</v>
      </c>
      <c r="Z602" s="5">
        <f t="shared" si="183"/>
        <v>8.9999999999999993E-3</v>
      </c>
      <c r="AA602" s="5">
        <v>19</v>
      </c>
      <c r="AB602">
        <f t="shared" si="184"/>
        <v>33938.142760000002</v>
      </c>
      <c r="AC602">
        <f t="shared" si="172"/>
        <v>18723.55</v>
      </c>
      <c r="AD602">
        <f t="shared" si="185"/>
        <v>15214.592760000003</v>
      </c>
      <c r="AE602">
        <f t="shared" si="186"/>
        <v>0.44830363486867486</v>
      </c>
      <c r="AF602">
        <f t="shared" si="187"/>
        <v>0</v>
      </c>
      <c r="AG602">
        <f t="shared" si="188"/>
        <v>0</v>
      </c>
      <c r="AK602">
        <f>AA602*(1+What_if_Analysis!$B$4)</f>
        <v>22.8</v>
      </c>
      <c r="AL602" s="5">
        <f>MIN(Z602,What_if_Analysis!$B$2)</f>
        <v>8.9999999999999993E-3</v>
      </c>
      <c r="AM602">
        <f t="shared" si="189"/>
        <v>40725.771312000004</v>
      </c>
      <c r="AN602">
        <f>AM602-(AK602*(T602*(1+What_if_Analysis!$B$3)))</f>
        <v>-4479.4238880000048</v>
      </c>
    </row>
    <row r="603" spans="1:40" x14ac:dyDescent="0.3">
      <c r="A603" t="s">
        <v>615</v>
      </c>
      <c r="B603" s="3">
        <v>45523</v>
      </c>
      <c r="C603" s="3" t="str">
        <f t="shared" si="173"/>
        <v>Aug-2024</v>
      </c>
      <c r="D603" s="3" t="str">
        <f t="shared" si="174"/>
        <v>Q3-2024</v>
      </c>
      <c r="E603" s="3">
        <v>45537</v>
      </c>
      <c r="F603" s="3" t="str">
        <f t="shared" si="175"/>
        <v>Valid</v>
      </c>
      <c r="G603" s="12">
        <f t="shared" si="176"/>
        <v>14</v>
      </c>
      <c r="H603" s="3">
        <f t="shared" si="177"/>
        <v>45537</v>
      </c>
      <c r="I603" t="s">
        <v>648</v>
      </c>
      <c r="J603" t="str">
        <f t="shared" si="178"/>
        <v>Americas → Canada → Toronto</v>
      </c>
      <c r="K603" s="3" t="str">
        <f t="shared" si="179"/>
        <v>Canada-2024-08</v>
      </c>
      <c r="L603" t="s">
        <v>653</v>
      </c>
      <c r="M603" t="s">
        <v>667</v>
      </c>
      <c r="N603" t="s">
        <v>704</v>
      </c>
      <c r="O603" t="s">
        <v>710</v>
      </c>
      <c r="P603" t="s">
        <v>712</v>
      </c>
      <c r="Q603" t="s">
        <v>728</v>
      </c>
      <c r="R603" t="s">
        <v>1333</v>
      </c>
      <c r="S603" s="5">
        <v>1337.01</v>
      </c>
      <c r="T603" s="5">
        <v>1269.78</v>
      </c>
      <c r="U603" s="5" t="str">
        <f t="shared" si="180"/>
        <v>Valid</v>
      </c>
      <c r="V603" s="5">
        <f t="shared" si="171"/>
        <v>1269.78</v>
      </c>
      <c r="W603" s="5" t="str">
        <f t="shared" si="181"/>
        <v>Medium</v>
      </c>
      <c r="X603" s="5">
        <v>0.16</v>
      </c>
      <c r="Y603" s="5" t="str">
        <f t="shared" si="182"/>
        <v>Valid</v>
      </c>
      <c r="Z603" s="5">
        <f t="shared" si="183"/>
        <v>0.16</v>
      </c>
      <c r="AA603" s="5">
        <v>7</v>
      </c>
      <c r="AB603">
        <f t="shared" si="184"/>
        <v>7466.3063999999986</v>
      </c>
      <c r="AC603">
        <f t="shared" si="172"/>
        <v>9359.07</v>
      </c>
      <c r="AD603">
        <f t="shared" si="185"/>
        <v>-1892.7636000000011</v>
      </c>
      <c r="AE603">
        <f t="shared" si="186"/>
        <v>-0.25350735672996244</v>
      </c>
      <c r="AF603">
        <f t="shared" si="187"/>
        <v>0</v>
      </c>
      <c r="AG603">
        <f t="shared" si="188"/>
        <v>0</v>
      </c>
      <c r="AK603">
        <f>AA603*(1+What_if_Analysis!$B$4)</f>
        <v>8.4</v>
      </c>
      <c r="AL603" s="5">
        <f>MIN(Z603,What_if_Analysis!$B$2)</f>
        <v>0.05</v>
      </c>
      <c r="AM603">
        <f t="shared" si="189"/>
        <v>10132.8444</v>
      </c>
      <c r="AN603">
        <f>AM603-(AK603*(T603*(1+What_if_Analysis!$B$3)))</f>
        <v>-1599.9228000000003</v>
      </c>
    </row>
    <row r="604" spans="1:40" x14ac:dyDescent="0.3">
      <c r="A604" t="s">
        <v>616</v>
      </c>
      <c r="B604" s="3">
        <v>45880</v>
      </c>
      <c r="C604" s="3" t="str">
        <f t="shared" si="173"/>
        <v>Aug-2025</v>
      </c>
      <c r="D604" s="3" t="str">
        <f t="shared" si="174"/>
        <v>Q3-2025</v>
      </c>
      <c r="E604" s="3">
        <v>45897</v>
      </c>
      <c r="F604" s="3" t="str">
        <f t="shared" si="175"/>
        <v>Valid</v>
      </c>
      <c r="G604" s="12">
        <f t="shared" si="176"/>
        <v>17</v>
      </c>
      <c r="H604" s="3">
        <f t="shared" si="177"/>
        <v>45897</v>
      </c>
      <c r="I604" t="s">
        <v>649</v>
      </c>
      <c r="J604" t="str">
        <f t="shared" si="178"/>
        <v>Europe → France → Paris</v>
      </c>
      <c r="K604" s="3" t="str">
        <f t="shared" si="179"/>
        <v>France-2025-08</v>
      </c>
      <c r="L604" t="s">
        <v>657</v>
      </c>
      <c r="M604" t="s">
        <v>690</v>
      </c>
      <c r="N604" t="s">
        <v>702</v>
      </c>
      <c r="O604" t="s">
        <v>708</v>
      </c>
      <c r="P604" t="s">
        <v>721</v>
      </c>
      <c r="Q604" t="s">
        <v>729</v>
      </c>
      <c r="R604" t="s">
        <v>1334</v>
      </c>
      <c r="S604" s="5">
        <v>416.16</v>
      </c>
      <c r="T604" s="5">
        <v>571.9</v>
      </c>
      <c r="U604" s="5" t="str">
        <f t="shared" si="180"/>
        <v>Valid</v>
      </c>
      <c r="V604" s="5">
        <f t="shared" si="171"/>
        <v>571.9</v>
      </c>
      <c r="W604" s="5" t="str">
        <f t="shared" si="181"/>
        <v>Low</v>
      </c>
      <c r="X604" s="5">
        <v>7.0999999999999994E-2</v>
      </c>
      <c r="Y604" s="5" t="str">
        <f t="shared" si="182"/>
        <v>Valid</v>
      </c>
      <c r="Z604" s="5">
        <f t="shared" si="183"/>
        <v>7.0999999999999994E-2</v>
      </c>
      <c r="AA604" s="5">
        <v>2</v>
      </c>
      <c r="AB604">
        <f t="shared" si="184"/>
        <v>1062.5902000000001</v>
      </c>
      <c r="AC604">
        <f t="shared" si="172"/>
        <v>832.32</v>
      </c>
      <c r="AD604">
        <f t="shared" si="185"/>
        <v>230.27020000000005</v>
      </c>
      <c r="AE604">
        <f t="shared" si="186"/>
        <v>0.21670649701079497</v>
      </c>
      <c r="AF604">
        <f t="shared" si="187"/>
        <v>0</v>
      </c>
      <c r="AG604">
        <f t="shared" si="188"/>
        <v>0</v>
      </c>
      <c r="AK604">
        <f>AA604*(1+What_if_Analysis!$B$4)</f>
        <v>2.4</v>
      </c>
      <c r="AL604" s="5">
        <f>MIN(Z604,What_if_Analysis!$B$2)</f>
        <v>0.05</v>
      </c>
      <c r="AM604">
        <f t="shared" si="189"/>
        <v>1303.9319999999998</v>
      </c>
      <c r="AN604">
        <f>AM604-(AK604*(T604*(1+What_if_Analysis!$B$3)))</f>
        <v>-205.88400000000024</v>
      </c>
    </row>
    <row r="605" spans="1:40" x14ac:dyDescent="0.3">
      <c r="A605" t="s">
        <v>617</v>
      </c>
      <c r="B605" s="3">
        <v>45793</v>
      </c>
      <c r="C605" s="3" t="str">
        <f t="shared" si="173"/>
        <v>May-2025</v>
      </c>
      <c r="D605" s="3" t="str">
        <f t="shared" si="174"/>
        <v>Q2-2025</v>
      </c>
      <c r="E605" s="3">
        <v>45795</v>
      </c>
      <c r="F605" s="3" t="str">
        <f t="shared" si="175"/>
        <v>Valid</v>
      </c>
      <c r="G605" s="12">
        <f t="shared" si="176"/>
        <v>2</v>
      </c>
      <c r="H605" s="3">
        <f t="shared" si="177"/>
        <v>45795</v>
      </c>
      <c r="I605" t="s">
        <v>647</v>
      </c>
      <c r="J605" t="str">
        <f t="shared" si="178"/>
        <v>Asia → Japan → Tokyo</v>
      </c>
      <c r="K605" s="3" t="str">
        <f t="shared" si="179"/>
        <v>Japan-2025-05</v>
      </c>
      <c r="L605" t="s">
        <v>652</v>
      </c>
      <c r="M605" t="s">
        <v>689</v>
      </c>
      <c r="N605" t="s">
        <v>706</v>
      </c>
      <c r="O605" t="s">
        <v>707</v>
      </c>
      <c r="P605" t="s">
        <v>713</v>
      </c>
      <c r="Q605" t="s">
        <v>728</v>
      </c>
      <c r="R605" t="s">
        <v>1335</v>
      </c>
      <c r="S605" s="5">
        <v>1144.3800000000001</v>
      </c>
      <c r="T605" s="5">
        <v>2755.04</v>
      </c>
      <c r="U605" s="5" t="str">
        <f t="shared" si="180"/>
        <v>Valid</v>
      </c>
      <c r="V605" s="5">
        <f t="shared" si="171"/>
        <v>2755.04</v>
      </c>
      <c r="W605" s="5" t="str">
        <f t="shared" si="181"/>
        <v>High</v>
      </c>
      <c r="X605" s="5">
        <v>0.15</v>
      </c>
      <c r="Y605" s="5" t="str">
        <f t="shared" si="182"/>
        <v>Valid</v>
      </c>
      <c r="Z605" s="5">
        <f t="shared" si="183"/>
        <v>0.15</v>
      </c>
      <c r="AA605" s="5">
        <v>17</v>
      </c>
      <c r="AB605">
        <f t="shared" si="184"/>
        <v>39810.328000000001</v>
      </c>
      <c r="AC605">
        <f t="shared" si="172"/>
        <v>19454.460000000003</v>
      </c>
      <c r="AD605">
        <f t="shared" si="185"/>
        <v>20355.867999999999</v>
      </c>
      <c r="AE605">
        <f t="shared" si="186"/>
        <v>0.51132128326096682</v>
      </c>
      <c r="AF605">
        <f t="shared" si="187"/>
        <v>1</v>
      </c>
      <c r="AG605">
        <f t="shared" si="188"/>
        <v>0</v>
      </c>
      <c r="AK605">
        <f>AA605*(1+What_if_Analysis!$B$4)</f>
        <v>20.399999999999999</v>
      </c>
      <c r="AL605" s="5">
        <f>MIN(Z605,What_if_Analysis!$B$2)</f>
        <v>0.05</v>
      </c>
      <c r="AM605">
        <f t="shared" si="189"/>
        <v>53392.675199999998</v>
      </c>
      <c r="AN605">
        <f>AM605-(AK605*(T605*(1+What_if_Analysis!$B$3)))</f>
        <v>-8430.4224000000031</v>
      </c>
    </row>
    <row r="606" spans="1:40" x14ac:dyDescent="0.3">
      <c r="A606" t="s">
        <v>618</v>
      </c>
      <c r="B606" s="3">
        <v>45026</v>
      </c>
      <c r="C606" s="3" t="str">
        <f t="shared" si="173"/>
        <v>Apr-2023</v>
      </c>
      <c r="D606" s="3" t="str">
        <f t="shared" si="174"/>
        <v>Q2-2023</v>
      </c>
      <c r="E606" s="3">
        <v>45041</v>
      </c>
      <c r="F606" s="3" t="str">
        <f t="shared" si="175"/>
        <v>Valid</v>
      </c>
      <c r="G606" s="12">
        <f t="shared" si="176"/>
        <v>15</v>
      </c>
      <c r="H606" s="3">
        <f t="shared" si="177"/>
        <v>45041</v>
      </c>
      <c r="I606" t="s">
        <v>649</v>
      </c>
      <c r="J606" t="str">
        <f t="shared" si="178"/>
        <v>Europe → United Kingdom → London</v>
      </c>
      <c r="K606" s="3" t="str">
        <f t="shared" si="179"/>
        <v>United Kingdom-2023-04</v>
      </c>
      <c r="L606" t="s">
        <v>658</v>
      </c>
      <c r="M606" t="s">
        <v>683</v>
      </c>
      <c r="N606" t="s">
        <v>705</v>
      </c>
      <c r="O606" t="s">
        <v>707</v>
      </c>
      <c r="P606" t="s">
        <v>726</v>
      </c>
      <c r="Q606" t="s">
        <v>728</v>
      </c>
      <c r="R606" t="s">
        <v>1336</v>
      </c>
      <c r="S606" s="5">
        <v>405.66</v>
      </c>
      <c r="T606" s="5">
        <v>962.51</v>
      </c>
      <c r="U606" s="5" t="str">
        <f t="shared" si="180"/>
        <v>Valid</v>
      </c>
      <c r="V606" s="5">
        <f t="shared" si="171"/>
        <v>962.51</v>
      </c>
      <c r="W606" s="5" t="str">
        <f t="shared" si="181"/>
        <v>Medium</v>
      </c>
      <c r="X606" s="5">
        <v>0.19</v>
      </c>
      <c r="Y606" s="5" t="str">
        <f t="shared" si="182"/>
        <v>Valid</v>
      </c>
      <c r="Z606" s="5">
        <f t="shared" si="183"/>
        <v>0.19</v>
      </c>
      <c r="AA606" s="5">
        <v>7</v>
      </c>
      <c r="AB606">
        <f t="shared" si="184"/>
        <v>5457.4317000000001</v>
      </c>
      <c r="AC606">
        <f t="shared" si="172"/>
        <v>2839.6200000000003</v>
      </c>
      <c r="AD606">
        <f t="shared" si="185"/>
        <v>2617.8116999999997</v>
      </c>
      <c r="AE606">
        <f t="shared" si="186"/>
        <v>0.47967832561239376</v>
      </c>
      <c r="AF606">
        <f t="shared" si="187"/>
        <v>0</v>
      </c>
      <c r="AG606">
        <f t="shared" si="188"/>
        <v>0</v>
      </c>
      <c r="AK606">
        <f>AA606*(1+What_if_Analysis!$B$4)</f>
        <v>8.4</v>
      </c>
      <c r="AL606" s="5">
        <f>MIN(Z606,What_if_Analysis!$B$2)</f>
        <v>0.05</v>
      </c>
      <c r="AM606">
        <f t="shared" si="189"/>
        <v>7680.8297999999995</v>
      </c>
      <c r="AN606">
        <f>AM606-(AK606*(T606*(1+What_if_Analysis!$B$3)))</f>
        <v>-1212.7626</v>
      </c>
    </row>
    <row r="607" spans="1:40" x14ac:dyDescent="0.3">
      <c r="A607" t="s">
        <v>619</v>
      </c>
      <c r="B607" s="3">
        <v>45186</v>
      </c>
      <c r="C607" s="3" t="str">
        <f t="shared" si="173"/>
        <v>Sept-2023</v>
      </c>
      <c r="D607" s="3" t="str">
        <f t="shared" si="174"/>
        <v>Q3-2023</v>
      </c>
      <c r="E607" s="3">
        <v>45201</v>
      </c>
      <c r="F607" s="3" t="str">
        <f t="shared" si="175"/>
        <v>Valid</v>
      </c>
      <c r="G607" s="12">
        <f t="shared" si="176"/>
        <v>15</v>
      </c>
      <c r="H607" s="3">
        <f t="shared" si="177"/>
        <v>45201</v>
      </c>
      <c r="I607" t="s">
        <v>648</v>
      </c>
      <c r="J607" t="str">
        <f t="shared" si="178"/>
        <v>Americas → Brazil → Rio de Janeiro</v>
      </c>
      <c r="K607" s="3" t="str">
        <f t="shared" si="179"/>
        <v>Brazil-2023-09</v>
      </c>
      <c r="L607" t="s">
        <v>655</v>
      </c>
      <c r="M607" t="s">
        <v>692</v>
      </c>
      <c r="N607" t="s">
        <v>705</v>
      </c>
      <c r="O607" t="s">
        <v>707</v>
      </c>
      <c r="P607" t="s">
        <v>717</v>
      </c>
      <c r="Q607" t="s">
        <v>731</v>
      </c>
      <c r="R607" t="s">
        <v>1337</v>
      </c>
      <c r="S607" s="5">
        <v>689.33</v>
      </c>
      <c r="T607" s="5">
        <v>668.27</v>
      </c>
      <c r="U607" s="5" t="str">
        <f t="shared" si="180"/>
        <v>Valid</v>
      </c>
      <c r="V607" s="5">
        <f t="shared" si="171"/>
        <v>668.27</v>
      </c>
      <c r="W607" s="5" t="str">
        <f t="shared" si="181"/>
        <v>Medium</v>
      </c>
      <c r="X607" s="5">
        <v>0.186</v>
      </c>
      <c r="Y607" s="5" t="str">
        <f t="shared" si="182"/>
        <v>Valid</v>
      </c>
      <c r="Z607" s="5">
        <f t="shared" si="183"/>
        <v>0.186</v>
      </c>
      <c r="AA607" s="5">
        <v>13</v>
      </c>
      <c r="AB607">
        <f t="shared" si="184"/>
        <v>7071.6331400000008</v>
      </c>
      <c r="AC607">
        <f t="shared" si="172"/>
        <v>8961.2900000000009</v>
      </c>
      <c r="AD607">
        <f t="shared" si="185"/>
        <v>-1889.6568600000001</v>
      </c>
      <c r="AE607">
        <f t="shared" si="186"/>
        <v>-0.26721647214861033</v>
      </c>
      <c r="AF607">
        <f t="shared" si="187"/>
        <v>0</v>
      </c>
      <c r="AG607">
        <f t="shared" si="188"/>
        <v>0</v>
      </c>
      <c r="AK607">
        <f>AA607*(1+What_if_Analysis!$B$4)</f>
        <v>15.6</v>
      </c>
      <c r="AL607" s="5">
        <f>MIN(Z607,What_if_Analysis!$B$2)</f>
        <v>0.05</v>
      </c>
      <c r="AM607">
        <f t="shared" si="189"/>
        <v>9903.7613999999976</v>
      </c>
      <c r="AN607">
        <f>AM607-(AK607*(T607*(1+What_if_Analysis!$B$3)))</f>
        <v>-1563.7518000000036</v>
      </c>
    </row>
    <row r="608" spans="1:40" x14ac:dyDescent="0.3">
      <c r="A608" t="s">
        <v>620</v>
      </c>
      <c r="B608" s="3">
        <v>45038</v>
      </c>
      <c r="C608" s="3" t="str">
        <f t="shared" si="173"/>
        <v>Apr-2023</v>
      </c>
      <c r="D608" s="3" t="str">
        <f t="shared" si="174"/>
        <v>Q2-2023</v>
      </c>
      <c r="E608" s="3">
        <v>45060</v>
      </c>
      <c r="F608" s="3" t="str">
        <f t="shared" si="175"/>
        <v>Valid</v>
      </c>
      <c r="G608" s="12">
        <f t="shared" si="176"/>
        <v>22</v>
      </c>
      <c r="H608" s="3">
        <f t="shared" si="177"/>
        <v>45060</v>
      </c>
      <c r="I608" t="s">
        <v>647</v>
      </c>
      <c r="J608" t="str">
        <f t="shared" si="178"/>
        <v>Asia → Japan → Nagoya</v>
      </c>
      <c r="K608" s="3" t="str">
        <f t="shared" si="179"/>
        <v>Japan-2023-04</v>
      </c>
      <c r="L608" t="s">
        <v>652</v>
      </c>
      <c r="M608" t="s">
        <v>694</v>
      </c>
      <c r="N608" t="s">
        <v>706</v>
      </c>
      <c r="O608" t="s">
        <v>707</v>
      </c>
      <c r="P608" t="s">
        <v>720</v>
      </c>
      <c r="Q608" t="s">
        <v>733</v>
      </c>
      <c r="R608" t="s">
        <v>1338</v>
      </c>
      <c r="S608" s="5">
        <v>1209.22</v>
      </c>
      <c r="T608" s="5">
        <v>1404.33</v>
      </c>
      <c r="U608" s="5" t="str">
        <f t="shared" si="180"/>
        <v>Valid</v>
      </c>
      <c r="V608" s="5">
        <f t="shared" si="171"/>
        <v>1404.33</v>
      </c>
      <c r="W608" s="5" t="str">
        <f t="shared" si="181"/>
        <v>Medium</v>
      </c>
      <c r="X608" s="5">
        <v>0.10299999999999999</v>
      </c>
      <c r="Y608" s="5" t="str">
        <f t="shared" si="182"/>
        <v>Valid</v>
      </c>
      <c r="Z608" s="5">
        <f t="shared" si="183"/>
        <v>0.10299999999999999</v>
      </c>
      <c r="AA608" s="5">
        <v>11</v>
      </c>
      <c r="AB608">
        <f t="shared" si="184"/>
        <v>13856.52411</v>
      </c>
      <c r="AC608">
        <f t="shared" si="172"/>
        <v>13301.42</v>
      </c>
      <c r="AD608">
        <f t="shared" si="185"/>
        <v>555.10411000000022</v>
      </c>
      <c r="AE608">
        <f t="shared" si="186"/>
        <v>4.0060848275751328E-2</v>
      </c>
      <c r="AF608">
        <f t="shared" si="187"/>
        <v>0</v>
      </c>
      <c r="AG608">
        <f t="shared" si="188"/>
        <v>0</v>
      </c>
      <c r="AK608">
        <f>AA608*(1+What_if_Analysis!$B$4)</f>
        <v>13.2</v>
      </c>
      <c r="AL608" s="5">
        <f>MIN(Z608,What_if_Analysis!$B$2)</f>
        <v>0.05</v>
      </c>
      <c r="AM608">
        <f t="shared" si="189"/>
        <v>17610.298199999997</v>
      </c>
      <c r="AN608">
        <f>AM608-(AK608*(T608*(1+What_if_Analysis!$B$3)))</f>
        <v>-2780.5734000000048</v>
      </c>
    </row>
    <row r="609" spans="1:40" x14ac:dyDescent="0.3">
      <c r="A609" t="s">
        <v>621</v>
      </c>
      <c r="B609" s="3">
        <v>45827</v>
      </c>
      <c r="C609" s="3" t="str">
        <f t="shared" si="173"/>
        <v>Jun-2025</v>
      </c>
      <c r="D609" s="3" t="str">
        <f t="shared" si="174"/>
        <v>Q2-2025</v>
      </c>
      <c r="E609" s="3">
        <v>45829</v>
      </c>
      <c r="F609" s="3" t="str">
        <f t="shared" si="175"/>
        <v>Valid</v>
      </c>
      <c r="G609" s="12">
        <f t="shared" si="176"/>
        <v>2</v>
      </c>
      <c r="H609" s="3">
        <f t="shared" si="177"/>
        <v>45829</v>
      </c>
      <c r="I609" t="s">
        <v>646</v>
      </c>
      <c r="J609" t="str">
        <f t="shared" si="178"/>
        <v>Africa → South Africa → Johannesburg</v>
      </c>
      <c r="K609" s="3" t="str">
        <f t="shared" si="179"/>
        <v>South Africa-2025-06</v>
      </c>
      <c r="L609" t="s">
        <v>661</v>
      </c>
      <c r="M609" t="s">
        <v>682</v>
      </c>
      <c r="N609" t="s">
        <v>705</v>
      </c>
      <c r="O609" t="s">
        <v>1424</v>
      </c>
      <c r="P609" t="s">
        <v>722</v>
      </c>
      <c r="Q609" t="s">
        <v>730</v>
      </c>
      <c r="R609" t="s">
        <v>1339</v>
      </c>
      <c r="S609" s="5">
        <v>1466.27</v>
      </c>
      <c r="T609" s="5">
        <v>3589.89</v>
      </c>
      <c r="U609" s="5" t="str">
        <f t="shared" si="180"/>
        <v>Valid</v>
      </c>
      <c r="V609" s="5">
        <f t="shared" si="171"/>
        <v>3589.89</v>
      </c>
      <c r="W609" s="5" t="str">
        <f t="shared" si="181"/>
        <v>High</v>
      </c>
      <c r="X609" s="5">
        <v>9.7000000000000003E-2</v>
      </c>
      <c r="Y609" s="5" t="str">
        <f t="shared" si="182"/>
        <v>Valid</v>
      </c>
      <c r="Z609" s="5">
        <f t="shared" si="183"/>
        <v>9.7000000000000003E-2</v>
      </c>
      <c r="AA609" s="5">
        <v>9</v>
      </c>
      <c r="AB609">
        <f t="shared" si="184"/>
        <v>29175.036029999999</v>
      </c>
      <c r="AC609">
        <f t="shared" si="172"/>
        <v>13196.43</v>
      </c>
      <c r="AD609">
        <f t="shared" si="185"/>
        <v>15978.606029999999</v>
      </c>
      <c r="AE609">
        <f t="shared" si="186"/>
        <v>0.54768076425234147</v>
      </c>
      <c r="AF609">
        <f t="shared" si="187"/>
        <v>1</v>
      </c>
      <c r="AG609">
        <f t="shared" si="188"/>
        <v>0</v>
      </c>
      <c r="AK609">
        <f>AA609*(1+What_if_Analysis!$B$4)</f>
        <v>10.799999999999999</v>
      </c>
      <c r="AL609" s="5">
        <f>MIN(Z609,What_if_Analysis!$B$2)</f>
        <v>0.05</v>
      </c>
      <c r="AM609">
        <f t="shared" si="189"/>
        <v>36832.271399999998</v>
      </c>
      <c r="AN609">
        <f>AM609-(AK609*(T609*(1+What_if_Analysis!$B$3)))</f>
        <v>-5815.6218000000008</v>
      </c>
    </row>
    <row r="610" spans="1:40" x14ac:dyDescent="0.3">
      <c r="A610" t="s">
        <v>622</v>
      </c>
      <c r="B610" s="3">
        <v>45623</v>
      </c>
      <c r="C610" s="3" t="str">
        <f t="shared" si="173"/>
        <v>Nov-2024</v>
      </c>
      <c r="D610" s="3" t="str">
        <f t="shared" si="174"/>
        <v>Q4-2024</v>
      </c>
      <c r="E610" s="3">
        <v>45650</v>
      </c>
      <c r="F610" s="3" t="str">
        <f t="shared" si="175"/>
        <v>Valid</v>
      </c>
      <c r="G610" s="12">
        <f t="shared" si="176"/>
        <v>27</v>
      </c>
      <c r="H610" s="3">
        <f t="shared" si="177"/>
        <v>45650</v>
      </c>
      <c r="I610" t="s">
        <v>646</v>
      </c>
      <c r="J610" t="str">
        <f t="shared" si="178"/>
        <v>Africa → Kenya → Mombasa</v>
      </c>
      <c r="K610" s="3" t="str">
        <f t="shared" si="179"/>
        <v>Kenya-2024-11</v>
      </c>
      <c r="L610" t="s">
        <v>650</v>
      </c>
      <c r="M610" t="s">
        <v>675</v>
      </c>
      <c r="N610" t="s">
        <v>701</v>
      </c>
      <c r="O610" t="s">
        <v>710</v>
      </c>
      <c r="P610" t="s">
        <v>717</v>
      </c>
      <c r="Q610" t="s">
        <v>728</v>
      </c>
      <c r="R610" t="s">
        <v>1340</v>
      </c>
      <c r="S610" s="5">
        <v>143.33000000000001</v>
      </c>
      <c r="T610" s="5">
        <v>233.51</v>
      </c>
      <c r="U610" s="5" t="str">
        <f t="shared" si="180"/>
        <v>Valid</v>
      </c>
      <c r="V610" s="5">
        <f t="shared" si="171"/>
        <v>233.51</v>
      </c>
      <c r="W610" s="5" t="str">
        <f t="shared" si="181"/>
        <v>Low</v>
      </c>
      <c r="X610" s="5">
        <v>0.16300000000000001</v>
      </c>
      <c r="Y610" s="5" t="str">
        <f t="shared" si="182"/>
        <v>Valid</v>
      </c>
      <c r="Z610" s="5">
        <f t="shared" si="183"/>
        <v>0.16300000000000001</v>
      </c>
      <c r="AA610" s="5">
        <v>14</v>
      </c>
      <c r="AB610">
        <f t="shared" si="184"/>
        <v>2736.27018</v>
      </c>
      <c r="AC610">
        <f t="shared" si="172"/>
        <v>2006.6200000000001</v>
      </c>
      <c r="AD610">
        <f t="shared" si="185"/>
        <v>729.65017999999986</v>
      </c>
      <c r="AE610">
        <f t="shared" si="186"/>
        <v>0.26665867476580835</v>
      </c>
      <c r="AF610">
        <f t="shared" si="187"/>
        <v>0</v>
      </c>
      <c r="AG610">
        <f t="shared" si="188"/>
        <v>0</v>
      </c>
      <c r="AK610">
        <f>AA610*(1+What_if_Analysis!$B$4)</f>
        <v>16.8</v>
      </c>
      <c r="AL610" s="5">
        <f>MIN(Z610,What_if_Analysis!$B$2)</f>
        <v>0.05</v>
      </c>
      <c r="AM610">
        <f t="shared" si="189"/>
        <v>3726.8195999999998</v>
      </c>
      <c r="AN610">
        <f>AM610-(AK610*(T610*(1+What_if_Analysis!$B$3)))</f>
        <v>-588.44520000000011</v>
      </c>
    </row>
    <row r="611" spans="1:40" x14ac:dyDescent="0.3">
      <c r="A611" t="s">
        <v>623</v>
      </c>
      <c r="B611" s="3">
        <v>45319</v>
      </c>
      <c r="C611" s="3" t="str">
        <f t="shared" si="173"/>
        <v>Jan-2024</v>
      </c>
      <c r="D611" s="3" t="str">
        <f t="shared" si="174"/>
        <v>Q1-2024</v>
      </c>
      <c r="E611" s="3">
        <v>45318</v>
      </c>
      <c r="F611" s="3" t="str">
        <f t="shared" si="175"/>
        <v>Invalid RequiredDate</v>
      </c>
      <c r="G611" s="12">
        <f t="shared" si="176"/>
        <v>-1</v>
      </c>
      <c r="H611" s="3">
        <f t="shared" si="177"/>
        <v>45345</v>
      </c>
      <c r="I611" t="s">
        <v>646</v>
      </c>
      <c r="J611" t="str">
        <f t="shared" si="178"/>
        <v>Africa → South Africa → Cape Town</v>
      </c>
      <c r="K611" s="3" t="str">
        <f t="shared" si="179"/>
        <v>South Africa-2024-01</v>
      </c>
      <c r="L611" t="s">
        <v>661</v>
      </c>
      <c r="M611" t="s">
        <v>695</v>
      </c>
      <c r="N611" t="s">
        <v>706</v>
      </c>
      <c r="O611" t="s">
        <v>711</v>
      </c>
      <c r="P611" t="s">
        <v>719</v>
      </c>
      <c r="Q611" t="s">
        <v>727</v>
      </c>
      <c r="R611" t="s">
        <v>1341</v>
      </c>
      <c r="S611" s="5">
        <v>109.75</v>
      </c>
      <c r="T611" s="5">
        <v>124.25</v>
      </c>
      <c r="U611" s="5" t="str">
        <f t="shared" si="180"/>
        <v>Valid</v>
      </c>
      <c r="V611" s="5">
        <f t="shared" si="171"/>
        <v>124.25</v>
      </c>
      <c r="W611" s="5" t="str">
        <f t="shared" si="181"/>
        <v>Low</v>
      </c>
      <c r="X611" s="5">
        <v>0.12</v>
      </c>
      <c r="Y611" s="5" t="str">
        <f t="shared" si="182"/>
        <v>Valid</v>
      </c>
      <c r="Z611" s="5">
        <f t="shared" si="183"/>
        <v>0.12</v>
      </c>
      <c r="AA611" s="5">
        <v>19</v>
      </c>
      <c r="AB611">
        <f t="shared" si="184"/>
        <v>2077.46</v>
      </c>
      <c r="AC611">
        <f t="shared" si="172"/>
        <v>2085.25</v>
      </c>
      <c r="AD611">
        <f t="shared" si="185"/>
        <v>-7.7899999999999636</v>
      </c>
      <c r="AE611">
        <f t="shared" si="186"/>
        <v>-3.7497713554051405E-3</v>
      </c>
      <c r="AF611">
        <f t="shared" si="187"/>
        <v>1</v>
      </c>
      <c r="AG611">
        <f t="shared" si="188"/>
        <v>0</v>
      </c>
      <c r="AK611">
        <f>AA611*(1+What_if_Analysis!$B$4)</f>
        <v>22.8</v>
      </c>
      <c r="AL611" s="5">
        <f>MIN(Z611,What_if_Analysis!$B$2)</f>
        <v>0.05</v>
      </c>
      <c r="AM611">
        <f t="shared" si="189"/>
        <v>2691.2550000000001</v>
      </c>
      <c r="AN611">
        <f>AM611-(AK611*(T611*(1+What_if_Analysis!$B$3)))</f>
        <v>-424.9350000000004</v>
      </c>
    </row>
    <row r="612" spans="1:40" x14ac:dyDescent="0.3">
      <c r="A612" t="s">
        <v>624</v>
      </c>
      <c r="B612" s="3">
        <v>45032</v>
      </c>
      <c r="C612" s="3" t="str">
        <f t="shared" si="173"/>
        <v>Apr-2023</v>
      </c>
      <c r="D612" s="3" t="str">
        <f t="shared" si="174"/>
        <v>Q2-2023</v>
      </c>
      <c r="E612" s="3">
        <v>45039</v>
      </c>
      <c r="F612" s="3" t="str">
        <f t="shared" si="175"/>
        <v>Valid</v>
      </c>
      <c r="G612" s="12">
        <f t="shared" si="176"/>
        <v>7</v>
      </c>
      <c r="H612" s="3">
        <f t="shared" si="177"/>
        <v>45039</v>
      </c>
      <c r="I612" t="s">
        <v>648</v>
      </c>
      <c r="J612" t="str">
        <f t="shared" si="178"/>
        <v>Americas → USA → Austin</v>
      </c>
      <c r="K612" s="3" t="str">
        <f t="shared" si="179"/>
        <v>USA-2023-04</v>
      </c>
      <c r="L612" t="s">
        <v>660</v>
      </c>
      <c r="M612" t="s">
        <v>697</v>
      </c>
      <c r="N612" t="s">
        <v>701</v>
      </c>
      <c r="O612" t="s">
        <v>710</v>
      </c>
      <c r="P612" t="s">
        <v>719</v>
      </c>
      <c r="Q612" t="s">
        <v>728</v>
      </c>
      <c r="R612" t="s">
        <v>1342</v>
      </c>
      <c r="S612" s="5">
        <v>1099.1500000000001</v>
      </c>
      <c r="T612" s="5">
        <v>1431.37</v>
      </c>
      <c r="U612" s="5" t="str">
        <f t="shared" si="180"/>
        <v>Valid</v>
      </c>
      <c r="V612" s="5">
        <f t="shared" si="171"/>
        <v>1431.37</v>
      </c>
      <c r="W612" s="5" t="str">
        <f t="shared" si="181"/>
        <v>Medium</v>
      </c>
      <c r="X612" s="5">
        <v>0.104</v>
      </c>
      <c r="Y612" s="5" t="str">
        <f t="shared" si="182"/>
        <v>Valid</v>
      </c>
      <c r="Z612" s="5">
        <f t="shared" si="183"/>
        <v>0.104</v>
      </c>
      <c r="AA612" s="5">
        <v>8</v>
      </c>
      <c r="AB612">
        <f t="shared" si="184"/>
        <v>10260.060159999999</v>
      </c>
      <c r="AC612">
        <f t="shared" si="172"/>
        <v>8793.2000000000007</v>
      </c>
      <c r="AD612">
        <f t="shared" si="185"/>
        <v>1466.8601599999984</v>
      </c>
      <c r="AE612">
        <f t="shared" si="186"/>
        <v>0.14296798821109433</v>
      </c>
      <c r="AF612">
        <f t="shared" si="187"/>
        <v>1</v>
      </c>
      <c r="AG612">
        <f t="shared" si="188"/>
        <v>0</v>
      </c>
      <c r="AK612">
        <f>AA612*(1+What_if_Analysis!$B$4)</f>
        <v>9.6</v>
      </c>
      <c r="AL612" s="5">
        <f>MIN(Z612,What_if_Analysis!$B$2)</f>
        <v>0.05</v>
      </c>
      <c r="AM612">
        <f t="shared" si="189"/>
        <v>13054.094399999998</v>
      </c>
      <c r="AN612">
        <f>AM612-(AK612*(T612*(1+What_if_Analysis!$B$3)))</f>
        <v>-2061.1728000000021</v>
      </c>
    </row>
    <row r="613" spans="1:40" x14ac:dyDescent="0.3">
      <c r="A613" t="s">
        <v>625</v>
      </c>
      <c r="B613" s="3">
        <v>45323</v>
      </c>
      <c r="C613" s="3" t="str">
        <f t="shared" si="173"/>
        <v>Feb-2024</v>
      </c>
      <c r="D613" s="3" t="str">
        <f t="shared" si="174"/>
        <v>Q1-2024</v>
      </c>
      <c r="E613" s="3">
        <v>45323</v>
      </c>
      <c r="F613" s="3" t="str">
        <f t="shared" si="175"/>
        <v>Valid</v>
      </c>
      <c r="G613" s="12">
        <f t="shared" si="176"/>
        <v>0</v>
      </c>
      <c r="H613" s="3">
        <f t="shared" si="177"/>
        <v>45323</v>
      </c>
      <c r="I613" t="s">
        <v>648</v>
      </c>
      <c r="J613" t="str">
        <f t="shared" si="178"/>
        <v>Americas → USA → Austin</v>
      </c>
      <c r="K613" s="3" t="str">
        <f t="shared" si="179"/>
        <v>USA-2024-02</v>
      </c>
      <c r="L613" t="s">
        <v>660</v>
      </c>
      <c r="M613" t="s">
        <v>697</v>
      </c>
      <c r="N613" t="s">
        <v>704</v>
      </c>
      <c r="O613" t="s">
        <v>710</v>
      </c>
      <c r="P613" t="s">
        <v>722</v>
      </c>
      <c r="Q613" t="s">
        <v>728</v>
      </c>
      <c r="R613" t="s">
        <v>1343</v>
      </c>
      <c r="S613" s="5">
        <v>714.43</v>
      </c>
      <c r="T613" s="5">
        <v>1595.52</v>
      </c>
      <c r="U613" s="5" t="str">
        <f t="shared" si="180"/>
        <v>Valid</v>
      </c>
      <c r="V613" s="5">
        <f t="shared" si="171"/>
        <v>1595.52</v>
      </c>
      <c r="W613" s="5" t="str">
        <f t="shared" si="181"/>
        <v>Medium</v>
      </c>
      <c r="X613" s="5">
        <v>0.19400000000000001</v>
      </c>
      <c r="Y613" s="5" t="str">
        <f t="shared" si="182"/>
        <v>Valid</v>
      </c>
      <c r="Z613" s="5">
        <f t="shared" si="183"/>
        <v>0.19400000000000001</v>
      </c>
      <c r="AA613" s="5">
        <v>14</v>
      </c>
      <c r="AB613">
        <f t="shared" si="184"/>
        <v>18003.847679999999</v>
      </c>
      <c r="AC613">
        <f t="shared" si="172"/>
        <v>10002.019999999999</v>
      </c>
      <c r="AD613">
        <f t="shared" si="185"/>
        <v>8001.8276800000003</v>
      </c>
      <c r="AE613">
        <f t="shared" si="186"/>
        <v>0.44445097638151093</v>
      </c>
      <c r="AF613">
        <f t="shared" si="187"/>
        <v>1</v>
      </c>
      <c r="AG613">
        <f t="shared" si="188"/>
        <v>0</v>
      </c>
      <c r="AK613">
        <f>AA613*(1+What_if_Analysis!$B$4)</f>
        <v>16.8</v>
      </c>
      <c r="AL613" s="5">
        <f>MIN(Z613,What_if_Analysis!$B$2)</f>
        <v>0.05</v>
      </c>
      <c r="AM613">
        <f t="shared" si="189"/>
        <v>25464.499199999998</v>
      </c>
      <c r="AN613">
        <f>AM613-(AK613*(T613*(1+What_if_Analysis!$B$3)))</f>
        <v>-4020.7104000000036</v>
      </c>
    </row>
    <row r="614" spans="1:40" x14ac:dyDescent="0.3">
      <c r="A614" t="s">
        <v>626</v>
      </c>
      <c r="B614" s="3">
        <v>45584</v>
      </c>
      <c r="C614" s="3" t="str">
        <f t="shared" si="173"/>
        <v>Oct-2024</v>
      </c>
      <c r="D614" s="3" t="str">
        <f t="shared" si="174"/>
        <v>Q4-2024</v>
      </c>
      <c r="E614" s="3">
        <v>45602</v>
      </c>
      <c r="F614" s="3" t="str">
        <f t="shared" si="175"/>
        <v>Valid</v>
      </c>
      <c r="G614" s="12">
        <f t="shared" si="176"/>
        <v>18</v>
      </c>
      <c r="H614" s="3">
        <f t="shared" si="177"/>
        <v>45602</v>
      </c>
      <c r="I614" t="s">
        <v>648</v>
      </c>
      <c r="J614" t="str">
        <f t="shared" si="178"/>
        <v>Americas → USA → Chicago</v>
      </c>
      <c r="K614" s="3" t="str">
        <f t="shared" si="179"/>
        <v>USA-2024-10</v>
      </c>
      <c r="L614" t="s">
        <v>660</v>
      </c>
      <c r="M614" t="s">
        <v>677</v>
      </c>
      <c r="N614" t="s">
        <v>702</v>
      </c>
      <c r="O614" t="s">
        <v>1424</v>
      </c>
      <c r="P614" t="s">
        <v>712</v>
      </c>
      <c r="Q614" t="s">
        <v>732</v>
      </c>
      <c r="R614" t="s">
        <v>1344</v>
      </c>
      <c r="S614" s="5">
        <v>942.02</v>
      </c>
      <c r="T614" s="5">
        <v>1028.46</v>
      </c>
      <c r="U614" s="5" t="str">
        <f t="shared" si="180"/>
        <v>Valid</v>
      </c>
      <c r="V614" s="5">
        <f t="shared" si="171"/>
        <v>1028.46</v>
      </c>
      <c r="W614" s="5" t="str">
        <f t="shared" si="181"/>
        <v>Medium</v>
      </c>
      <c r="X614" s="5">
        <v>0</v>
      </c>
      <c r="Y614" s="5" t="str">
        <f t="shared" si="182"/>
        <v>Valid</v>
      </c>
      <c r="Z614" s="5">
        <f t="shared" si="183"/>
        <v>0</v>
      </c>
      <c r="AA614" s="5">
        <v>9</v>
      </c>
      <c r="AB614">
        <f t="shared" si="184"/>
        <v>9256.14</v>
      </c>
      <c r="AC614">
        <f t="shared" si="172"/>
        <v>8478.18</v>
      </c>
      <c r="AD614">
        <f t="shared" si="185"/>
        <v>777.95999999999913</v>
      </c>
      <c r="AE614">
        <f t="shared" si="186"/>
        <v>8.4047994088248354E-2</v>
      </c>
      <c r="AF614">
        <f t="shared" si="187"/>
        <v>0</v>
      </c>
      <c r="AG614">
        <f t="shared" si="188"/>
        <v>0</v>
      </c>
      <c r="AK614">
        <f>AA614*(1+What_if_Analysis!$B$4)</f>
        <v>10.799999999999999</v>
      </c>
      <c r="AL614" s="5">
        <f>MIN(Z614,What_if_Analysis!$B$2)</f>
        <v>0</v>
      </c>
      <c r="AM614">
        <f t="shared" si="189"/>
        <v>11107.367999999999</v>
      </c>
      <c r="AN614">
        <f>AM614-(AK614*(T614*(1+What_if_Analysis!$B$3)))</f>
        <v>-1110.7368000000006</v>
      </c>
    </row>
    <row r="615" spans="1:40" x14ac:dyDescent="0.3">
      <c r="A615" t="s">
        <v>627</v>
      </c>
      <c r="B615" s="3">
        <v>45468</v>
      </c>
      <c r="C615" s="3" t="str">
        <f t="shared" si="173"/>
        <v>Jun-2024</v>
      </c>
      <c r="D615" s="3" t="str">
        <f t="shared" si="174"/>
        <v>Q2-2024</v>
      </c>
      <c r="E615" s="3">
        <v>45473</v>
      </c>
      <c r="F615" s="3" t="str">
        <f t="shared" si="175"/>
        <v>Valid</v>
      </c>
      <c r="G615" s="12">
        <f t="shared" si="176"/>
        <v>5</v>
      </c>
      <c r="H615" s="3">
        <f t="shared" si="177"/>
        <v>45473</v>
      </c>
      <c r="I615" t="s">
        <v>646</v>
      </c>
      <c r="J615" t="str">
        <f t="shared" si="178"/>
        <v>Africa → Kenya → Kisumu</v>
      </c>
      <c r="K615" s="3" t="str">
        <f t="shared" si="179"/>
        <v>Kenya-2024-06</v>
      </c>
      <c r="L615" t="s">
        <v>650</v>
      </c>
      <c r="M615" t="s">
        <v>662</v>
      </c>
      <c r="N615" t="s">
        <v>702</v>
      </c>
      <c r="O615" t="s">
        <v>711</v>
      </c>
      <c r="P615" t="s">
        <v>724</v>
      </c>
      <c r="Q615" t="s">
        <v>729</v>
      </c>
      <c r="R615" t="s">
        <v>1345</v>
      </c>
      <c r="S615" s="5">
        <v>1323.55</v>
      </c>
      <c r="T615" s="5">
        <v>3230.35</v>
      </c>
      <c r="U615" s="5" t="str">
        <f t="shared" si="180"/>
        <v>Valid</v>
      </c>
      <c r="V615" s="5">
        <f t="shared" si="171"/>
        <v>3230.35</v>
      </c>
      <c r="W615" s="5" t="str">
        <f t="shared" si="181"/>
        <v>High</v>
      </c>
      <c r="X615" s="5">
        <v>2.1999999999999999E-2</v>
      </c>
      <c r="Y615" s="5" t="str">
        <f t="shared" si="182"/>
        <v>Valid</v>
      </c>
      <c r="Z615" s="5">
        <f t="shared" si="183"/>
        <v>2.1999999999999999E-2</v>
      </c>
      <c r="AA615" s="5">
        <v>26</v>
      </c>
      <c r="AB615">
        <f t="shared" si="184"/>
        <v>82141.339799999987</v>
      </c>
      <c r="AC615">
        <f t="shared" si="172"/>
        <v>34412.299999999996</v>
      </c>
      <c r="AD615">
        <f t="shared" si="185"/>
        <v>47729.039799999991</v>
      </c>
      <c r="AE615">
        <f t="shared" si="186"/>
        <v>0.58105991351263542</v>
      </c>
      <c r="AF615">
        <f t="shared" si="187"/>
        <v>1</v>
      </c>
      <c r="AG615">
        <f t="shared" si="188"/>
        <v>0</v>
      </c>
      <c r="AK615">
        <f>AA615*(1+What_if_Analysis!$B$4)</f>
        <v>31.2</v>
      </c>
      <c r="AL615" s="5">
        <f>MIN(Z615,What_if_Analysis!$B$2)</f>
        <v>2.1999999999999999E-2</v>
      </c>
      <c r="AM615">
        <f t="shared" si="189"/>
        <v>98569.607759999999</v>
      </c>
      <c r="AN615">
        <f>AM615-(AK615*(T615*(1+What_if_Analysis!$B$3)))</f>
        <v>-12296.004240000009</v>
      </c>
    </row>
    <row r="616" spans="1:40" x14ac:dyDescent="0.3">
      <c r="A616" t="s">
        <v>628</v>
      </c>
      <c r="B616" s="3">
        <v>45137</v>
      </c>
      <c r="C616" s="3" t="str">
        <f t="shared" si="173"/>
        <v>Jul-2023</v>
      </c>
      <c r="D616" s="3" t="str">
        <f t="shared" si="174"/>
        <v>Q3-2023</v>
      </c>
      <c r="E616" s="3">
        <v>45157</v>
      </c>
      <c r="F616" s="3" t="str">
        <f t="shared" si="175"/>
        <v>Valid</v>
      </c>
      <c r="G616" s="12">
        <f t="shared" si="176"/>
        <v>20</v>
      </c>
      <c r="H616" s="3">
        <f t="shared" si="177"/>
        <v>45157</v>
      </c>
      <c r="I616" t="s">
        <v>649</v>
      </c>
      <c r="J616" t="str">
        <f t="shared" si="178"/>
        <v>Europe → France → Paris</v>
      </c>
      <c r="K616" s="3" t="str">
        <f t="shared" si="179"/>
        <v>France-2023-07</v>
      </c>
      <c r="L616" t="s">
        <v>657</v>
      </c>
      <c r="M616" t="s">
        <v>690</v>
      </c>
      <c r="N616" t="s">
        <v>706</v>
      </c>
      <c r="O616" t="s">
        <v>709</v>
      </c>
      <c r="P616" t="s">
        <v>715</v>
      </c>
      <c r="Q616" t="s">
        <v>729</v>
      </c>
      <c r="R616" t="s">
        <v>1346</v>
      </c>
      <c r="S616" s="5">
        <v>1418.51</v>
      </c>
      <c r="T616" s="5">
        <v>2789.61</v>
      </c>
      <c r="U616" s="5" t="str">
        <f t="shared" si="180"/>
        <v>Valid</v>
      </c>
      <c r="V616" s="5">
        <f t="shared" si="171"/>
        <v>2789.61</v>
      </c>
      <c r="W616" s="5" t="str">
        <f t="shared" si="181"/>
        <v>High</v>
      </c>
      <c r="X616" s="5">
        <v>0.17100000000000001</v>
      </c>
      <c r="Y616" s="5" t="str">
        <f t="shared" si="182"/>
        <v>Valid</v>
      </c>
      <c r="Z616" s="5">
        <f t="shared" si="183"/>
        <v>0.17100000000000001</v>
      </c>
      <c r="AA616" s="5">
        <v>8</v>
      </c>
      <c r="AB616">
        <f t="shared" si="184"/>
        <v>18500.693520000001</v>
      </c>
      <c r="AC616">
        <f t="shared" si="172"/>
        <v>11348.08</v>
      </c>
      <c r="AD616">
        <f t="shared" si="185"/>
        <v>7152.6135200000008</v>
      </c>
      <c r="AE616">
        <f t="shared" si="186"/>
        <v>0.38661326464695689</v>
      </c>
      <c r="AF616">
        <f t="shared" si="187"/>
        <v>0</v>
      </c>
      <c r="AG616">
        <f t="shared" si="188"/>
        <v>0</v>
      </c>
      <c r="AK616">
        <f>AA616*(1+What_if_Analysis!$B$4)</f>
        <v>9.6</v>
      </c>
      <c r="AL616" s="5">
        <f>MIN(Z616,What_if_Analysis!$B$2)</f>
        <v>0.05</v>
      </c>
      <c r="AM616">
        <f t="shared" si="189"/>
        <v>25441.243200000001</v>
      </c>
      <c r="AN616">
        <f>AM616-(AK616*(T616*(1+What_if_Analysis!$B$3)))</f>
        <v>-4017.0384000000013</v>
      </c>
    </row>
    <row r="617" spans="1:40" x14ac:dyDescent="0.3">
      <c r="A617" t="s">
        <v>629</v>
      </c>
      <c r="B617" s="3">
        <v>45727</v>
      </c>
      <c r="C617" s="3" t="str">
        <f t="shared" si="173"/>
        <v>Mar-2025</v>
      </c>
      <c r="D617" s="3" t="str">
        <f t="shared" si="174"/>
        <v>Q1-2025</v>
      </c>
      <c r="E617" s="3">
        <v>45743</v>
      </c>
      <c r="F617" s="3" t="str">
        <f t="shared" si="175"/>
        <v>Valid</v>
      </c>
      <c r="G617" s="12">
        <f t="shared" si="176"/>
        <v>16</v>
      </c>
      <c r="H617" s="3">
        <f t="shared" si="177"/>
        <v>45743</v>
      </c>
      <c r="I617" t="s">
        <v>647</v>
      </c>
      <c r="J617" t="str">
        <f t="shared" si="178"/>
        <v>Asia → Japan → Tokyo</v>
      </c>
      <c r="K617" s="3" t="str">
        <f t="shared" si="179"/>
        <v>Japan-2025-03</v>
      </c>
      <c r="L617" t="s">
        <v>652</v>
      </c>
      <c r="M617" t="s">
        <v>689</v>
      </c>
      <c r="N617" t="s">
        <v>706</v>
      </c>
      <c r="O617" t="s">
        <v>710</v>
      </c>
      <c r="P617" t="s">
        <v>717</v>
      </c>
      <c r="Q617" t="s">
        <v>728</v>
      </c>
      <c r="R617" t="s">
        <v>1347</v>
      </c>
      <c r="S617" s="5">
        <v>1317.58</v>
      </c>
      <c r="T617" s="5">
        <v>1897.74</v>
      </c>
      <c r="U617" s="5" t="str">
        <f t="shared" si="180"/>
        <v>Valid</v>
      </c>
      <c r="V617" s="5">
        <f t="shared" si="171"/>
        <v>1897.74</v>
      </c>
      <c r="W617" s="5" t="str">
        <f t="shared" si="181"/>
        <v>Medium</v>
      </c>
      <c r="X617" s="5">
        <v>8.1000000000000003E-2</v>
      </c>
      <c r="Y617" s="5" t="str">
        <f t="shared" si="182"/>
        <v>Valid</v>
      </c>
      <c r="Z617" s="5">
        <f t="shared" si="183"/>
        <v>8.1000000000000003E-2</v>
      </c>
      <c r="AA617" s="5">
        <v>6</v>
      </c>
      <c r="AB617">
        <f t="shared" si="184"/>
        <v>10464.138360000001</v>
      </c>
      <c r="AC617">
        <f t="shared" si="172"/>
        <v>7905.48</v>
      </c>
      <c r="AD617">
        <f t="shared" si="185"/>
        <v>2558.6583600000013</v>
      </c>
      <c r="AE617">
        <f t="shared" si="186"/>
        <v>0.24451687009230266</v>
      </c>
      <c r="AF617">
        <f t="shared" si="187"/>
        <v>0</v>
      </c>
      <c r="AG617">
        <f t="shared" si="188"/>
        <v>0</v>
      </c>
      <c r="AK617">
        <f>AA617*(1+What_if_Analysis!$B$4)</f>
        <v>7.1999999999999993</v>
      </c>
      <c r="AL617" s="5">
        <f>MIN(Z617,What_if_Analysis!$B$2)</f>
        <v>0.05</v>
      </c>
      <c r="AM617">
        <f t="shared" si="189"/>
        <v>12980.541599999999</v>
      </c>
      <c r="AN617">
        <f>AM617-(AK617*(T617*(1+What_if_Analysis!$B$3)))</f>
        <v>-2049.5592000000015</v>
      </c>
    </row>
    <row r="618" spans="1:40" x14ac:dyDescent="0.3">
      <c r="A618" t="s">
        <v>630</v>
      </c>
      <c r="B618" s="3">
        <v>45208</v>
      </c>
      <c r="C618" s="3" t="str">
        <f t="shared" si="173"/>
        <v>Oct-2023</v>
      </c>
      <c r="D618" s="3" t="str">
        <f t="shared" si="174"/>
        <v>Q4-2023</v>
      </c>
      <c r="E618" s="3">
        <v>45210</v>
      </c>
      <c r="F618" s="3" t="str">
        <f t="shared" si="175"/>
        <v>Valid</v>
      </c>
      <c r="G618" s="12">
        <f t="shared" si="176"/>
        <v>2</v>
      </c>
      <c r="H618" s="3">
        <f t="shared" si="177"/>
        <v>45210</v>
      </c>
      <c r="I618" t="s">
        <v>646</v>
      </c>
      <c r="J618" t="str">
        <f t="shared" si="178"/>
        <v>Africa → Nigeria → Port Harcourt</v>
      </c>
      <c r="K618" s="3" t="str">
        <f t="shared" si="179"/>
        <v>Nigeria-2023-10</v>
      </c>
      <c r="L618" t="s">
        <v>651</v>
      </c>
      <c r="M618" t="s">
        <v>663</v>
      </c>
      <c r="N618" t="s">
        <v>702</v>
      </c>
      <c r="O618" t="s">
        <v>709</v>
      </c>
      <c r="P618" t="s">
        <v>723</v>
      </c>
      <c r="Q618" t="s">
        <v>729</v>
      </c>
      <c r="R618" t="s">
        <v>1348</v>
      </c>
      <c r="S618" s="5">
        <v>391.16</v>
      </c>
      <c r="T618" s="5">
        <v>902.47</v>
      </c>
      <c r="U618" s="5" t="str">
        <f t="shared" si="180"/>
        <v>Valid</v>
      </c>
      <c r="V618" s="5">
        <f t="shared" si="171"/>
        <v>902.47</v>
      </c>
      <c r="W618" s="5" t="str">
        <f t="shared" si="181"/>
        <v>Medium</v>
      </c>
      <c r="X618" s="5">
        <v>4.0000000000000001E-3</v>
      </c>
      <c r="Y618" s="5" t="str">
        <f t="shared" si="182"/>
        <v>Valid</v>
      </c>
      <c r="Z618" s="5">
        <f t="shared" si="183"/>
        <v>4.0000000000000001E-3</v>
      </c>
      <c r="AA618" s="5">
        <v>12</v>
      </c>
      <c r="AB618">
        <f t="shared" si="184"/>
        <v>10786.32144</v>
      </c>
      <c r="AC618">
        <f t="shared" si="172"/>
        <v>4693.92</v>
      </c>
      <c r="AD618">
        <f t="shared" si="185"/>
        <v>6092.4014399999996</v>
      </c>
      <c r="AE618">
        <f t="shared" si="186"/>
        <v>0.56482661618139207</v>
      </c>
      <c r="AF618">
        <f t="shared" si="187"/>
        <v>1</v>
      </c>
      <c r="AG618">
        <f t="shared" si="188"/>
        <v>0</v>
      </c>
      <c r="AK618">
        <f>AA618*(1+What_if_Analysis!$B$4)</f>
        <v>14.399999999999999</v>
      </c>
      <c r="AL618" s="5">
        <f>MIN(Z618,What_if_Analysis!$B$2)</f>
        <v>4.0000000000000001E-3</v>
      </c>
      <c r="AM618">
        <f t="shared" si="189"/>
        <v>12943.585728</v>
      </c>
      <c r="AN618">
        <f>AM618-(AK618*(T618*(1+What_if_Analysis!$B$3)))</f>
        <v>-1351.5390719999996</v>
      </c>
    </row>
    <row r="619" spans="1:40" x14ac:dyDescent="0.3">
      <c r="A619" t="s">
        <v>631</v>
      </c>
      <c r="B619" s="3">
        <v>45643</v>
      </c>
      <c r="C619" s="3" t="str">
        <f t="shared" si="173"/>
        <v>Dec-2024</v>
      </c>
      <c r="D619" s="3" t="str">
        <f t="shared" si="174"/>
        <v>Q4-2024</v>
      </c>
      <c r="E619" s="3">
        <v>45673</v>
      </c>
      <c r="F619" s="3" t="str">
        <f t="shared" si="175"/>
        <v>Valid</v>
      </c>
      <c r="G619" s="12">
        <f t="shared" si="176"/>
        <v>30</v>
      </c>
      <c r="H619" s="3">
        <f t="shared" si="177"/>
        <v>45673</v>
      </c>
      <c r="I619" t="s">
        <v>649</v>
      </c>
      <c r="J619" t="str">
        <f t="shared" si="178"/>
        <v>Europe → United Kingdom → Manchester</v>
      </c>
      <c r="K619" s="3" t="str">
        <f t="shared" si="179"/>
        <v>United Kingdom-2024-12</v>
      </c>
      <c r="L619" t="s">
        <v>658</v>
      </c>
      <c r="M619" t="s">
        <v>693</v>
      </c>
      <c r="N619" t="s">
        <v>701</v>
      </c>
      <c r="O619" t="s">
        <v>707</v>
      </c>
      <c r="P619" t="s">
        <v>726</v>
      </c>
      <c r="Q619" t="s">
        <v>732</v>
      </c>
      <c r="R619" t="s">
        <v>1349</v>
      </c>
      <c r="S619" s="5">
        <v>722.87</v>
      </c>
      <c r="T619" s="5">
        <v>-33.659999999999997</v>
      </c>
      <c r="U619" s="5" t="str">
        <f t="shared" si="180"/>
        <v>Invalid Price</v>
      </c>
      <c r="V619" s="5">
        <f t="shared" si="171"/>
        <v>1202.1397872340422</v>
      </c>
      <c r="W619" s="5" t="str">
        <f t="shared" si="181"/>
        <v>Medium</v>
      </c>
      <c r="X619" s="5">
        <v>0.10199999999999999</v>
      </c>
      <c r="Y619" s="5" t="str">
        <f t="shared" si="182"/>
        <v>Valid</v>
      </c>
      <c r="Z619" s="5">
        <f t="shared" si="183"/>
        <v>0.10199999999999999</v>
      </c>
      <c r="AA619" s="5">
        <v>28</v>
      </c>
      <c r="AB619">
        <f t="shared" si="184"/>
        <v>30226.602810212757</v>
      </c>
      <c r="AC619">
        <f t="shared" si="172"/>
        <v>20240.36</v>
      </c>
      <c r="AD619">
        <f t="shared" si="185"/>
        <v>9986.242810212756</v>
      </c>
      <c r="AE619">
        <f t="shared" si="186"/>
        <v>0.33037926468000806</v>
      </c>
      <c r="AF619">
        <f t="shared" si="187"/>
        <v>0</v>
      </c>
      <c r="AG619">
        <f t="shared" si="188"/>
        <v>0</v>
      </c>
      <c r="AK619">
        <f>AA619*(1+What_if_Analysis!$B$4)</f>
        <v>33.6</v>
      </c>
      <c r="AL619" s="5">
        <f>MIN(Z619,What_if_Analysis!$B$2)</f>
        <v>0.05</v>
      </c>
      <c r="AM619">
        <f t="shared" si="189"/>
        <v>38372.302008510625</v>
      </c>
      <c r="AN619">
        <f>AM619-(AK619*(T619*(1+What_if_Analysis!$B$3)))</f>
        <v>39616.375608510629</v>
      </c>
    </row>
    <row r="620" spans="1:40" x14ac:dyDescent="0.3">
      <c r="A620" t="s">
        <v>632</v>
      </c>
      <c r="B620" s="3">
        <v>45849</v>
      </c>
      <c r="C620" s="3" t="str">
        <f t="shared" si="173"/>
        <v>Jul-2025</v>
      </c>
      <c r="D620" s="3" t="str">
        <f t="shared" si="174"/>
        <v>Q3-2025</v>
      </c>
      <c r="E620" s="3">
        <v>45854</v>
      </c>
      <c r="F620" s="3" t="str">
        <f t="shared" si="175"/>
        <v>Valid</v>
      </c>
      <c r="G620" s="12">
        <f t="shared" si="176"/>
        <v>5</v>
      </c>
      <c r="H620" s="3">
        <f t="shared" si="177"/>
        <v>45854</v>
      </c>
      <c r="I620" t="s">
        <v>649</v>
      </c>
      <c r="J620" t="str">
        <f t="shared" si="178"/>
        <v>Europe → United Kingdom → London</v>
      </c>
      <c r="K620" s="3" t="str">
        <f t="shared" si="179"/>
        <v>United Kingdom-2025-07</v>
      </c>
      <c r="L620" t="s">
        <v>658</v>
      </c>
      <c r="M620" t="s">
        <v>683</v>
      </c>
      <c r="N620" t="s">
        <v>706</v>
      </c>
      <c r="O620" t="s">
        <v>708</v>
      </c>
      <c r="P620" t="s">
        <v>723</v>
      </c>
      <c r="Q620" t="s">
        <v>728</v>
      </c>
      <c r="R620" t="s">
        <v>1350</v>
      </c>
      <c r="S620" s="5">
        <v>930.03</v>
      </c>
      <c r="T620" s="5">
        <v>1086.68</v>
      </c>
      <c r="U620" s="5" t="str">
        <f t="shared" si="180"/>
        <v>Valid</v>
      </c>
      <c r="V620" s="5">
        <f t="shared" si="171"/>
        <v>1086.68</v>
      </c>
      <c r="W620" s="5" t="str">
        <f t="shared" si="181"/>
        <v>Medium</v>
      </c>
      <c r="X620" s="5">
        <v>0.109</v>
      </c>
      <c r="Y620" s="5" t="str">
        <f t="shared" si="182"/>
        <v>Valid</v>
      </c>
      <c r="Z620" s="5">
        <f t="shared" si="183"/>
        <v>0.109</v>
      </c>
      <c r="AA620" s="5">
        <v>26</v>
      </c>
      <c r="AB620">
        <f t="shared" si="184"/>
        <v>25174.028880000002</v>
      </c>
      <c r="AC620">
        <f t="shared" si="172"/>
        <v>24180.78</v>
      </c>
      <c r="AD620">
        <f t="shared" si="185"/>
        <v>993.24888000000283</v>
      </c>
      <c r="AE620">
        <f t="shared" si="186"/>
        <v>3.9455300728168656E-2</v>
      </c>
      <c r="AF620">
        <f t="shared" si="187"/>
        <v>1</v>
      </c>
      <c r="AG620">
        <f t="shared" si="188"/>
        <v>0</v>
      </c>
      <c r="AK620">
        <f>AA620*(1+What_if_Analysis!$B$4)</f>
        <v>31.2</v>
      </c>
      <c r="AL620" s="5">
        <f>MIN(Z620,What_if_Analysis!$B$2)</f>
        <v>0.05</v>
      </c>
      <c r="AM620">
        <f t="shared" si="189"/>
        <v>32209.195200000002</v>
      </c>
      <c r="AN620">
        <f>AM620-(AK620*(T620*(1+What_if_Analysis!$B$3)))</f>
        <v>-5085.6624000000011</v>
      </c>
    </row>
    <row r="621" spans="1:40" x14ac:dyDescent="0.3">
      <c r="A621" t="s">
        <v>633</v>
      </c>
      <c r="B621" s="3">
        <v>45578</v>
      </c>
      <c r="C621" s="3" t="str">
        <f t="shared" si="173"/>
        <v>Oct-2024</v>
      </c>
      <c r="D621" s="3" t="str">
        <f t="shared" si="174"/>
        <v>Q4-2024</v>
      </c>
      <c r="E621" s="3">
        <v>45589</v>
      </c>
      <c r="F621" s="3" t="str">
        <f t="shared" si="175"/>
        <v>Valid</v>
      </c>
      <c r="G621" s="12">
        <f t="shared" si="176"/>
        <v>11</v>
      </c>
      <c r="H621" s="3">
        <f t="shared" si="177"/>
        <v>45589</v>
      </c>
      <c r="I621" t="s">
        <v>649</v>
      </c>
      <c r="J621" t="str">
        <f t="shared" si="178"/>
        <v>Europe → France → Paris</v>
      </c>
      <c r="K621" s="3" t="str">
        <f t="shared" si="179"/>
        <v>France-2024-10</v>
      </c>
      <c r="L621" t="s">
        <v>657</v>
      </c>
      <c r="M621" t="s">
        <v>690</v>
      </c>
      <c r="N621" t="s">
        <v>702</v>
      </c>
      <c r="O621" t="s">
        <v>710</v>
      </c>
      <c r="P621" t="s">
        <v>721</v>
      </c>
      <c r="Q621" t="s">
        <v>727</v>
      </c>
      <c r="R621" t="s">
        <v>1351</v>
      </c>
      <c r="S621" s="5">
        <v>816.7</v>
      </c>
      <c r="T621" s="5">
        <v>1010.75</v>
      </c>
      <c r="U621" s="5" t="str">
        <f t="shared" si="180"/>
        <v>Valid</v>
      </c>
      <c r="V621" s="5">
        <f t="shared" si="171"/>
        <v>1010.75</v>
      </c>
      <c r="W621" s="5" t="str">
        <f t="shared" si="181"/>
        <v>Medium</v>
      </c>
      <c r="X621" s="5">
        <v>4.7E-2</v>
      </c>
      <c r="Y621" s="5" t="str">
        <f t="shared" si="182"/>
        <v>Valid</v>
      </c>
      <c r="Z621" s="5">
        <f t="shared" si="183"/>
        <v>4.7E-2</v>
      </c>
      <c r="AA621" s="5">
        <v>43</v>
      </c>
      <c r="AB621">
        <f t="shared" si="184"/>
        <v>41419.524249999995</v>
      </c>
      <c r="AC621">
        <f t="shared" si="172"/>
        <v>35118.1</v>
      </c>
      <c r="AD621">
        <f t="shared" si="185"/>
        <v>6301.4242499999964</v>
      </c>
      <c r="AE621">
        <f t="shared" si="186"/>
        <v>0.15213656757537472</v>
      </c>
      <c r="AF621">
        <f t="shared" si="187"/>
        <v>0</v>
      </c>
      <c r="AG621">
        <f t="shared" si="188"/>
        <v>0</v>
      </c>
      <c r="AK621">
        <f>AA621*(1+What_if_Analysis!$B$4)</f>
        <v>51.6</v>
      </c>
      <c r="AL621" s="5">
        <f>MIN(Z621,What_if_Analysis!$B$2)</f>
        <v>4.7E-2</v>
      </c>
      <c r="AM621">
        <f t="shared" si="189"/>
        <v>49703.429100000001</v>
      </c>
      <c r="AN621">
        <f>AM621-(AK621*(T621*(1+What_if_Analysis!$B$3)))</f>
        <v>-7666.7409000000043</v>
      </c>
    </row>
    <row r="622" spans="1:40" x14ac:dyDescent="0.3">
      <c r="A622" t="s">
        <v>634</v>
      </c>
      <c r="B622" s="3">
        <v>45177</v>
      </c>
      <c r="C622" s="3" t="str">
        <f t="shared" si="173"/>
        <v>Sept-2023</v>
      </c>
      <c r="D622" s="3" t="str">
        <f t="shared" si="174"/>
        <v>Q3-2023</v>
      </c>
      <c r="E622" s="3">
        <v>45183</v>
      </c>
      <c r="F622" s="3" t="str">
        <f t="shared" si="175"/>
        <v>Valid</v>
      </c>
      <c r="G622" s="12">
        <f t="shared" si="176"/>
        <v>6</v>
      </c>
      <c r="H622" s="3">
        <f t="shared" si="177"/>
        <v>45183</v>
      </c>
      <c r="I622" t="s">
        <v>646</v>
      </c>
      <c r="J622" t="str">
        <f t="shared" si="178"/>
        <v>Africa → Kenya → Nakuru</v>
      </c>
      <c r="K622" s="3" t="str">
        <f t="shared" si="179"/>
        <v>Kenya-2023-09</v>
      </c>
      <c r="L622" t="s">
        <v>650</v>
      </c>
      <c r="M622" t="s">
        <v>678</v>
      </c>
      <c r="N622" t="s">
        <v>702</v>
      </c>
      <c r="O622" t="s">
        <v>711</v>
      </c>
      <c r="P622" t="s">
        <v>714</v>
      </c>
      <c r="Q622" t="s">
        <v>733</v>
      </c>
      <c r="R622" t="s">
        <v>1352</v>
      </c>
      <c r="S622" s="5">
        <v>251.03</v>
      </c>
      <c r="T622" s="5">
        <v>411.48</v>
      </c>
      <c r="U622" s="5" t="str">
        <f t="shared" si="180"/>
        <v>Valid</v>
      </c>
      <c r="V622" s="5">
        <f t="shared" si="171"/>
        <v>411.48</v>
      </c>
      <c r="W622" s="5" t="str">
        <f t="shared" si="181"/>
        <v>Low</v>
      </c>
      <c r="X622" s="5">
        <v>0.16500000000000001</v>
      </c>
      <c r="Y622" s="5" t="str">
        <f t="shared" si="182"/>
        <v>Valid</v>
      </c>
      <c r="Z622" s="5">
        <f t="shared" si="183"/>
        <v>0.16500000000000001</v>
      </c>
      <c r="AA622" s="5">
        <v>3</v>
      </c>
      <c r="AB622">
        <f t="shared" si="184"/>
        <v>1030.7574</v>
      </c>
      <c r="AC622">
        <f t="shared" si="172"/>
        <v>753.09</v>
      </c>
      <c r="AD622">
        <f t="shared" si="185"/>
        <v>277.66739999999993</v>
      </c>
      <c r="AE622">
        <f t="shared" si="186"/>
        <v>0.26938191275658069</v>
      </c>
      <c r="AF622">
        <f t="shared" si="187"/>
        <v>1</v>
      </c>
      <c r="AG622">
        <f t="shared" si="188"/>
        <v>0</v>
      </c>
      <c r="AK622">
        <f>AA622*(1+What_if_Analysis!$B$4)</f>
        <v>3.5999999999999996</v>
      </c>
      <c r="AL622" s="5">
        <f>MIN(Z622,What_if_Analysis!$B$2)</f>
        <v>0.05</v>
      </c>
      <c r="AM622">
        <f t="shared" si="189"/>
        <v>1407.2615999999998</v>
      </c>
      <c r="AN622">
        <f>AM622-(AK622*(T622*(1+What_if_Analysis!$B$3)))</f>
        <v>-222.19920000000025</v>
      </c>
    </row>
    <row r="623" spans="1:40" x14ac:dyDescent="0.3">
      <c r="A623" t="s">
        <v>635</v>
      </c>
      <c r="B623" s="3">
        <v>45764</v>
      </c>
      <c r="C623" s="3" t="str">
        <f t="shared" si="173"/>
        <v>Apr-2025</v>
      </c>
      <c r="D623" s="3" t="str">
        <f t="shared" si="174"/>
        <v>Q2-2025</v>
      </c>
      <c r="E623" s="3">
        <v>45780</v>
      </c>
      <c r="F623" s="3" t="str">
        <f t="shared" si="175"/>
        <v>Valid</v>
      </c>
      <c r="G623" s="12">
        <f t="shared" si="176"/>
        <v>16</v>
      </c>
      <c r="H623" s="3">
        <f t="shared" si="177"/>
        <v>45780</v>
      </c>
      <c r="I623" t="s">
        <v>648</v>
      </c>
      <c r="J623" t="str">
        <f t="shared" si="178"/>
        <v>Americas → Brazil → Rio de Janeiro</v>
      </c>
      <c r="K623" s="3" t="str">
        <f t="shared" si="179"/>
        <v>Brazil-2025-04</v>
      </c>
      <c r="L623" t="s">
        <v>655</v>
      </c>
      <c r="M623" t="s">
        <v>692</v>
      </c>
      <c r="N623" t="s">
        <v>704</v>
      </c>
      <c r="O623" t="s">
        <v>709</v>
      </c>
      <c r="P623" t="s">
        <v>713</v>
      </c>
      <c r="Q623" t="s">
        <v>729</v>
      </c>
      <c r="R623" t="s">
        <v>1353</v>
      </c>
      <c r="S623" s="5">
        <v>168.68</v>
      </c>
      <c r="T623" s="5">
        <v>413.34</v>
      </c>
      <c r="U623" s="5" t="str">
        <f t="shared" si="180"/>
        <v>Valid</v>
      </c>
      <c r="V623" s="5">
        <f t="shared" si="171"/>
        <v>413.34</v>
      </c>
      <c r="W623" s="5" t="str">
        <f t="shared" si="181"/>
        <v>Low</v>
      </c>
      <c r="X623" s="5">
        <v>0.186</v>
      </c>
      <c r="Y623" s="5" t="str">
        <f t="shared" si="182"/>
        <v>Valid</v>
      </c>
      <c r="Z623" s="5">
        <f t="shared" si="183"/>
        <v>0.186</v>
      </c>
      <c r="AA623" s="5">
        <v>7</v>
      </c>
      <c r="AB623">
        <f t="shared" si="184"/>
        <v>2355.2113199999999</v>
      </c>
      <c r="AC623">
        <f t="shared" si="172"/>
        <v>1180.76</v>
      </c>
      <c r="AD623">
        <f t="shared" si="185"/>
        <v>1174.4513199999999</v>
      </c>
      <c r="AE623">
        <f t="shared" si="186"/>
        <v>0.49866069767361682</v>
      </c>
      <c r="AF623">
        <f t="shared" si="187"/>
        <v>0</v>
      </c>
      <c r="AG623">
        <f t="shared" si="188"/>
        <v>0</v>
      </c>
      <c r="AK623">
        <f>AA623*(1+What_if_Analysis!$B$4)</f>
        <v>8.4</v>
      </c>
      <c r="AL623" s="5">
        <f>MIN(Z623,What_if_Analysis!$B$2)</f>
        <v>0.05</v>
      </c>
      <c r="AM623">
        <f t="shared" si="189"/>
        <v>3298.4531999999999</v>
      </c>
      <c r="AN623">
        <f>AM623-(AK623*(T623*(1+What_if_Analysis!$B$3)))</f>
        <v>-520.80840000000035</v>
      </c>
    </row>
    <row r="624" spans="1:40" x14ac:dyDescent="0.3">
      <c r="A624" t="s">
        <v>636</v>
      </c>
      <c r="B624" s="3">
        <v>45501</v>
      </c>
      <c r="C624" s="3" t="str">
        <f t="shared" si="173"/>
        <v>Jul-2024</v>
      </c>
      <c r="D624" s="3" t="str">
        <f t="shared" si="174"/>
        <v>Q3-2024</v>
      </c>
      <c r="E624" s="3">
        <v>45527</v>
      </c>
      <c r="F624" s="3" t="str">
        <f t="shared" si="175"/>
        <v>Valid</v>
      </c>
      <c r="G624" s="12">
        <f t="shared" si="176"/>
        <v>26</v>
      </c>
      <c r="H624" s="3">
        <f t="shared" si="177"/>
        <v>45527</v>
      </c>
      <c r="I624" t="s">
        <v>647</v>
      </c>
      <c r="J624" t="str">
        <f t="shared" si="178"/>
        <v>Asia → India → Hyderabad</v>
      </c>
      <c r="K624" s="3" t="str">
        <f t="shared" si="179"/>
        <v>India-2024-07</v>
      </c>
      <c r="L624" t="s">
        <v>654</v>
      </c>
      <c r="M624" t="s">
        <v>696</v>
      </c>
      <c r="N624" t="s">
        <v>701</v>
      </c>
      <c r="O624" t="s">
        <v>707</v>
      </c>
      <c r="P624" t="s">
        <v>713</v>
      </c>
      <c r="Q624" t="s">
        <v>729</v>
      </c>
      <c r="R624" t="s">
        <v>1354</v>
      </c>
      <c r="S624" s="5">
        <v>1339.24</v>
      </c>
      <c r="T624" s="5">
        <v>1558.89</v>
      </c>
      <c r="U624" s="5" t="str">
        <f t="shared" si="180"/>
        <v>Valid</v>
      </c>
      <c r="V624" s="5">
        <f t="shared" si="171"/>
        <v>1558.89</v>
      </c>
      <c r="W624" s="5" t="str">
        <f t="shared" si="181"/>
        <v>Medium</v>
      </c>
      <c r="X624" s="5">
        <v>0.192</v>
      </c>
      <c r="Y624" s="5" t="str">
        <f t="shared" si="182"/>
        <v>Valid</v>
      </c>
      <c r="Z624" s="5">
        <f t="shared" si="183"/>
        <v>0.192</v>
      </c>
      <c r="AA624" s="5">
        <v>24</v>
      </c>
      <c r="AB624">
        <f t="shared" si="184"/>
        <v>30229.994880000002</v>
      </c>
      <c r="AC624">
        <f t="shared" si="172"/>
        <v>32141.760000000002</v>
      </c>
      <c r="AD624">
        <f t="shared" si="185"/>
        <v>-1911.76512</v>
      </c>
      <c r="AE624">
        <f t="shared" si="186"/>
        <v>-6.3240669659021781E-2</v>
      </c>
      <c r="AF624">
        <f t="shared" si="187"/>
        <v>0</v>
      </c>
      <c r="AG624">
        <f t="shared" si="188"/>
        <v>0</v>
      </c>
      <c r="AK624">
        <f>AA624*(1+What_if_Analysis!$B$4)</f>
        <v>28.799999999999997</v>
      </c>
      <c r="AL624" s="5">
        <f>MIN(Z624,What_if_Analysis!$B$2)</f>
        <v>0.05</v>
      </c>
      <c r="AM624">
        <f t="shared" si="189"/>
        <v>42651.2304</v>
      </c>
      <c r="AN624">
        <f>AM624-(AK624*(T624*(1+What_if_Analysis!$B$3)))</f>
        <v>-6734.4048000000039</v>
      </c>
    </row>
    <row r="625" spans="1:40" x14ac:dyDescent="0.3">
      <c r="A625" t="s">
        <v>637</v>
      </c>
      <c r="B625" s="3">
        <v>45857</v>
      </c>
      <c r="C625" s="3" t="str">
        <f t="shared" si="173"/>
        <v>Jul-2025</v>
      </c>
      <c r="D625" s="3" t="str">
        <f t="shared" si="174"/>
        <v>Q3-2025</v>
      </c>
      <c r="E625" s="3">
        <v>45869</v>
      </c>
      <c r="F625" s="3" t="str">
        <f t="shared" si="175"/>
        <v>Valid</v>
      </c>
      <c r="G625" s="12">
        <f t="shared" si="176"/>
        <v>12</v>
      </c>
      <c r="H625" s="3">
        <f t="shared" si="177"/>
        <v>45869</v>
      </c>
      <c r="I625" t="s">
        <v>646</v>
      </c>
      <c r="J625" t="str">
        <f t="shared" si="178"/>
        <v>Africa → Kenya → Nairobi</v>
      </c>
      <c r="K625" s="3" t="str">
        <f t="shared" si="179"/>
        <v>Kenya-2025-07</v>
      </c>
      <c r="L625" t="s">
        <v>650</v>
      </c>
      <c r="M625" t="s">
        <v>664</v>
      </c>
      <c r="N625" t="s">
        <v>705</v>
      </c>
      <c r="O625" t="s">
        <v>709</v>
      </c>
      <c r="P625" t="s">
        <v>719</v>
      </c>
      <c r="Q625" t="s">
        <v>733</v>
      </c>
      <c r="R625" t="s">
        <v>1355</v>
      </c>
      <c r="S625" s="5">
        <v>619.64</v>
      </c>
      <c r="T625" s="5">
        <v>861.16</v>
      </c>
      <c r="U625" s="5" t="str">
        <f t="shared" si="180"/>
        <v>Valid</v>
      </c>
      <c r="V625" s="5">
        <f t="shared" si="171"/>
        <v>861.16</v>
      </c>
      <c r="W625" s="5" t="str">
        <f t="shared" si="181"/>
        <v>Medium</v>
      </c>
      <c r="X625" s="5">
        <v>0.113</v>
      </c>
      <c r="Y625" s="5" t="str">
        <f t="shared" si="182"/>
        <v>Valid</v>
      </c>
      <c r="Z625" s="5">
        <f t="shared" si="183"/>
        <v>0.113</v>
      </c>
      <c r="AA625" s="5">
        <v>14</v>
      </c>
      <c r="AB625">
        <f t="shared" si="184"/>
        <v>10693.88488</v>
      </c>
      <c r="AC625">
        <f t="shared" si="172"/>
        <v>8674.9599999999991</v>
      </c>
      <c r="AD625">
        <f t="shared" si="185"/>
        <v>2018.9248800000005</v>
      </c>
      <c r="AE625">
        <f t="shared" si="186"/>
        <v>0.18879246435276761</v>
      </c>
      <c r="AF625">
        <f t="shared" si="187"/>
        <v>0</v>
      </c>
      <c r="AG625">
        <f t="shared" si="188"/>
        <v>0</v>
      </c>
      <c r="AK625">
        <f>AA625*(1+What_if_Analysis!$B$4)</f>
        <v>16.8</v>
      </c>
      <c r="AL625" s="5">
        <f>MIN(Z625,What_if_Analysis!$B$2)</f>
        <v>0.05</v>
      </c>
      <c r="AM625">
        <f t="shared" si="189"/>
        <v>13744.113599999999</v>
      </c>
      <c r="AN625">
        <f>AM625-(AK625*(T625*(1+What_if_Analysis!$B$3)))</f>
        <v>-2170.1232000000036</v>
      </c>
    </row>
    <row r="626" spans="1:40" x14ac:dyDescent="0.3">
      <c r="A626" t="s">
        <v>638</v>
      </c>
      <c r="B626" s="3">
        <v>45141</v>
      </c>
      <c r="C626" s="3" t="str">
        <f t="shared" si="173"/>
        <v>Aug-2023</v>
      </c>
      <c r="D626" s="3" t="str">
        <f t="shared" si="174"/>
        <v>Q3-2023</v>
      </c>
      <c r="E626" s="3">
        <v>45140</v>
      </c>
      <c r="F626" s="3" t="str">
        <f t="shared" si="175"/>
        <v>Invalid RequiredDate</v>
      </c>
      <c r="G626" s="12">
        <f t="shared" si="176"/>
        <v>-1</v>
      </c>
      <c r="H626" s="3">
        <f t="shared" si="177"/>
        <v>45167</v>
      </c>
      <c r="I626" t="s">
        <v>647</v>
      </c>
      <c r="J626" t="str">
        <f t="shared" si="178"/>
        <v>Asia → China → Shanghai</v>
      </c>
      <c r="K626" s="3" t="str">
        <f t="shared" si="179"/>
        <v>China-2023-08</v>
      </c>
      <c r="L626" t="s">
        <v>659</v>
      </c>
      <c r="M626" t="s">
        <v>685</v>
      </c>
      <c r="N626" t="s">
        <v>703</v>
      </c>
      <c r="O626" t="s">
        <v>711</v>
      </c>
      <c r="P626" t="s">
        <v>713</v>
      </c>
      <c r="Q626" t="s">
        <v>729</v>
      </c>
      <c r="R626" t="s">
        <v>1356</v>
      </c>
      <c r="S626" s="5">
        <v>1021.97</v>
      </c>
      <c r="T626" s="5">
        <v>2296.25</v>
      </c>
      <c r="U626" s="5" t="str">
        <f t="shared" si="180"/>
        <v>Valid</v>
      </c>
      <c r="V626" s="5">
        <f t="shared" si="171"/>
        <v>2296.25</v>
      </c>
      <c r="W626" s="5" t="str">
        <f t="shared" si="181"/>
        <v>High</v>
      </c>
      <c r="X626" s="5">
        <v>0.161</v>
      </c>
      <c r="Y626" s="5" t="str">
        <f t="shared" si="182"/>
        <v>Valid</v>
      </c>
      <c r="Z626" s="5">
        <f t="shared" si="183"/>
        <v>0.161</v>
      </c>
      <c r="AA626" s="5">
        <v>26</v>
      </c>
      <c r="AB626">
        <f t="shared" si="184"/>
        <v>50090.397499999999</v>
      </c>
      <c r="AC626">
        <f t="shared" si="172"/>
        <v>26571.22</v>
      </c>
      <c r="AD626">
        <f t="shared" si="185"/>
        <v>23519.177499999998</v>
      </c>
      <c r="AE626">
        <f t="shared" si="186"/>
        <v>0.46953465482081669</v>
      </c>
      <c r="AF626">
        <f t="shared" si="187"/>
        <v>1</v>
      </c>
      <c r="AG626">
        <f t="shared" si="188"/>
        <v>0</v>
      </c>
      <c r="AK626">
        <f>AA626*(1+What_if_Analysis!$B$4)</f>
        <v>31.2</v>
      </c>
      <c r="AL626" s="5">
        <f>MIN(Z626,What_if_Analysis!$B$2)</f>
        <v>0.05</v>
      </c>
      <c r="AM626">
        <f t="shared" si="189"/>
        <v>68060.849999999991</v>
      </c>
      <c r="AN626">
        <f>AM626-(AK626*(T626*(1+What_if_Analysis!$B$3)))</f>
        <v>-10746.450000000012</v>
      </c>
    </row>
    <row r="627" spans="1:40" x14ac:dyDescent="0.3">
      <c r="A627" t="s">
        <v>639</v>
      </c>
      <c r="B627" s="3">
        <v>45249</v>
      </c>
      <c r="C627" s="3" t="str">
        <f t="shared" si="173"/>
        <v>Nov-2023</v>
      </c>
      <c r="D627" s="3" t="str">
        <f t="shared" si="174"/>
        <v>Q4-2023</v>
      </c>
      <c r="E627" s="3">
        <v>45272</v>
      </c>
      <c r="F627" s="3" t="str">
        <f t="shared" si="175"/>
        <v>Valid</v>
      </c>
      <c r="G627" s="12">
        <f t="shared" si="176"/>
        <v>23</v>
      </c>
      <c r="H627" s="3">
        <f t="shared" si="177"/>
        <v>45272</v>
      </c>
      <c r="I627" t="s">
        <v>647</v>
      </c>
      <c r="J627" t="str">
        <f t="shared" si="178"/>
        <v>Asia → India → Delhi</v>
      </c>
      <c r="K627" s="3" t="str">
        <f t="shared" si="179"/>
        <v>India-2023-11</v>
      </c>
      <c r="L627" t="s">
        <v>654</v>
      </c>
      <c r="M627" t="s">
        <v>680</v>
      </c>
      <c r="N627" t="s">
        <v>705</v>
      </c>
      <c r="O627" t="s">
        <v>711</v>
      </c>
      <c r="P627" t="s">
        <v>712</v>
      </c>
      <c r="Q627" t="s">
        <v>729</v>
      </c>
      <c r="R627" t="s">
        <v>1357</v>
      </c>
      <c r="S627" s="5">
        <v>1349.04</v>
      </c>
      <c r="T627" s="5">
        <v>2636.6</v>
      </c>
      <c r="U627" s="5" t="str">
        <f t="shared" si="180"/>
        <v>Valid</v>
      </c>
      <c r="V627" s="5">
        <f t="shared" si="171"/>
        <v>2636.6</v>
      </c>
      <c r="W627" s="5" t="str">
        <f t="shared" si="181"/>
        <v>High</v>
      </c>
      <c r="X627" s="5">
        <v>0.114</v>
      </c>
      <c r="Y627" s="5" t="str">
        <f t="shared" si="182"/>
        <v>Valid</v>
      </c>
      <c r="Z627" s="5">
        <f t="shared" si="183"/>
        <v>0.114</v>
      </c>
      <c r="AA627" s="5">
        <v>14</v>
      </c>
      <c r="AB627">
        <f t="shared" si="184"/>
        <v>32704.386400000003</v>
      </c>
      <c r="AC627">
        <f t="shared" si="172"/>
        <v>18886.559999999998</v>
      </c>
      <c r="AD627">
        <f t="shared" si="185"/>
        <v>13817.826400000005</v>
      </c>
      <c r="AE627">
        <f t="shared" si="186"/>
        <v>0.42250682312143928</v>
      </c>
      <c r="AF627">
        <f t="shared" si="187"/>
        <v>0</v>
      </c>
      <c r="AG627">
        <f t="shared" si="188"/>
        <v>0</v>
      </c>
      <c r="AK627">
        <f>AA627*(1+What_if_Analysis!$B$4)</f>
        <v>16.8</v>
      </c>
      <c r="AL627" s="5">
        <f>MIN(Z627,What_if_Analysis!$B$2)</f>
        <v>0.05</v>
      </c>
      <c r="AM627">
        <f t="shared" si="189"/>
        <v>42080.135999999999</v>
      </c>
      <c r="AN627">
        <f>AM627-(AK627*(T627*(1+What_if_Analysis!$B$3)))</f>
        <v>-6644.2320000000036</v>
      </c>
    </row>
    <row r="628" spans="1:40" x14ac:dyDescent="0.3">
      <c r="A628" t="s">
        <v>640</v>
      </c>
      <c r="B628" s="3">
        <v>45282</v>
      </c>
      <c r="C628" s="3" t="str">
        <f t="shared" si="173"/>
        <v>Dec-2023</v>
      </c>
      <c r="D628" s="3" t="str">
        <f t="shared" si="174"/>
        <v>Q4-2023</v>
      </c>
      <c r="E628" s="3">
        <v>45307</v>
      </c>
      <c r="F628" s="3" t="str">
        <f t="shared" si="175"/>
        <v>Valid</v>
      </c>
      <c r="G628" s="12">
        <f t="shared" si="176"/>
        <v>25</v>
      </c>
      <c r="H628" s="3">
        <f t="shared" si="177"/>
        <v>45307</v>
      </c>
      <c r="I628" t="s">
        <v>647</v>
      </c>
      <c r="J628" t="str">
        <f t="shared" si="178"/>
        <v>Asia → India → Hyderabad</v>
      </c>
      <c r="K628" s="3" t="str">
        <f t="shared" si="179"/>
        <v>India-2023-12</v>
      </c>
      <c r="L628" t="s">
        <v>654</v>
      </c>
      <c r="M628" t="s">
        <v>696</v>
      </c>
      <c r="N628" t="s">
        <v>705</v>
      </c>
      <c r="O628" t="s">
        <v>707</v>
      </c>
      <c r="P628" t="s">
        <v>720</v>
      </c>
      <c r="Q628" t="s">
        <v>727</v>
      </c>
      <c r="R628" t="s">
        <v>1358</v>
      </c>
      <c r="S628" s="5">
        <v>1346.81</v>
      </c>
      <c r="T628" s="5">
        <v>978.09</v>
      </c>
      <c r="U628" s="5" t="str">
        <f t="shared" si="180"/>
        <v>Valid</v>
      </c>
      <c r="V628" s="5">
        <f t="shared" si="171"/>
        <v>978.09</v>
      </c>
      <c r="W628" s="5" t="str">
        <f t="shared" si="181"/>
        <v>Medium</v>
      </c>
      <c r="X628" s="5">
        <v>0.159</v>
      </c>
      <c r="Y628" s="5" t="str">
        <f t="shared" si="182"/>
        <v>Valid</v>
      </c>
      <c r="Z628" s="5">
        <f t="shared" si="183"/>
        <v>0.159</v>
      </c>
      <c r="AA628" s="5">
        <v>17</v>
      </c>
      <c r="AB628">
        <f t="shared" si="184"/>
        <v>13983.752729999998</v>
      </c>
      <c r="AC628">
        <f t="shared" si="172"/>
        <v>22895.77</v>
      </c>
      <c r="AD628">
        <f t="shared" si="185"/>
        <v>-8912.0172700000021</v>
      </c>
      <c r="AE628">
        <f t="shared" si="186"/>
        <v>-0.6373122753293996</v>
      </c>
      <c r="AF628">
        <f t="shared" si="187"/>
        <v>0</v>
      </c>
      <c r="AG628">
        <f t="shared" si="188"/>
        <v>0</v>
      </c>
      <c r="AK628">
        <f>AA628*(1+What_if_Analysis!$B$4)</f>
        <v>20.399999999999999</v>
      </c>
      <c r="AL628" s="5">
        <f>MIN(Z628,What_if_Analysis!$B$2)</f>
        <v>0.05</v>
      </c>
      <c r="AM628">
        <f t="shared" si="189"/>
        <v>18955.3842</v>
      </c>
      <c r="AN628">
        <f>AM628-(AK628*(T628*(1+What_if_Analysis!$B$3)))</f>
        <v>-2992.9553999999989</v>
      </c>
    </row>
    <row r="629" spans="1:40" x14ac:dyDescent="0.3">
      <c r="A629" t="s">
        <v>641</v>
      </c>
      <c r="B629" s="3">
        <v>45141</v>
      </c>
      <c r="C629" s="3" t="str">
        <f t="shared" si="173"/>
        <v>Aug-2023</v>
      </c>
      <c r="D629" s="3" t="str">
        <f t="shared" si="174"/>
        <v>Q3-2023</v>
      </c>
      <c r="E629" s="3">
        <v>45168</v>
      </c>
      <c r="F629" s="3" t="str">
        <f t="shared" si="175"/>
        <v>Valid</v>
      </c>
      <c r="G629" s="12">
        <f t="shared" si="176"/>
        <v>27</v>
      </c>
      <c r="H629" s="3">
        <f t="shared" si="177"/>
        <v>45168</v>
      </c>
      <c r="I629" t="s">
        <v>647</v>
      </c>
      <c r="J629" t="str">
        <f t="shared" si="178"/>
        <v>Asia → China → Shanghai</v>
      </c>
      <c r="K629" s="3" t="str">
        <f t="shared" si="179"/>
        <v>China-2023-08</v>
      </c>
      <c r="L629" t="s">
        <v>659</v>
      </c>
      <c r="M629" t="s">
        <v>685</v>
      </c>
      <c r="N629" t="s">
        <v>704</v>
      </c>
      <c r="O629" t="s">
        <v>710</v>
      </c>
      <c r="P629" t="s">
        <v>725</v>
      </c>
      <c r="Q629" t="s">
        <v>732</v>
      </c>
      <c r="R629" t="s">
        <v>1359</v>
      </c>
      <c r="S629" s="5">
        <v>226.04</v>
      </c>
      <c r="T629" s="5">
        <v>545.72</v>
      </c>
      <c r="U629" s="5" t="str">
        <f t="shared" si="180"/>
        <v>Valid</v>
      </c>
      <c r="V629" s="5">
        <f t="shared" si="171"/>
        <v>545.72</v>
      </c>
      <c r="W629" s="5" t="str">
        <f t="shared" si="181"/>
        <v>Low</v>
      </c>
      <c r="X629" s="5">
        <v>0.151</v>
      </c>
      <c r="Y629" s="5" t="str">
        <f t="shared" si="182"/>
        <v>Valid</v>
      </c>
      <c r="Z629" s="5">
        <f t="shared" si="183"/>
        <v>0.151</v>
      </c>
      <c r="AA629" s="5">
        <v>11</v>
      </c>
      <c r="AB629">
        <f t="shared" si="184"/>
        <v>5096.4790800000001</v>
      </c>
      <c r="AC629">
        <f t="shared" si="172"/>
        <v>2486.44</v>
      </c>
      <c r="AD629">
        <f t="shared" si="185"/>
        <v>2610.03908</v>
      </c>
      <c r="AE629">
        <f t="shared" si="186"/>
        <v>0.51212592831834014</v>
      </c>
      <c r="AF629">
        <f t="shared" si="187"/>
        <v>0</v>
      </c>
      <c r="AG629">
        <f t="shared" si="188"/>
        <v>0</v>
      </c>
      <c r="AK629">
        <f>AA629*(1+What_if_Analysis!$B$4)</f>
        <v>13.2</v>
      </c>
      <c r="AL629" s="5">
        <f>MIN(Z629,What_if_Analysis!$B$2)</f>
        <v>0.05</v>
      </c>
      <c r="AM629">
        <f t="shared" si="189"/>
        <v>6843.3287999999993</v>
      </c>
      <c r="AN629">
        <f>AM629-(AK629*(T629*(1+What_if_Analysis!$B$3)))</f>
        <v>-1080.5256000000008</v>
      </c>
    </row>
    <row r="630" spans="1:40" x14ac:dyDescent="0.3">
      <c r="A630" t="s">
        <v>642</v>
      </c>
      <c r="B630" s="3">
        <v>45100</v>
      </c>
      <c r="C630" s="3" t="str">
        <f t="shared" si="173"/>
        <v>Jun-2023</v>
      </c>
      <c r="D630" s="3" t="str">
        <f t="shared" si="174"/>
        <v>Q2-2023</v>
      </c>
      <c r="E630" s="3">
        <v>45125</v>
      </c>
      <c r="F630" s="3" t="str">
        <f t="shared" si="175"/>
        <v>Valid</v>
      </c>
      <c r="G630" s="12">
        <f t="shared" si="176"/>
        <v>25</v>
      </c>
      <c r="H630" s="3">
        <f t="shared" si="177"/>
        <v>45125</v>
      </c>
      <c r="I630" t="s">
        <v>648</v>
      </c>
      <c r="J630" t="str">
        <f t="shared" si="178"/>
        <v>Americas → Canada → Vancouver</v>
      </c>
      <c r="K630" s="3" t="str">
        <f t="shared" si="179"/>
        <v>Canada-2023-06</v>
      </c>
      <c r="L630" t="s">
        <v>653</v>
      </c>
      <c r="M630" t="s">
        <v>688</v>
      </c>
      <c r="N630" t="s">
        <v>706</v>
      </c>
      <c r="O630" t="s">
        <v>708</v>
      </c>
      <c r="P630" t="s">
        <v>725</v>
      </c>
      <c r="Q630" t="s">
        <v>730</v>
      </c>
      <c r="R630" t="s">
        <v>1360</v>
      </c>
      <c r="S630" s="5">
        <v>807.02</v>
      </c>
      <c r="T630" s="5">
        <v>1435.54</v>
      </c>
      <c r="U630" s="5" t="str">
        <f t="shared" si="180"/>
        <v>Valid</v>
      </c>
      <c r="V630" s="5">
        <f t="shared" si="171"/>
        <v>1435.54</v>
      </c>
      <c r="W630" s="5" t="str">
        <f t="shared" si="181"/>
        <v>Medium</v>
      </c>
      <c r="X630" s="5">
        <v>0</v>
      </c>
      <c r="Y630" s="5" t="str">
        <f t="shared" si="182"/>
        <v>Valid</v>
      </c>
      <c r="Z630" s="5">
        <f t="shared" si="183"/>
        <v>0</v>
      </c>
      <c r="AA630" s="5">
        <v>23</v>
      </c>
      <c r="AB630">
        <f t="shared" si="184"/>
        <v>33017.42</v>
      </c>
      <c r="AC630">
        <f t="shared" si="172"/>
        <v>18561.46</v>
      </c>
      <c r="AD630">
        <f t="shared" si="185"/>
        <v>14455.96</v>
      </c>
      <c r="AE630">
        <f t="shared" si="186"/>
        <v>0.43782827368098415</v>
      </c>
      <c r="AF630">
        <f t="shared" si="187"/>
        <v>0</v>
      </c>
      <c r="AG630">
        <f t="shared" si="188"/>
        <v>0</v>
      </c>
      <c r="AK630">
        <f>AA630*(1+What_if_Analysis!$B$4)</f>
        <v>27.599999999999998</v>
      </c>
      <c r="AL630" s="5">
        <f>MIN(Z630,What_if_Analysis!$B$2)</f>
        <v>0</v>
      </c>
      <c r="AM630">
        <f t="shared" si="189"/>
        <v>39620.903999999995</v>
      </c>
      <c r="AN630">
        <f>AM630-(AK630*(T630*(1+What_if_Analysis!$B$3)))</f>
        <v>-3962.090400000001</v>
      </c>
    </row>
    <row r="631" spans="1:40" x14ac:dyDescent="0.3">
      <c r="A631" t="s">
        <v>643</v>
      </c>
      <c r="B631" s="3">
        <v>45267</v>
      </c>
      <c r="C631" s="3" t="str">
        <f t="shared" si="173"/>
        <v>Dec-2023</v>
      </c>
      <c r="D631" s="3" t="str">
        <f t="shared" si="174"/>
        <v>Q4-2023</v>
      </c>
      <c r="E631" s="3">
        <v>45293</v>
      </c>
      <c r="F631" s="3" t="str">
        <f t="shared" si="175"/>
        <v>Valid</v>
      </c>
      <c r="G631" s="12">
        <f t="shared" si="176"/>
        <v>26</v>
      </c>
      <c r="H631" s="3">
        <f t="shared" si="177"/>
        <v>45293</v>
      </c>
      <c r="I631" t="s">
        <v>649</v>
      </c>
      <c r="J631" t="str">
        <f t="shared" si="178"/>
        <v>Europe → Germany → Frankfurt</v>
      </c>
      <c r="K631" s="3" t="str">
        <f t="shared" si="179"/>
        <v>Germany-2023-12</v>
      </c>
      <c r="L631" t="s">
        <v>656</v>
      </c>
      <c r="M631" t="s">
        <v>698</v>
      </c>
      <c r="N631" t="s">
        <v>706</v>
      </c>
      <c r="O631" t="s">
        <v>710</v>
      </c>
      <c r="P631" t="s">
        <v>718</v>
      </c>
      <c r="Q631" t="s">
        <v>727</v>
      </c>
      <c r="R631" t="s">
        <v>1361</v>
      </c>
      <c r="S631" s="5">
        <v>1071.99</v>
      </c>
      <c r="T631" s="5">
        <v>2397.3000000000002</v>
      </c>
      <c r="U631" s="5" t="str">
        <f t="shared" si="180"/>
        <v>Valid</v>
      </c>
      <c r="V631" s="5">
        <f t="shared" si="171"/>
        <v>2397.3000000000002</v>
      </c>
      <c r="W631" s="5" t="str">
        <f t="shared" si="181"/>
        <v>High</v>
      </c>
      <c r="X631" s="5">
        <v>6.2E-2</v>
      </c>
      <c r="Y631" s="5" t="str">
        <f t="shared" si="182"/>
        <v>Valid</v>
      </c>
      <c r="Z631" s="5">
        <f t="shared" si="183"/>
        <v>6.2E-2</v>
      </c>
      <c r="AA631" s="5">
        <v>18</v>
      </c>
      <c r="AB631">
        <f t="shared" si="184"/>
        <v>40476.013200000001</v>
      </c>
      <c r="AC631">
        <f t="shared" si="172"/>
        <v>19295.82</v>
      </c>
      <c r="AD631">
        <f t="shared" si="185"/>
        <v>21180.193200000002</v>
      </c>
      <c r="AE631">
        <f t="shared" si="186"/>
        <v>0.52327765324476183</v>
      </c>
      <c r="AF631">
        <f t="shared" si="187"/>
        <v>0</v>
      </c>
      <c r="AG631">
        <f t="shared" si="188"/>
        <v>0</v>
      </c>
      <c r="AK631">
        <f>AA631*(1+What_if_Analysis!$B$4)</f>
        <v>21.599999999999998</v>
      </c>
      <c r="AL631" s="5">
        <f>MIN(Z631,What_if_Analysis!$B$2)</f>
        <v>0.05</v>
      </c>
      <c r="AM631">
        <f t="shared" si="189"/>
        <v>49192.595999999998</v>
      </c>
      <c r="AN631">
        <f>AM631-(AK631*(T631*(1+What_if_Analysis!$B$3)))</f>
        <v>-7767.2520000000004</v>
      </c>
    </row>
    <row r="632" spans="1:40" x14ac:dyDescent="0.3">
      <c r="A632" t="s">
        <v>644</v>
      </c>
      <c r="B632" s="3">
        <v>45249</v>
      </c>
      <c r="C632" s="3" t="str">
        <f t="shared" si="173"/>
        <v>Nov-2023</v>
      </c>
      <c r="D632" s="3" t="str">
        <f t="shared" si="174"/>
        <v>Q4-2023</v>
      </c>
      <c r="E632" s="3">
        <v>45279</v>
      </c>
      <c r="F632" s="3" t="str">
        <f t="shared" si="175"/>
        <v>Valid</v>
      </c>
      <c r="G632" s="12">
        <f t="shared" si="176"/>
        <v>30</v>
      </c>
      <c r="H632" s="3">
        <f t="shared" si="177"/>
        <v>45279</v>
      </c>
      <c r="I632" t="s">
        <v>647</v>
      </c>
      <c r="J632" t="str">
        <f t="shared" si="178"/>
        <v>Asia → Japan → Nagoya</v>
      </c>
      <c r="K632" s="3" t="str">
        <f t="shared" si="179"/>
        <v>Japan-2023-11</v>
      </c>
      <c r="L632" t="s">
        <v>652</v>
      </c>
      <c r="M632" t="s">
        <v>694</v>
      </c>
      <c r="N632" t="s">
        <v>704</v>
      </c>
      <c r="O632" t="s">
        <v>707</v>
      </c>
      <c r="P632" t="s">
        <v>1423</v>
      </c>
      <c r="Q632" t="s">
        <v>730</v>
      </c>
      <c r="R632" t="s">
        <v>1362</v>
      </c>
      <c r="S632" s="5">
        <v>807.11</v>
      </c>
      <c r="T632" s="5">
        <v>1853.86</v>
      </c>
      <c r="U632" s="5" t="str">
        <f t="shared" si="180"/>
        <v>Valid</v>
      </c>
      <c r="V632" s="5">
        <f t="shared" si="171"/>
        <v>1853.86</v>
      </c>
      <c r="W632" s="5" t="str">
        <f t="shared" si="181"/>
        <v>Medium</v>
      </c>
      <c r="X632" s="5">
        <v>0.13900000000000001</v>
      </c>
      <c r="Y632" s="5" t="str">
        <f t="shared" si="182"/>
        <v>Valid</v>
      </c>
      <c r="Z632" s="5">
        <f t="shared" si="183"/>
        <v>0.13900000000000001</v>
      </c>
      <c r="AA632" s="5">
        <v>8</v>
      </c>
      <c r="AB632">
        <f t="shared" si="184"/>
        <v>12769.38768</v>
      </c>
      <c r="AC632">
        <f t="shared" si="172"/>
        <v>6456.88</v>
      </c>
      <c r="AD632">
        <f t="shared" si="185"/>
        <v>6312.5076799999997</v>
      </c>
      <c r="AE632">
        <f t="shared" si="186"/>
        <v>0.49434693645388639</v>
      </c>
      <c r="AF632">
        <f t="shared" si="187"/>
        <v>0</v>
      </c>
      <c r="AG632">
        <f t="shared" si="188"/>
        <v>0</v>
      </c>
      <c r="AK632">
        <f>AA632*(1+What_if_Analysis!$B$4)</f>
        <v>9.6</v>
      </c>
      <c r="AL632" s="5">
        <f>MIN(Z632,What_if_Analysis!$B$2)</f>
        <v>0.05</v>
      </c>
      <c r="AM632">
        <f t="shared" si="189"/>
        <v>16907.203199999996</v>
      </c>
      <c r="AN632">
        <f>AM632-(AK632*(T632*(1+What_if_Analysis!$B$3)))</f>
        <v>-2669.5584000000053</v>
      </c>
    </row>
    <row r="633" spans="1:40" x14ac:dyDescent="0.3">
      <c r="A633" t="s">
        <v>645</v>
      </c>
      <c r="B633" s="3">
        <v>45716</v>
      </c>
      <c r="C633" s="3" t="str">
        <f t="shared" si="173"/>
        <v>Feb-2025</v>
      </c>
      <c r="D633" s="3" t="str">
        <f t="shared" si="174"/>
        <v>Q1-2025</v>
      </c>
      <c r="E633" s="3">
        <v>45726</v>
      </c>
      <c r="F633" s="3" t="str">
        <f t="shared" si="175"/>
        <v>Valid</v>
      </c>
      <c r="G633" s="12">
        <f t="shared" si="176"/>
        <v>10</v>
      </c>
      <c r="H633" s="3">
        <f t="shared" si="177"/>
        <v>45726</v>
      </c>
      <c r="I633" t="s">
        <v>647</v>
      </c>
      <c r="J633" t="str">
        <f t="shared" si="178"/>
        <v>Asia → Japan → Osaka</v>
      </c>
      <c r="K633" s="3" t="str">
        <f t="shared" si="179"/>
        <v>Japan-2025-02</v>
      </c>
      <c r="L633" t="s">
        <v>652</v>
      </c>
      <c r="M633" t="s">
        <v>666</v>
      </c>
      <c r="N633" t="s">
        <v>702</v>
      </c>
      <c r="O633" t="s">
        <v>710</v>
      </c>
      <c r="P633" t="s">
        <v>725</v>
      </c>
      <c r="Q633" t="s">
        <v>731</v>
      </c>
      <c r="R633" t="s">
        <v>1363</v>
      </c>
      <c r="S633" s="5">
        <v>51.86</v>
      </c>
      <c r="T633" s="5">
        <v>45.98</v>
      </c>
      <c r="U633" s="5" t="str">
        <f t="shared" si="180"/>
        <v>Valid</v>
      </c>
      <c r="V633" s="5">
        <f t="shared" si="171"/>
        <v>45.98</v>
      </c>
      <c r="W633" s="5" t="str">
        <f t="shared" si="181"/>
        <v>Low</v>
      </c>
      <c r="X633" s="5">
        <v>0.17299999999999999</v>
      </c>
      <c r="Y633" s="5" t="str">
        <f t="shared" si="182"/>
        <v>Valid</v>
      </c>
      <c r="Z633" s="5">
        <f t="shared" si="183"/>
        <v>0.17299999999999999</v>
      </c>
      <c r="AA633" s="5">
        <v>7</v>
      </c>
      <c r="AB633">
        <f t="shared" si="184"/>
        <v>266.17821999999995</v>
      </c>
      <c r="AC633">
        <f t="shared" si="172"/>
        <v>363.02</v>
      </c>
      <c r="AD633">
        <f t="shared" si="185"/>
        <v>-96.841780000000028</v>
      </c>
      <c r="AE633">
        <f t="shared" si="186"/>
        <v>-0.3638230806412337</v>
      </c>
      <c r="AF633">
        <f t="shared" si="187"/>
        <v>0</v>
      </c>
      <c r="AG633">
        <f t="shared" si="188"/>
        <v>0</v>
      </c>
      <c r="AK633">
        <f>AA633*(1+What_if_Analysis!$B$4)</f>
        <v>8.4</v>
      </c>
      <c r="AL633" s="5">
        <f>MIN(Z633,What_if_Analysis!$B$2)</f>
        <v>0.05</v>
      </c>
      <c r="AM633">
        <f t="shared" si="189"/>
        <v>366.92039999999997</v>
      </c>
      <c r="AN633">
        <f>AM633-(AK633*(T633*(1+What_if_Analysis!$B$3)))</f>
        <v>-57.934800000000052</v>
      </c>
    </row>
    <row r="634" spans="1:40" x14ac:dyDescent="0.3">
      <c r="A634">
        <f>COUNT(A2:A633)</f>
        <v>0</v>
      </c>
      <c r="AB634">
        <f>SUM(AB2:AB633)</f>
        <v>11053963.031096829</v>
      </c>
      <c r="AD634">
        <f xml:space="preserve"> SUM(AD2:AD633)</f>
        <v>3526215.3210968319</v>
      </c>
      <c r="AF634">
        <f>AVERAGE(AF2:AF633)</f>
        <v>0.27215189873417722</v>
      </c>
      <c r="AM634" s="10">
        <f>SUM(AM2:AM633)</f>
        <v>14471022.471520666</v>
      </c>
      <c r="AN634" s="10">
        <f>SUM(AN2:AN633)</f>
        <v>-2013483.3948793577</v>
      </c>
    </row>
  </sheetData>
  <autoFilter ref="A1:AA633" xr:uid="{00000000-0009-0000-0000-000015000000}"/>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64"/>
  <sheetViews>
    <sheetView topLeftCell="A43" zoomScale="72" zoomScaleNormal="40" workbookViewId="0">
      <selection activeCell="B58" sqref="B58"/>
    </sheetView>
  </sheetViews>
  <sheetFormatPr defaultRowHeight="14.4" x14ac:dyDescent="0.3"/>
  <cols>
    <col min="1" max="1" width="8.88671875" customWidth="1"/>
    <col min="2" max="2" width="47.109375" customWidth="1"/>
    <col min="3" max="3" width="17.88671875" customWidth="1"/>
    <col min="4" max="4" width="17.6640625" customWidth="1"/>
    <col min="5" max="5" width="16.5546875" customWidth="1"/>
  </cols>
  <sheetData>
    <row r="1" spans="1:2" ht="19.8" customHeight="1" x14ac:dyDescent="0.3"/>
    <row r="2" spans="1:2" x14ac:dyDescent="0.3">
      <c r="A2" s="6" t="s">
        <v>1425</v>
      </c>
      <c r="B2" s="6" t="s">
        <v>1432</v>
      </c>
    </row>
    <row r="3" spans="1:2" ht="70.8" customHeight="1" x14ac:dyDescent="0.3">
      <c r="A3" s="7" t="s">
        <v>1426</v>
      </c>
      <c r="B3" s="7" t="s">
        <v>1427</v>
      </c>
    </row>
    <row r="4" spans="1:2" ht="55.8" customHeight="1" x14ac:dyDescent="0.3">
      <c r="A4" s="7" t="s">
        <v>1428</v>
      </c>
      <c r="B4" s="7" t="s">
        <v>1429</v>
      </c>
    </row>
    <row r="5" spans="1:2" ht="58.8" customHeight="1" x14ac:dyDescent="0.3">
      <c r="A5" s="7" t="s">
        <v>1430</v>
      </c>
      <c r="B5" s="7" t="s">
        <v>1431</v>
      </c>
    </row>
    <row r="8" spans="1:2" ht="18" x14ac:dyDescent="0.3">
      <c r="A8" s="9" t="s">
        <v>1433</v>
      </c>
    </row>
    <row r="10" spans="1:2" x14ac:dyDescent="0.3">
      <c r="A10" s="10" t="s">
        <v>1434</v>
      </c>
    </row>
    <row r="11" spans="1:2" x14ac:dyDescent="0.3">
      <c r="A11" t="s">
        <v>1435</v>
      </c>
    </row>
    <row r="13" spans="1:2" x14ac:dyDescent="0.3">
      <c r="A13" s="10" t="s">
        <v>1436</v>
      </c>
    </row>
    <row r="14" spans="1:2" x14ac:dyDescent="0.3">
      <c r="A14" t="s">
        <v>1437</v>
      </c>
    </row>
    <row r="18" spans="1:1" x14ac:dyDescent="0.3">
      <c r="A18" s="13"/>
    </row>
    <row r="19" spans="1:1" x14ac:dyDescent="0.3">
      <c r="A19" s="14" t="s">
        <v>1441</v>
      </c>
    </row>
    <row r="20" spans="1:1" x14ac:dyDescent="0.3">
      <c r="A20" s="13" t="s">
        <v>1442</v>
      </c>
    </row>
    <row r="21" spans="1:1" x14ac:dyDescent="0.3">
      <c r="A21" s="13"/>
    </row>
    <row r="22" spans="1:1" x14ac:dyDescent="0.3">
      <c r="A22" s="13" t="s">
        <v>1443</v>
      </c>
    </row>
    <row r="23" spans="1:1" x14ac:dyDescent="0.3">
      <c r="A23" s="13"/>
    </row>
    <row r="24" spans="1:1" x14ac:dyDescent="0.3">
      <c r="A24" s="13" t="s">
        <v>1444</v>
      </c>
    </row>
    <row r="25" spans="1:1" x14ac:dyDescent="0.3">
      <c r="A25" s="13"/>
    </row>
    <row r="26" spans="1:1" x14ac:dyDescent="0.3">
      <c r="A26" s="14" t="s">
        <v>1445</v>
      </c>
    </row>
    <row r="27" spans="1:1" x14ac:dyDescent="0.3">
      <c r="A27" s="15"/>
    </row>
    <row r="28" spans="1:1" x14ac:dyDescent="0.3">
      <c r="A28" s="15" t="s">
        <v>1446</v>
      </c>
    </row>
    <row r="29" spans="1:1" x14ac:dyDescent="0.3">
      <c r="A29" s="15" t="s">
        <v>1447</v>
      </c>
    </row>
    <row r="30" spans="1:1" x14ac:dyDescent="0.3">
      <c r="A30" s="13"/>
    </row>
    <row r="31" spans="1:1" x14ac:dyDescent="0.3">
      <c r="A31" s="13" t="s">
        <v>1448</v>
      </c>
    </row>
    <row r="33" spans="1:2" x14ac:dyDescent="0.3">
      <c r="B33" t="s">
        <v>1502</v>
      </c>
    </row>
    <row r="34" spans="1:2" x14ac:dyDescent="0.3">
      <c r="A34" t="s">
        <v>1501</v>
      </c>
    </row>
    <row r="36" spans="1:2" x14ac:dyDescent="0.3">
      <c r="B36" t="s">
        <v>1508</v>
      </c>
    </row>
    <row r="37" spans="1:2" x14ac:dyDescent="0.3">
      <c r="B37" t="s">
        <v>1507</v>
      </c>
    </row>
    <row r="40" spans="1:2" ht="18" x14ac:dyDescent="0.3">
      <c r="B40" s="9" t="s">
        <v>1522</v>
      </c>
    </row>
    <row r="42" spans="1:2" x14ac:dyDescent="0.3">
      <c r="B42" t="s">
        <v>1523</v>
      </c>
    </row>
    <row r="43" spans="1:2" x14ac:dyDescent="0.3">
      <c r="B43" s="13"/>
    </row>
    <row r="44" spans="1:2" x14ac:dyDescent="0.3">
      <c r="B44" s="13" t="s">
        <v>1524</v>
      </c>
    </row>
    <row r="45" spans="1:2" x14ac:dyDescent="0.3">
      <c r="B45" s="13" t="s">
        <v>1525</v>
      </c>
    </row>
    <row r="46" spans="1:2" x14ac:dyDescent="0.3">
      <c r="B46" s="13" t="s">
        <v>1526</v>
      </c>
    </row>
    <row r="48" spans="1:2" x14ac:dyDescent="0.3">
      <c r="B48" t="s">
        <v>1527</v>
      </c>
    </row>
    <row r="50" spans="2:6" ht="28.8" x14ac:dyDescent="0.3">
      <c r="B50" s="6" t="s">
        <v>1528</v>
      </c>
      <c r="C50" s="6" t="s">
        <v>1529</v>
      </c>
      <c r="D50" s="6" t="s">
        <v>1530</v>
      </c>
      <c r="E50" s="6" t="s">
        <v>1531</v>
      </c>
      <c r="F50" s="6" t="s">
        <v>1532</v>
      </c>
    </row>
    <row r="51" spans="2:6" x14ac:dyDescent="0.3">
      <c r="B51" s="7" t="s">
        <v>1533</v>
      </c>
      <c r="C51" s="30">
        <v>7527747.71</v>
      </c>
      <c r="D51" s="30">
        <v>14471022.470000001</v>
      </c>
      <c r="E51" s="30">
        <v>6943274.7599999998</v>
      </c>
      <c r="F51" s="31">
        <v>0.92230000000000001</v>
      </c>
    </row>
    <row r="52" spans="2:6" x14ac:dyDescent="0.3">
      <c r="B52" s="7" t="s">
        <v>1534</v>
      </c>
      <c r="C52" s="30">
        <v>3526215.32</v>
      </c>
      <c r="D52" s="30">
        <v>-2013483.4</v>
      </c>
      <c r="E52" s="30">
        <v>-5539698.7199999997</v>
      </c>
      <c r="F52" s="31">
        <v>-1.571</v>
      </c>
    </row>
    <row r="54" spans="2:6" ht="18" x14ac:dyDescent="0.3">
      <c r="B54" s="9" t="s">
        <v>1535</v>
      </c>
    </row>
    <row r="55" spans="2:6" x14ac:dyDescent="0.3">
      <c r="B55" s="13"/>
    </row>
    <row r="56" spans="2:6" x14ac:dyDescent="0.3">
      <c r="B56" s="13" t="s">
        <v>1536</v>
      </c>
    </row>
    <row r="58" spans="2:6" ht="18" x14ac:dyDescent="0.3">
      <c r="B58" s="9"/>
    </row>
    <row r="61" spans="2:6" x14ac:dyDescent="0.3">
      <c r="B61" s="13"/>
    </row>
    <row r="62" spans="2:6" x14ac:dyDescent="0.3">
      <c r="B62" s="14" t="s">
        <v>1537</v>
      </c>
    </row>
    <row r="64" spans="2:6" x14ac:dyDescent="0.3">
      <c r="B64" t="s">
        <v>1538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COHORT ANALYSIS_FIRST MONTH</vt:lpstr>
      <vt:lpstr>Sheet5</vt:lpstr>
      <vt:lpstr>Sheet7</vt:lpstr>
      <vt:lpstr>REVENUE PER ORDER</vt:lpstr>
      <vt:lpstr>Sheet10</vt:lpstr>
      <vt:lpstr>GROSSPROFIT_SALESPERSON</vt:lpstr>
      <vt:lpstr>Channel Mix &amp; Cannibalization</vt:lpstr>
      <vt:lpstr>SERVICE_LEVEL_PROXY</vt:lpstr>
      <vt:lpstr>What_if_Analysis</vt:lpstr>
      <vt:lpstr>PRICE COMPLIANCE</vt:lpstr>
      <vt:lpstr>ORDERS PER MONTH</vt:lpstr>
      <vt:lpstr>Sheet2</vt:lpstr>
      <vt:lpstr>Dashboard</vt:lpstr>
      <vt:lpstr>Brief</vt:lpstr>
      <vt:lpstr>Sheet1</vt:lpstr>
      <vt:lpstr>Sheet3</vt:lpstr>
      <vt:lpstr>Sheet4</vt:lpstr>
      <vt:lpstr>Sheet6</vt:lpstr>
      <vt:lpstr>Sheet8</vt:lpstr>
      <vt:lpstr>STORY TELLING</vt:lpstr>
      <vt:lpstr>Sheet9</vt:lpstr>
      <vt:lpstr>Data</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Benjamin Ochieng</cp:lastModifiedBy>
  <dcterms:created xsi:type="dcterms:W3CDTF">2025-09-28T10:49:35Z</dcterms:created>
  <dcterms:modified xsi:type="dcterms:W3CDTF">2026-06-21T06:28:25Z</dcterms:modified>
</cp:coreProperties>
</file>