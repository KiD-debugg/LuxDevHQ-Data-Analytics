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4b839678b6cad01b/Desktop/AI Course/Week 2/"/>
    </mc:Choice>
  </mc:AlternateContent>
  <xr:revisionPtr revIDLastSave="15" documentId="13_ncr:40009_{43590739-FD57-4A45-96D7-A96C87DF66CC}" xr6:coauthVersionLast="47" xr6:coauthVersionMax="47" xr10:uidLastSave="{AC7ED9D5-5169-4FBA-A57A-CD1DB047F5B6}"/>
  <bookViews>
    <workbookView xWindow="-108" yWindow="-108" windowWidth="23256" windowHeight="13176" firstSheet="3" activeTab="4" xr2:uid="{00000000-000D-0000-FFFF-FFFF00000000}"/>
  </bookViews>
  <sheets>
    <sheet name="Review and Discount trend" sheetId="4" r:id="rId1"/>
    <sheet name="Ratings Vs Reviews trend" sheetId="5" r:id="rId2"/>
    <sheet name="High and Low Discount Performan" sheetId="6" r:id="rId3"/>
    <sheet name="Excel_jumia_dataset" sheetId="1" r:id="rId4"/>
    <sheet name="Dashboard" sheetId="7" r:id="rId5"/>
  </sheets>
  <definedNames>
    <definedName name="_xlnm._FilterDatabase" localSheetId="3" hidden="1">Excel_jumia_dataset!$A$1:$G$113</definedName>
    <definedName name="Slicer_Category_Based_on_Discount">#N/A</definedName>
    <definedName name="Slicer_Rating_Categor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1" i="1" l="1"/>
  <c r="D53" i="1"/>
  <c r="D59" i="1"/>
  <c r="D112" i="1"/>
  <c r="D111" i="1"/>
  <c r="D95" i="1"/>
  <c r="D94" i="1"/>
  <c r="D98" i="1"/>
  <c r="D113" i="1"/>
  <c r="D90" i="1"/>
  <c r="D58" i="1"/>
  <c r="D88" i="1"/>
  <c r="D75" i="1"/>
  <c r="D105" i="1"/>
  <c r="D74" i="1"/>
  <c r="D110" i="1"/>
  <c r="D103" i="1"/>
  <c r="D66" i="1"/>
  <c r="D80" i="1"/>
  <c r="D78" i="1"/>
  <c r="D77" i="1"/>
  <c r="D65" i="1"/>
  <c r="D85" i="1"/>
  <c r="D101" i="1"/>
  <c r="D73" i="1"/>
  <c r="D102" i="1"/>
  <c r="D72" i="1"/>
  <c r="D100" i="1"/>
  <c r="D71" i="1"/>
  <c r="D55" i="1"/>
  <c r="D109" i="1"/>
  <c r="D93" i="1"/>
  <c r="D54" i="1"/>
  <c r="D56" i="1"/>
  <c r="D70" i="1"/>
  <c r="D104" i="1"/>
  <c r="D84" i="1"/>
  <c r="D79" i="1"/>
  <c r="D31" i="1"/>
  <c r="D33" i="1"/>
  <c r="D41" i="1"/>
  <c r="D35" i="1"/>
  <c r="D43" i="1"/>
  <c r="D12" i="1"/>
  <c r="D42" i="1"/>
  <c r="D30" i="1"/>
  <c r="D34" i="1"/>
  <c r="D13" i="1"/>
  <c r="D14" i="1"/>
  <c r="D2" i="1"/>
  <c r="D18" i="1"/>
  <c r="D25" i="1"/>
  <c r="D38" i="1"/>
  <c r="D61" i="1"/>
  <c r="D97" i="1"/>
  <c r="D69" i="1"/>
  <c r="D76" i="1"/>
  <c r="D83" i="1"/>
  <c r="D89" i="1"/>
  <c r="D106" i="1"/>
  <c r="D99" i="1"/>
  <c r="D108" i="1"/>
  <c r="D64" i="1"/>
  <c r="D60" i="1"/>
  <c r="D92" i="1"/>
  <c r="D68" i="1"/>
  <c r="D96" i="1"/>
  <c r="D63" i="1"/>
  <c r="D107" i="1"/>
  <c r="D87" i="1"/>
  <c r="D62" i="1"/>
  <c r="D67" i="1"/>
  <c r="D91" i="1"/>
  <c r="D7" i="1"/>
  <c r="D47" i="1"/>
  <c r="D57" i="1"/>
  <c r="D8" i="1"/>
  <c r="D11" i="1"/>
  <c r="D27" i="1"/>
  <c r="D22" i="1"/>
  <c r="D26" i="1"/>
  <c r="D82" i="1"/>
  <c r="D10" i="1"/>
  <c r="D20" i="1"/>
  <c r="D24" i="1"/>
  <c r="D4" i="1"/>
  <c r="D29" i="1"/>
  <c r="D17" i="1"/>
  <c r="D37" i="1"/>
  <c r="D86" i="1"/>
  <c r="D19" i="1"/>
  <c r="D5" i="1"/>
  <c r="D45" i="1"/>
  <c r="D46" i="1"/>
  <c r="D49" i="1"/>
  <c r="D48" i="1"/>
  <c r="D28" i="1"/>
  <c r="D36" i="1"/>
  <c r="D21" i="1"/>
  <c r="D6" i="1"/>
  <c r="D23" i="1"/>
  <c r="D40" i="1"/>
  <c r="D39" i="1"/>
  <c r="D52" i="1"/>
  <c r="D3" i="1"/>
  <c r="D15" i="1"/>
  <c r="D44" i="1"/>
  <c r="D32" i="1"/>
  <c r="D9" i="1"/>
  <c r="D16" i="1"/>
  <c r="D50" i="1"/>
  <c r="B120" i="1"/>
  <c r="E115" i="1"/>
  <c r="G115"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2" i="1"/>
  <c r="C51" i="1"/>
  <c r="C115" i="1" s="1"/>
  <c r="B51" i="1"/>
  <c r="B118" i="1" s="1"/>
  <c r="C125" i="1" l="1"/>
  <c r="C123" i="1"/>
  <c r="C124" i="1"/>
  <c r="D51" i="1"/>
  <c r="C130" i="1"/>
  <c r="C128" i="1"/>
  <c r="C129" i="1"/>
  <c r="B117" i="1"/>
  <c r="B121" i="1"/>
  <c r="B115" i="1"/>
</calcChain>
</file>

<file path=xl/sharedStrings.xml><?xml version="1.0" encoding="utf-8"?>
<sst xmlns="http://schemas.openxmlformats.org/spreadsheetml/2006/main" count="188" uniqueCount="139">
  <si>
    <t>Product</t>
  </si>
  <si>
    <t>Current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</si>
  <si>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</si>
  <si>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</si>
  <si>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</si>
  <si>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</si>
  <si>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</si>
  <si>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</si>
  <si>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</si>
  <si>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</si>
  <si>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</si>
  <si>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</si>
  <si>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</si>
  <si>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</si>
  <si>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</si>
  <si>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</si>
  <si>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</si>
  <si>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</si>
  <si>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</si>
  <si>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</si>
  <si>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</si>
  <si>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</si>
  <si>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</si>
  <si>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</si>
  <si>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</si>
  <si>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</si>
  <si>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</si>
  <si>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</si>
  <si>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</si>
  <si>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</si>
  <si>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</si>
  <si>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</si>
  <si>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</si>
  <si>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</si>
  <si>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</si>
  <si>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</si>
  <si>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</si>
  <si>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</si>
  <si>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</si>
  <si>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</si>
  <si>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</si>
  <si>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</si>
  <si>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</si>
  <si>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</si>
  <si>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</si>
  <si>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</si>
  <si>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</si>
  <si>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</si>
  <si>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</si>
  <si>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</si>
  <si>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</si>
  <si>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</si>
  <si>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</si>
  <si>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</si>
  <si>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</si>
  <si>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</si>
  <si>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</si>
  <si>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</si>
  <si>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</si>
  <si>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</si>
  <si>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</si>
  <si>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</si>
  <si>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</si>
  <si>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</si>
  <si>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</si>
  <si>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</si>
  <si>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</si>
  <si>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</si>
  <si>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</si>
  <si>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</si>
  <si>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</si>
  <si>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</si>
  <si>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</si>
  <si>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</si>
  <si>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</si>
  <si>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</si>
  <si>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</si>
  <si>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</si>
  <si>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</si>
  <si>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</si>
  <si>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</si>
  <si>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</si>
  <si>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</si>
  <si>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</si>
  <si>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</si>
  <si>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</si>
  <si>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</si>
  <si>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</si>
  <si>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</si>
  <si>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</si>
  <si>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</si>
  <si>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</si>
  <si>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</si>
  <si>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</si>
  <si>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</si>
  <si>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</si>
  <si>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</si>
  <si>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</si>
  <si>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</si>
  <si>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</si>
  <si>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</si>
  <si>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</si>
  <si>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</si>
  <si>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</si>
  <si>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</si>
  <si>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</si>
  <si>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</si>
  <si>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</si>
  <si>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</si>
  <si>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</si>
  <si>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</si>
  <si>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</si>
  <si>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Old price</t>
  </si>
  <si>
    <t>Rating</t>
  </si>
  <si>
    <t>MultiFunctional Storage Rack Multi-layer Booelf</t>
  </si>
  <si>
    <t>Absolute Discount</t>
  </si>
  <si>
    <t>Rating Category</t>
  </si>
  <si>
    <t>Category Based on Discount</t>
  </si>
  <si>
    <t xml:space="preserve">AVERAGE </t>
  </si>
  <si>
    <t>Most Expensive Product</t>
  </si>
  <si>
    <t>Least Expensive Product</t>
  </si>
  <si>
    <t>Poor</t>
  </si>
  <si>
    <t>Average</t>
  </si>
  <si>
    <t>Excellent</t>
  </si>
  <si>
    <t>N/A</t>
  </si>
  <si>
    <t>Medium Discount</t>
  </si>
  <si>
    <t>Low Discount</t>
  </si>
  <si>
    <t>High Discount</t>
  </si>
  <si>
    <t>Average Discount Category</t>
  </si>
  <si>
    <t>Row Labels</t>
  </si>
  <si>
    <t>Grand Total</t>
  </si>
  <si>
    <t>Average of Review</t>
  </si>
  <si>
    <t>Top 5 products with the highest ratings</t>
  </si>
  <si>
    <t>top 5 products with the lowest ratings.</t>
  </si>
  <si>
    <t>top 10 products with the highest discounts.</t>
  </si>
  <si>
    <t>Top 10 products with the most reviews.</t>
  </si>
  <si>
    <t>Average of Rating</t>
  </si>
  <si>
    <t>Count of Review</t>
  </si>
  <si>
    <t>Average Rating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</si>
</sst>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Times New Roman"/>
      <family val="1"/>
    </font>
    <font>
      <sz val="12"/>
      <color theme="1"/>
      <name val="Times New Roman"/>
      <family val="1"/>
    </font>
    <font>
      <sz val="8"/>
      <name val="Calibri"/>
      <family val="2"/>
      <scheme val="minor"/>
    </font>
    <font>
      <sz val="11"/>
      <color theme="1"/>
      <name val="Times New Roman"/>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9" tint="0.59999389629810485"/>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8" fillId="0" borderId="0" xfId="0" applyFont="1"/>
    <xf numFmtId="0" fontId="19" fillId="0" borderId="0" xfId="0" applyFont="1"/>
    <xf numFmtId="9" fontId="19" fillId="0" borderId="0" xfId="0" applyNumberFormat="1" applyFont="1"/>
    <xf numFmtId="2" fontId="18" fillId="0" borderId="0" xfId="0" applyNumberFormat="1" applyFont="1"/>
    <xf numFmtId="2" fontId="19" fillId="0" borderId="0" xfId="0" applyNumberFormat="1" applyFont="1"/>
    <xf numFmtId="2" fontId="0" fillId="0" borderId="0" xfId="0" applyNumberFormat="1"/>
    <xf numFmtId="164" fontId="18" fillId="0" borderId="0" xfId="0" applyNumberFormat="1" applyFont="1"/>
    <xf numFmtId="164" fontId="19" fillId="0" borderId="0" xfId="0" applyNumberFormat="1" applyFont="1"/>
    <xf numFmtId="164" fontId="0" fillId="0" borderId="0" xfId="0" applyNumberFormat="1"/>
    <xf numFmtId="0" fontId="18" fillId="33" borderId="0" xfId="0" applyFont="1" applyFill="1"/>
    <xf numFmtId="2" fontId="19" fillId="33" borderId="0" xfId="0" applyNumberFormat="1" applyFont="1" applyFill="1"/>
    <xf numFmtId="0" fontId="18" fillId="0" borderId="0" xfId="0" applyFont="1" applyAlignment="1">
      <alignment wrapText="1"/>
    </xf>
    <xf numFmtId="10" fontId="19" fillId="34" borderId="0" xfId="0" applyNumberFormat="1" applyFont="1" applyFill="1"/>
    <xf numFmtId="2" fontId="19" fillId="34" borderId="0" xfId="0" applyNumberFormat="1" applyFont="1" applyFill="1" applyAlignment="1">
      <alignment wrapText="1"/>
    </xf>
    <xf numFmtId="2" fontId="19" fillId="34" borderId="0" xfId="0" applyNumberFormat="1" applyFont="1" applyFill="1"/>
    <xf numFmtId="0" fontId="19" fillId="0" borderId="0" xfId="0" pivotButton="1" applyFont="1"/>
    <xf numFmtId="0" fontId="19" fillId="0" borderId="0" xfId="0" applyFont="1" applyAlignment="1">
      <alignment horizontal="left"/>
    </xf>
    <xf numFmtId="0" fontId="19" fillId="0" borderId="0" xfId="0" applyNumberFormat="1" applyFont="1"/>
    <xf numFmtId="0" fontId="21" fillId="35" borderId="0" xfId="0" applyFont="1" applyFill="1"/>
    <xf numFmtId="0" fontId="19" fillId="0" borderId="0" xfId="0"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6">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2" formatCode="0.00"/>
    </dxf>
    <dxf>
      <numFmt numFmtId="2" formatCode="0.00"/>
    </dxf>
    <dxf>
      <numFmt numFmtId="2" formatCode="0.00"/>
    </dxf>
    <dxf>
      <numFmt numFmtId="2"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2"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2"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2" formatCode="0.00"/>
    </dxf>
    <dxf>
      <numFmt numFmtId="2" formatCode="0.00"/>
    </dxf>
    <dxf>
      <numFmt numFmtId="2" formatCode="0.00"/>
    </dxf>
    <dxf>
      <numFmt numFmtId="2"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2"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2" formatCode="0.00"/>
    </dxf>
    <dxf>
      <numFmt numFmtId="2" formatCode="0.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2" formatCode="0.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2" formatCode="0.00"/>
    </dxf>
    <dxf>
      <numFmt numFmtId="2" formatCode="0.00"/>
    </dxf>
    <dxf>
      <numFmt numFmtId="2" formatCode="0.00"/>
    </dxf>
    <dxf>
      <numFmt numFmtId="2" formatCode="0.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[Excel_jumia_dataset.xlsx]Review and Discount trend!PivotTable1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Reviews Vs Discount Rating</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'Review and Discount trend'!$B$3</c:f>
              <c:strCache>
                <c:ptCount val="1"/>
                <c:pt idx="0">
                  <c:v>Total</c:v>
                </c:pt>
              </c:strCache>
            </c:strRef>
          </c:tx>
          <c:spPr>
            <a:solidFill>
              <a:schemeClr val="accent1"/>
            </a:solidFill>
            <a:ln>
              <a:noFill/>
            </a:ln>
            <a:effectLst/>
          </c:spPr>
          <c:invertIfNegative val="0"/>
          <c:cat>
            <c:strRef>
              <c:f>'Review and Discount trend'!$A$4:$A$7</c:f>
              <c:strCache>
                <c:ptCount val="3"/>
                <c:pt idx="0">
                  <c:v>Low Discount</c:v>
                </c:pt>
                <c:pt idx="1">
                  <c:v>Medium Discount</c:v>
                </c:pt>
                <c:pt idx="2">
                  <c:v>High Discount</c:v>
                </c:pt>
              </c:strCache>
            </c:strRef>
          </c:cat>
          <c:val>
            <c:numRef>
              <c:f>'Review and Discount trend'!$B$4:$B$7</c:f>
              <c:numCache>
                <c:formatCode>0.00</c:formatCode>
                <c:ptCount val="3"/>
                <c:pt idx="0">
                  <c:v>9.5</c:v>
                </c:pt>
                <c:pt idx="1">
                  <c:v>15.260869565217391</c:v>
                </c:pt>
                <c:pt idx="2">
                  <c:v>11.133333333333333</c:v>
                </c:pt>
              </c:numCache>
            </c:numRef>
          </c:val>
          <c:extLst>
            <c:ext xmlns:c16="http://schemas.microsoft.com/office/drawing/2014/chart" uri="{C3380CC4-5D6E-409C-BE32-E72D297353CC}">
              <c16:uniqueId val="{00000000-FE67-4C62-8F99-FEFA33BB1802}"/>
            </c:ext>
          </c:extLst>
        </c:ser>
        <c:dLbls>
          <c:showLegendKey val="0"/>
          <c:showVal val="0"/>
          <c:showCatName val="0"/>
          <c:showSerName val="0"/>
          <c:showPercent val="0"/>
          <c:showBubbleSize val="0"/>
        </c:dLbls>
        <c:gapWidth val="150"/>
        <c:axId val="1045831136"/>
        <c:axId val="1045831968"/>
      </c:barChart>
      <c:catAx>
        <c:axId val="1045831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KE"/>
          </a:p>
        </c:txPr>
        <c:crossAx val="1045831968"/>
        <c:crosses val="autoZero"/>
        <c:auto val="1"/>
        <c:lblAlgn val="ctr"/>
        <c:lblOffset val="100"/>
        <c:noMultiLvlLbl val="0"/>
      </c:catAx>
      <c:valAx>
        <c:axId val="1045831968"/>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KE"/>
          </a:p>
        </c:txPr>
        <c:crossAx val="104583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[Excel_jumia_dataset.xlsx]Ratings Vs Reviews trend!PivotTable1</c:name>
    <c:fmtId val="6"/>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Average</a:t>
            </a:r>
            <a:r>
              <a:rPr lang="en-US" baseline="0">
                <a:latin typeface="Times New Roman" panose="02020603050405020304" pitchFamily="18" charset="0"/>
                <a:cs typeface="Times New Roman" panose="02020603050405020304" pitchFamily="18" charset="0"/>
              </a:rPr>
              <a:t> review</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KE"/>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K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KE"/>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KE"/>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KE"/>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KE"/>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5"/>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K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K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K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K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K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K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K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K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K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KE"/>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'Ratings Vs Reviews trend'!$B$3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1BD4-4F9E-B987-45EECCA5FCD9}"/>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BD4-4F9E-B987-45EECCA5FCD9}"/>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BD4-4F9E-B987-45EECCA5FCD9}"/>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1BD4-4F9E-B987-45EECCA5FCD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KE"/>
                </a:p>
              </c:txPr>
              <c:dLblPos val="outEnd"/>
              <c:showLegendKey val="0"/>
              <c:showVal val="1"/>
              <c:showCatName val="1"/>
              <c:showSerName val="0"/>
              <c:showPercent val="0"/>
              <c:showBubbleSize val="0"/>
              <c:extLst>
                <c:ext xmlns:c16="http://schemas.microsoft.com/office/drawing/2014/chart" uri="{C3380CC4-5D6E-409C-BE32-E72D297353CC}">
                  <c16:uniqueId val="{00000001-1BD4-4F9E-B987-45EECCA5FCD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Times New Roman" panose="02020603050405020304" pitchFamily="18" charset="0"/>
                      <a:ea typeface="+mn-ea"/>
                      <a:cs typeface="Times New Roman" panose="02020603050405020304" pitchFamily="18" charset="0"/>
                    </a:defRPr>
                  </a:pPr>
                  <a:endParaRPr lang="en-KE"/>
                </a:p>
              </c:txPr>
              <c:dLblPos val="outEnd"/>
              <c:showLegendKey val="0"/>
              <c:showVal val="1"/>
              <c:showCatName val="1"/>
              <c:showSerName val="0"/>
              <c:showPercent val="0"/>
              <c:showBubbleSize val="0"/>
              <c:extLst>
                <c:ext xmlns:c16="http://schemas.microsoft.com/office/drawing/2014/chart" uri="{C3380CC4-5D6E-409C-BE32-E72D297353CC}">
                  <c16:uniqueId val="{00000003-1BD4-4F9E-B987-45EECCA5FCD9}"/>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Times New Roman" panose="02020603050405020304" pitchFamily="18" charset="0"/>
                      <a:ea typeface="+mn-ea"/>
                      <a:cs typeface="Times New Roman" panose="02020603050405020304" pitchFamily="18" charset="0"/>
                    </a:defRPr>
                  </a:pPr>
                  <a:endParaRPr lang="en-KE"/>
                </a:p>
              </c:txPr>
              <c:dLblPos val="outEnd"/>
              <c:showLegendKey val="0"/>
              <c:showVal val="1"/>
              <c:showCatName val="1"/>
              <c:showSerName val="0"/>
              <c:showPercent val="0"/>
              <c:showBubbleSize val="0"/>
              <c:extLst>
                <c:ext xmlns:c16="http://schemas.microsoft.com/office/drawing/2014/chart" uri="{C3380CC4-5D6E-409C-BE32-E72D297353CC}">
                  <c16:uniqueId val="{00000005-1BD4-4F9E-B987-45EECCA5FCD9}"/>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Times New Roman" panose="02020603050405020304" pitchFamily="18" charset="0"/>
                      <a:ea typeface="+mn-ea"/>
                      <a:cs typeface="Times New Roman" panose="02020603050405020304" pitchFamily="18" charset="0"/>
                    </a:defRPr>
                  </a:pPr>
                  <a:endParaRPr lang="en-KE"/>
                </a:p>
              </c:txPr>
              <c:dLblPos val="outEnd"/>
              <c:showLegendKey val="0"/>
              <c:showVal val="1"/>
              <c:showCatName val="1"/>
              <c:showSerName val="0"/>
              <c:showPercent val="0"/>
              <c:showBubbleSize val="0"/>
              <c:extLst>
                <c:ext xmlns:c16="http://schemas.microsoft.com/office/drawing/2014/chart" uri="{C3380CC4-5D6E-409C-BE32-E72D297353CC}">
                  <c16:uniqueId val="{00000007-1BD4-4F9E-B987-45EECCA5FCD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KE"/>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'Ratings Vs Reviews trend'!$A$4:$A$8</c:f>
              <c:strCache>
                <c:ptCount val="4"/>
                <c:pt idx="0">
                  <c:v>Poor</c:v>
                </c:pt>
                <c:pt idx="1">
                  <c:v>Average</c:v>
                </c:pt>
                <c:pt idx="2">
                  <c:v>Excellent</c:v>
                </c:pt>
                <c:pt idx="3">
                  <c:v>N/A</c:v>
                </c:pt>
              </c:strCache>
            </c:strRef>
          </c:cat>
          <c:val>
            <c:numRef>
              <c:f>'Ratings Vs Reviews trend'!$B$4:$B$8</c:f>
              <c:numCache>
                <c:formatCode>0.00</c:formatCode>
                <c:ptCount val="4"/>
                <c:pt idx="0">
                  <c:v>14.083333333333334</c:v>
                </c:pt>
                <c:pt idx="1">
                  <c:v>10.136363636363637</c:v>
                </c:pt>
                <c:pt idx="2">
                  <c:v>14.391304347826088</c:v>
                </c:pt>
              </c:numCache>
            </c:numRef>
          </c:val>
          <c:extLst>
            <c:ext xmlns:c16="http://schemas.microsoft.com/office/drawing/2014/chart" uri="{C3380CC4-5D6E-409C-BE32-E72D297353CC}">
              <c16:uniqueId val="{00000008-1BD4-4F9E-B987-45EECCA5FCD9}"/>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[Excel_jumia_dataset.xlsx]High and Low Discount Performan!PivotTable2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DISCOUNT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and Low Discount Performan'!$B$3</c:f>
              <c:strCache>
                <c:ptCount val="1"/>
                <c:pt idx="0">
                  <c:v>Count of Review</c:v>
                </c:pt>
              </c:strCache>
            </c:strRef>
          </c:tx>
          <c:spPr>
            <a:solidFill>
              <a:schemeClr val="accent1"/>
            </a:solidFill>
            <a:ln>
              <a:noFill/>
            </a:ln>
            <a:effectLst/>
          </c:spPr>
          <c:invertIfNegative val="0"/>
          <c:cat>
            <c:strRef>
              <c:f>'High and Low Discount Performan'!$A$4:$A$7</c:f>
              <c:strCache>
                <c:ptCount val="3"/>
                <c:pt idx="0">
                  <c:v>High Discount</c:v>
                </c:pt>
                <c:pt idx="1">
                  <c:v>Low Discount</c:v>
                </c:pt>
                <c:pt idx="2">
                  <c:v>Medium Discount</c:v>
                </c:pt>
              </c:strCache>
            </c:strRef>
          </c:cat>
          <c:val>
            <c:numRef>
              <c:f>'High and Low Discount Performan'!$B$4:$B$7</c:f>
              <c:numCache>
                <c:formatCode>General</c:formatCode>
                <c:ptCount val="3"/>
                <c:pt idx="0">
                  <c:v>30</c:v>
                </c:pt>
                <c:pt idx="1">
                  <c:v>4</c:v>
                </c:pt>
                <c:pt idx="2">
                  <c:v>23</c:v>
                </c:pt>
              </c:numCache>
            </c:numRef>
          </c:val>
          <c:extLst>
            <c:ext xmlns:c16="http://schemas.microsoft.com/office/drawing/2014/chart" uri="{C3380CC4-5D6E-409C-BE32-E72D297353CC}">
              <c16:uniqueId val="{00000000-33D4-4B93-BED3-7746EB522215}"/>
            </c:ext>
          </c:extLst>
        </c:ser>
        <c:ser>
          <c:idx val="1"/>
          <c:order val="1"/>
          <c:tx>
            <c:strRef>
              <c:f>'High and Low Discount Performan'!$C$3</c:f>
              <c:strCache>
                <c:ptCount val="1"/>
                <c:pt idx="0">
                  <c:v>Average of Rating</c:v>
                </c:pt>
              </c:strCache>
            </c:strRef>
          </c:tx>
          <c:spPr>
            <a:solidFill>
              <a:schemeClr val="accent2"/>
            </a:solidFill>
            <a:ln>
              <a:noFill/>
            </a:ln>
            <a:effectLst/>
          </c:spPr>
          <c:invertIfNegative val="0"/>
          <c:cat>
            <c:strRef>
              <c:f>'High and Low Discount Performan'!$A$4:$A$7</c:f>
              <c:strCache>
                <c:ptCount val="3"/>
                <c:pt idx="0">
                  <c:v>High Discount</c:v>
                </c:pt>
                <c:pt idx="1">
                  <c:v>Low Discount</c:v>
                </c:pt>
                <c:pt idx="2">
                  <c:v>Medium Discount</c:v>
                </c:pt>
              </c:strCache>
            </c:strRef>
          </c:cat>
          <c:val>
            <c:numRef>
              <c:f>'High and Low Discount Performan'!$C$4:$C$7</c:f>
              <c:numCache>
                <c:formatCode>0.00</c:formatCode>
                <c:ptCount val="3"/>
                <c:pt idx="0">
                  <c:v>3.6133333333333324</c:v>
                </c:pt>
                <c:pt idx="1">
                  <c:v>3.7249999999999996</c:v>
                </c:pt>
                <c:pt idx="2">
                  <c:v>4.2782608695652184</c:v>
                </c:pt>
              </c:numCache>
            </c:numRef>
          </c:val>
          <c:extLst>
            <c:ext xmlns:c16="http://schemas.microsoft.com/office/drawing/2014/chart" uri="{C3380CC4-5D6E-409C-BE32-E72D297353CC}">
              <c16:uniqueId val="{00000001-33D4-4B93-BED3-7746EB522215}"/>
            </c:ext>
          </c:extLst>
        </c:ser>
        <c:ser>
          <c:idx val="2"/>
          <c:order val="2"/>
          <c:tx>
            <c:strRef>
              <c:f>'High and Low Discount Performan'!$D$3</c:f>
              <c:strCache>
                <c:ptCount val="1"/>
                <c:pt idx="0">
                  <c:v>Average of Review</c:v>
                </c:pt>
              </c:strCache>
            </c:strRef>
          </c:tx>
          <c:spPr>
            <a:solidFill>
              <a:schemeClr val="accent3"/>
            </a:solidFill>
            <a:ln>
              <a:noFill/>
            </a:ln>
            <a:effectLst/>
          </c:spPr>
          <c:invertIfNegative val="0"/>
          <c:cat>
            <c:strRef>
              <c:f>'High and Low Discount Performan'!$A$4:$A$7</c:f>
              <c:strCache>
                <c:ptCount val="3"/>
                <c:pt idx="0">
                  <c:v>High Discount</c:v>
                </c:pt>
                <c:pt idx="1">
                  <c:v>Low Discount</c:v>
                </c:pt>
                <c:pt idx="2">
                  <c:v>Medium Discount</c:v>
                </c:pt>
              </c:strCache>
            </c:strRef>
          </c:cat>
          <c:val>
            <c:numRef>
              <c:f>'High and Low Discount Performan'!$D$4:$D$7</c:f>
              <c:numCache>
                <c:formatCode>0.00</c:formatCode>
                <c:ptCount val="3"/>
                <c:pt idx="0">
                  <c:v>11.133333333333333</c:v>
                </c:pt>
                <c:pt idx="1">
                  <c:v>9.5</c:v>
                </c:pt>
                <c:pt idx="2">
                  <c:v>15.260869565217391</c:v>
                </c:pt>
              </c:numCache>
            </c:numRef>
          </c:val>
          <c:extLst>
            <c:ext xmlns:c16="http://schemas.microsoft.com/office/drawing/2014/chart" uri="{C3380CC4-5D6E-409C-BE32-E72D297353CC}">
              <c16:uniqueId val="{00000003-33D4-4B93-BED3-7746EB522215}"/>
            </c:ext>
          </c:extLst>
        </c:ser>
        <c:dLbls>
          <c:showLegendKey val="0"/>
          <c:showVal val="0"/>
          <c:showCatName val="0"/>
          <c:showSerName val="0"/>
          <c:showPercent val="0"/>
          <c:showBubbleSize val="0"/>
        </c:dLbls>
        <c:gapWidth val="219"/>
        <c:overlap val="-27"/>
        <c:axId val="2077767807"/>
        <c:axId val="2077758239"/>
      </c:barChart>
      <c:catAx>
        <c:axId val="207776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KE"/>
          </a:p>
        </c:txPr>
        <c:crossAx val="2077758239"/>
        <c:crosses val="autoZero"/>
        <c:auto val="1"/>
        <c:lblAlgn val="ctr"/>
        <c:lblOffset val="100"/>
        <c:noMultiLvlLbl val="0"/>
      </c:catAx>
      <c:valAx>
        <c:axId val="2077758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KE"/>
          </a:p>
        </c:txPr>
        <c:crossAx val="207776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[Excel_jumia_dataset.xlsx]Review and Discount trend!PivotTable1</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Reviews Vs Discount Rating</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Times New Roman" panose="02020603050405020304" pitchFamily="18" charset="0"/>
              <a:ea typeface="+mn-ea"/>
              <a:cs typeface="Times New Roman" panose="02020603050405020304" pitchFamily="18" charset="0"/>
            </a:defRPr>
          </a:pPr>
          <a:endParaRPr lang="en-K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'Review and Discount trend'!$B$3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'Review and Discount trend'!$A$4:$A$7</c:f>
              <c:strCache>
                <c:ptCount val="3"/>
                <c:pt idx="0">
                  <c:v>Low Discount</c:v>
                </c:pt>
                <c:pt idx="1">
                  <c:v>Medium Discount</c:v>
                </c:pt>
                <c:pt idx="2">
                  <c:v>High Discount</c:v>
                </c:pt>
              </c:strCache>
            </c:strRef>
          </c:cat>
          <c:val>
            <c:numRef>
              <c:f>'Review and Discount trend'!$B$4:$B$7</c:f>
              <c:numCache>
                <c:formatCode>0.00</c:formatCode>
                <c:ptCount val="3"/>
                <c:pt idx="0">
                  <c:v>9.5</c:v>
                </c:pt>
                <c:pt idx="1">
                  <c:v>15.260869565217391</c:v>
                </c:pt>
                <c:pt idx="2">
                  <c:v>11.133333333333333</c:v>
                </c:pt>
              </c:numCache>
            </c:numRef>
          </c:val>
          <c:smooth val="0"/>
          <c:extLst>
            <c:ext xmlns:c16="http://schemas.microsoft.com/office/drawing/2014/chart" uri="{C3380CC4-5D6E-409C-BE32-E72D297353CC}">
              <c16:uniqueId val="{00000000-D1C0-45C9-BEBD-DC7F32C997F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45831136"/>
        <c:axId val="1045831968"/>
      </c:lineChart>
      <c:catAx>
        <c:axId val="10458311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KE"/>
          </a:p>
        </c:txPr>
        <c:crossAx val="1045831968"/>
        <c:crosses val="autoZero"/>
        <c:auto val="1"/>
        <c:lblAlgn val="ctr"/>
        <c:lblOffset val="100"/>
        <c:noMultiLvlLbl val="0"/>
      </c:catAx>
      <c:valAx>
        <c:axId val="10458319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KE"/>
          </a:p>
        </c:txPr>
        <c:crossAx val="104583113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[Excel_jumia_dataset.xlsx]Ratings Vs Reviews trend!PivotTable1</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Average</a:t>
            </a:r>
            <a:r>
              <a:rPr lang="en-US" baseline="0">
                <a:latin typeface="Times New Roman" panose="02020603050405020304" pitchFamily="18" charset="0"/>
                <a:cs typeface="Times New Roman" panose="02020603050405020304" pitchFamily="18" charset="0"/>
              </a:rPr>
              <a:t> review</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KE"/>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K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K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K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K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KE"/>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'Ratings Vs Reviews trend'!$B$3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BDEE-40DC-809E-FF3A607D7737}"/>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BDEE-40DC-809E-FF3A607D7737}"/>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BDEE-40DC-809E-FF3A607D7737}"/>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BDEE-40DC-809E-FF3A607D77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KE"/>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'Ratings Vs Reviews trend'!$A$4:$A$8</c:f>
              <c:strCache>
                <c:ptCount val="4"/>
                <c:pt idx="0">
                  <c:v>Poor</c:v>
                </c:pt>
                <c:pt idx="1">
                  <c:v>Average</c:v>
                </c:pt>
                <c:pt idx="2">
                  <c:v>Excellent</c:v>
                </c:pt>
                <c:pt idx="3">
                  <c:v>N/A</c:v>
                </c:pt>
              </c:strCache>
            </c:strRef>
          </c:cat>
          <c:val>
            <c:numRef>
              <c:f>'Ratings Vs Reviews trend'!$B$4:$B$8</c:f>
              <c:numCache>
                <c:formatCode>0.00</c:formatCode>
                <c:ptCount val="4"/>
                <c:pt idx="0">
                  <c:v>14.083333333333334</c:v>
                </c:pt>
                <c:pt idx="1">
                  <c:v>10.136363636363637</c:v>
                </c:pt>
                <c:pt idx="2">
                  <c:v>14.391304347826088</c:v>
                </c:pt>
              </c:numCache>
            </c:numRef>
          </c:val>
          <c:extLst>
            <c:ext xmlns:c16="http://schemas.microsoft.com/office/drawing/2014/chart" uri="{C3380CC4-5D6E-409C-BE32-E72D297353CC}">
              <c16:uniqueId val="{00000008-BDEE-40DC-809E-FF3A607D7737}"/>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[Excel_jumia_dataset.xlsx]High and Low Discount Performan!PivotTable2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DISCOUNT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and Low Discount Performan'!$B$3</c:f>
              <c:strCache>
                <c:ptCount val="1"/>
                <c:pt idx="0">
                  <c:v>Count of Review</c:v>
                </c:pt>
              </c:strCache>
            </c:strRef>
          </c:tx>
          <c:spPr>
            <a:solidFill>
              <a:schemeClr val="accent1"/>
            </a:solidFill>
            <a:ln>
              <a:noFill/>
            </a:ln>
            <a:effectLst/>
          </c:spPr>
          <c:invertIfNegative val="0"/>
          <c:cat>
            <c:strRef>
              <c:f>'High and Low Discount Performan'!$A$4:$A$7</c:f>
              <c:strCache>
                <c:ptCount val="3"/>
                <c:pt idx="0">
                  <c:v>High Discount</c:v>
                </c:pt>
                <c:pt idx="1">
                  <c:v>Low Discount</c:v>
                </c:pt>
                <c:pt idx="2">
                  <c:v>Medium Discount</c:v>
                </c:pt>
              </c:strCache>
            </c:strRef>
          </c:cat>
          <c:val>
            <c:numRef>
              <c:f>'High and Low Discount Performan'!$B$4:$B$7</c:f>
              <c:numCache>
                <c:formatCode>General</c:formatCode>
                <c:ptCount val="3"/>
                <c:pt idx="0">
                  <c:v>30</c:v>
                </c:pt>
                <c:pt idx="1">
                  <c:v>4</c:v>
                </c:pt>
                <c:pt idx="2">
                  <c:v>23</c:v>
                </c:pt>
              </c:numCache>
            </c:numRef>
          </c:val>
          <c:extLst>
            <c:ext xmlns:c16="http://schemas.microsoft.com/office/drawing/2014/chart" uri="{C3380CC4-5D6E-409C-BE32-E72D297353CC}">
              <c16:uniqueId val="{00000000-BB36-44A6-ADCC-ED7D186BC22A}"/>
            </c:ext>
          </c:extLst>
        </c:ser>
        <c:ser>
          <c:idx val="1"/>
          <c:order val="1"/>
          <c:tx>
            <c:strRef>
              <c:f>'High and Low Discount Performan'!$C$3</c:f>
              <c:strCache>
                <c:ptCount val="1"/>
                <c:pt idx="0">
                  <c:v>Average of Rating</c:v>
                </c:pt>
              </c:strCache>
            </c:strRef>
          </c:tx>
          <c:spPr>
            <a:solidFill>
              <a:schemeClr val="accent2"/>
            </a:solidFill>
            <a:ln>
              <a:noFill/>
            </a:ln>
            <a:effectLst/>
          </c:spPr>
          <c:invertIfNegative val="0"/>
          <c:cat>
            <c:strRef>
              <c:f>'High and Low Discount Performan'!$A$4:$A$7</c:f>
              <c:strCache>
                <c:ptCount val="3"/>
                <c:pt idx="0">
                  <c:v>High Discount</c:v>
                </c:pt>
                <c:pt idx="1">
                  <c:v>Low Discount</c:v>
                </c:pt>
                <c:pt idx="2">
                  <c:v>Medium Discount</c:v>
                </c:pt>
              </c:strCache>
            </c:strRef>
          </c:cat>
          <c:val>
            <c:numRef>
              <c:f>'High and Low Discount Performan'!$C$4:$C$7</c:f>
              <c:numCache>
                <c:formatCode>0.00</c:formatCode>
                <c:ptCount val="3"/>
                <c:pt idx="0">
                  <c:v>3.6133333333333324</c:v>
                </c:pt>
                <c:pt idx="1">
                  <c:v>3.7249999999999996</c:v>
                </c:pt>
                <c:pt idx="2">
                  <c:v>4.2782608695652184</c:v>
                </c:pt>
              </c:numCache>
            </c:numRef>
          </c:val>
          <c:extLst>
            <c:ext xmlns:c16="http://schemas.microsoft.com/office/drawing/2014/chart" uri="{C3380CC4-5D6E-409C-BE32-E72D297353CC}">
              <c16:uniqueId val="{00000001-BB36-44A6-ADCC-ED7D186BC22A}"/>
            </c:ext>
          </c:extLst>
        </c:ser>
        <c:ser>
          <c:idx val="2"/>
          <c:order val="2"/>
          <c:tx>
            <c:strRef>
              <c:f>'High and Low Discount Performan'!$D$3</c:f>
              <c:strCache>
                <c:ptCount val="1"/>
                <c:pt idx="0">
                  <c:v>Average of Review</c:v>
                </c:pt>
              </c:strCache>
            </c:strRef>
          </c:tx>
          <c:spPr>
            <a:solidFill>
              <a:schemeClr val="accent3"/>
            </a:solidFill>
            <a:ln>
              <a:noFill/>
            </a:ln>
            <a:effectLst/>
          </c:spPr>
          <c:invertIfNegative val="0"/>
          <c:cat>
            <c:strRef>
              <c:f>'High and Low Discount Performan'!$A$4:$A$7</c:f>
              <c:strCache>
                <c:ptCount val="3"/>
                <c:pt idx="0">
                  <c:v>High Discount</c:v>
                </c:pt>
                <c:pt idx="1">
                  <c:v>Low Discount</c:v>
                </c:pt>
                <c:pt idx="2">
                  <c:v>Medium Discount</c:v>
                </c:pt>
              </c:strCache>
            </c:strRef>
          </c:cat>
          <c:val>
            <c:numRef>
              <c:f>'High and Low Discount Performan'!$D$4:$D$7</c:f>
              <c:numCache>
                <c:formatCode>0.00</c:formatCode>
                <c:ptCount val="3"/>
                <c:pt idx="0">
                  <c:v>11.133333333333333</c:v>
                </c:pt>
                <c:pt idx="1">
                  <c:v>9.5</c:v>
                </c:pt>
                <c:pt idx="2">
                  <c:v>15.260869565217391</c:v>
                </c:pt>
              </c:numCache>
            </c:numRef>
          </c:val>
          <c:extLst>
            <c:ext xmlns:c16="http://schemas.microsoft.com/office/drawing/2014/chart" uri="{C3380CC4-5D6E-409C-BE32-E72D297353CC}">
              <c16:uniqueId val="{00000002-BB36-44A6-ADCC-ED7D186BC22A}"/>
            </c:ext>
          </c:extLst>
        </c:ser>
        <c:dLbls>
          <c:showLegendKey val="0"/>
          <c:showVal val="0"/>
          <c:showCatName val="0"/>
          <c:showSerName val="0"/>
          <c:showPercent val="0"/>
          <c:showBubbleSize val="0"/>
        </c:dLbls>
        <c:gapWidth val="219"/>
        <c:overlap val="-27"/>
        <c:axId val="2077767807"/>
        <c:axId val="2077758239"/>
      </c:barChart>
      <c:catAx>
        <c:axId val="207776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KE"/>
          </a:p>
        </c:txPr>
        <c:crossAx val="2077758239"/>
        <c:crosses val="autoZero"/>
        <c:auto val="1"/>
        <c:lblAlgn val="ctr"/>
        <c:lblOffset val="100"/>
        <c:noMultiLvlLbl val="0"/>
      </c:catAx>
      <c:valAx>
        <c:axId val="2077758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KE"/>
          </a:p>
        </c:txPr>
        <c:crossAx val="207776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114300</xdr:colOff>
      <xdr:row>1</xdr:row>
      <xdr:rowOff>49530</xdr:rowOff>
    </xdr:from>
    <xdr:to>
      <xdr:col>26</xdr:col>
      <xdr:colOff>449580</xdr:colOff>
      <xdr:row>18</xdr:row>
      <xdr:rowOff>83820</xdr:rowOff>
    </xdr:to>
    <xdr:graphicFrame macro="">
      <xdr:nvGraphicFramePr>
        <xdr:cNvPr id="2" name="Chart 1">
          <a:extLst>
            <a:ext uri="{FF2B5EF4-FFF2-40B4-BE49-F238E27FC236}">
              <a16:creationId xmlns:a16="http://schemas.microsoft.com/office/drawing/2014/main" id="{AF0030B6-001E-4527-B8A9-2921AA7D9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899160</xdr:colOff>
      <xdr:row>8</xdr:row>
      <xdr:rowOff>99060</xdr:rowOff>
    </xdr:from>
    <xdr:to>
      <xdr:col>3</xdr:col>
      <xdr:colOff>129540</xdr:colOff>
      <xdr:row>20</xdr:row>
      <xdr:rowOff>188595</xdr:rowOff>
    </xdr:to>
    <mc:AlternateContent xmlns:mc="http://schemas.openxmlformats.org/markup-compatibility/2006" xmlns:a14="http://schemas.microsoft.com/office/drawing/2010/main">
      <mc:Choice Requires="a14">
        <xdr:graphicFrame macro="">
          <xdr:nvGraphicFramePr>
            <xdr:cNvPr id="3" name="Category Based on Discount 1">
              <a:extLst>
                <a:ext uri="{FF2B5EF4-FFF2-40B4-BE49-F238E27FC236}">
                  <a16:creationId xmlns:a16="http://schemas.microsoft.com/office/drawing/2014/main" id="{7850326D-2661-4473-8669-0278F723EFB6}"/>
                </a:ext>
              </a:extLst>
            </xdr:cNvPr>
            <xdr:cNvGraphicFramePr/>
          </xdr:nvGraphicFramePr>
          <xdr:xfrm>
            <a:off x="0" y="0"/>
            <a:ext cx="0" cy="0"/>
          </xdr:xfrm>
          <a:graphic>
            <a:graphicData uri="http://schemas.microsoft.com/office/drawing/2010/slicer">
              <sle:slicer xmlns:sle="http://schemas.microsoft.com/office/drawing/2010/slicer" name="Category Based on Discount 1"/>
            </a:graphicData>
          </a:graphic>
        </xdr:graphicFrame>
      </mc:Choice>
      <mc:Fallback xmlns="">
        <xdr:sp macro="" textlink="">
          <xdr:nvSpPr>
            <xdr:cNvPr id="0" name=""/>
            <xdr:cNvSpPr>
              <a:spLocks noTextEdit="1"/>
            </xdr:cNvSpPr>
          </xdr:nvSpPr>
          <xdr:spPr>
            <a:xfrm>
              <a:off x="899160" y="168402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594360</xdr:colOff>
      <xdr:row>2</xdr:row>
      <xdr:rowOff>0</xdr:rowOff>
    </xdr:from>
    <xdr:to>
      <xdr:col>12</xdr:col>
      <xdr:colOff>15240</xdr:colOff>
      <xdr:row>16</xdr:row>
      <xdr:rowOff>47353</xdr:rowOff>
    </xdr:to>
    <xdr:graphicFrame macro="">
      <xdr:nvGraphicFramePr>
        <xdr:cNvPr id="3" name="Chart 2">
          <a:extLst>
            <a:ext uri="{FF2B5EF4-FFF2-40B4-BE49-F238E27FC236}">
              <a16:creationId xmlns:a16="http://schemas.microsoft.com/office/drawing/2014/main" id="{499FF8EA-3F89-4037-9A24-51731A37A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297180</xdr:colOff>
      <xdr:row>0</xdr:row>
      <xdr:rowOff>60960</xdr:rowOff>
    </xdr:from>
    <xdr:to>
      <xdr:col>9</xdr:col>
      <xdr:colOff>236220</xdr:colOff>
      <xdr:row>14</xdr:row>
      <xdr:rowOff>60960</xdr:rowOff>
    </xdr:to>
    <xdr:graphicFrame macro="">
      <xdr:nvGraphicFramePr>
        <xdr:cNvPr id="2" name="Chart 1">
          <a:extLst>
            <a:ext uri="{FF2B5EF4-FFF2-40B4-BE49-F238E27FC236}">
              <a16:creationId xmlns:a16="http://schemas.microsoft.com/office/drawing/2014/main" id="{578E5C76-AF0B-462F-BB43-6092EDD3E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281940</xdr:colOff>
      <xdr:row>7</xdr:row>
      <xdr:rowOff>182880</xdr:rowOff>
    </xdr:from>
    <xdr:to>
      <xdr:col>2</xdr:col>
      <xdr:colOff>960120</xdr:colOff>
      <xdr:row>20</xdr:row>
      <xdr:rowOff>74295</xdr:rowOff>
    </xdr:to>
    <mc:AlternateContent xmlns:mc="http://schemas.openxmlformats.org/markup-compatibility/2006" xmlns:a14="http://schemas.microsoft.com/office/drawing/2010/main">
      <mc:Choice Requires="a14">
        <xdr:graphicFrame macro="">
          <xdr:nvGraphicFramePr>
            <xdr:cNvPr id="3" name="Category Based on Discount">
              <a:extLst>
                <a:ext uri="{FF2B5EF4-FFF2-40B4-BE49-F238E27FC236}">
                  <a16:creationId xmlns:a16="http://schemas.microsoft.com/office/drawing/2014/main" id="{210F62FC-5981-4538-8FB2-56F1FA084264}"/>
                </a:ext>
              </a:extLst>
            </xdr:cNvPr>
            <xdr:cNvGraphicFramePr/>
          </xdr:nvGraphicFramePr>
          <xdr:xfrm>
            <a:off x="0" y="0"/>
            <a:ext cx="0" cy="0"/>
          </xdr:xfrm>
          <a:graphic>
            <a:graphicData uri="http://schemas.microsoft.com/office/drawing/2010/slicer">
              <sle:slicer xmlns:sle="http://schemas.microsoft.com/office/drawing/2010/slicer" name="Category Based on Discount"/>
            </a:graphicData>
          </a:graphic>
        </xdr:graphicFrame>
      </mc:Choice>
      <mc:Fallback xmlns="">
        <xdr:sp macro="" textlink="">
          <xdr:nvSpPr>
            <xdr:cNvPr id="0" name=""/>
            <xdr:cNvSpPr>
              <a:spLocks noTextEdit="1"/>
            </xdr:cNvSpPr>
          </xdr:nvSpPr>
          <xdr:spPr>
            <a:xfrm>
              <a:off x="1257300" y="156972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xdr:colOff>
      <xdr:row>11</xdr:row>
      <xdr:rowOff>152400</xdr:rowOff>
    </xdr:from>
    <xdr:to>
      <xdr:col>4</xdr:col>
      <xdr:colOff>624840</xdr:colOff>
      <xdr:row>24</xdr:row>
      <xdr:rowOff>43815</xdr:rowOff>
    </xdr:to>
    <mc:AlternateContent xmlns:mc="http://schemas.openxmlformats.org/markup-compatibility/2006" xmlns:a14="http://schemas.microsoft.com/office/drawing/2010/main">
      <mc:Choice Requires="a14">
        <xdr:graphicFrame macro="">
          <xdr:nvGraphicFramePr>
            <xdr:cNvPr id="4" name="Rating Category">
              <a:extLst>
                <a:ext uri="{FF2B5EF4-FFF2-40B4-BE49-F238E27FC236}">
                  <a16:creationId xmlns:a16="http://schemas.microsoft.com/office/drawing/2014/main" id="{61784DA5-C256-4D9E-B274-5E4D530A2E47}"/>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3672840" y="233172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586740</xdr:colOff>
      <xdr:row>0</xdr:row>
      <xdr:rowOff>106680</xdr:rowOff>
    </xdr:from>
    <xdr:to>
      <xdr:col>24</xdr:col>
      <xdr:colOff>304800</xdr:colOff>
      <xdr:row>5</xdr:row>
      <xdr:rowOff>30480</xdr:rowOff>
    </xdr:to>
    <xdr:sp macro="" textlink="">
      <xdr:nvSpPr>
        <xdr:cNvPr id="2" name="Rectangle: Rounded Corners 1">
          <a:extLst>
            <a:ext uri="{FF2B5EF4-FFF2-40B4-BE49-F238E27FC236}">
              <a16:creationId xmlns:a16="http://schemas.microsoft.com/office/drawing/2014/main" id="{1CB96F96-92BF-4BC7-B068-7D4ADE94D957}"/>
            </a:ext>
          </a:extLst>
        </xdr:cNvPr>
        <xdr:cNvSpPr/>
      </xdr:nvSpPr>
      <xdr:spPr>
        <a:xfrm>
          <a:off x="1805940" y="106680"/>
          <a:ext cx="13129260" cy="824345"/>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32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Product</a:t>
          </a:r>
          <a:r>
            <a:rPr lang="en-US" sz="3200" b="0" cap="none" spc="0" baseline="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Reviews for Jumia Dashboard</a:t>
          </a:r>
          <a:endParaRPr lang="en-KE" sz="32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233449</xdr:colOff>
      <xdr:row>8</xdr:row>
      <xdr:rowOff>120534</xdr:rowOff>
    </xdr:from>
    <xdr:to>
      <xdr:col>5</xdr:col>
      <xdr:colOff>370609</xdr:colOff>
      <xdr:row>12</xdr:row>
      <xdr:rowOff>67195</xdr:rowOff>
    </xdr:to>
    <xdr:sp macro="" textlink="">
      <xdr:nvSpPr>
        <xdr:cNvPr id="3" name="Rectangle: Rounded Corners 2">
          <a:extLst>
            <a:ext uri="{FF2B5EF4-FFF2-40B4-BE49-F238E27FC236}">
              <a16:creationId xmlns:a16="http://schemas.microsoft.com/office/drawing/2014/main" id="{3BF8437E-122F-4EB7-8786-FD6E627D9B62}"/>
            </a:ext>
          </a:extLst>
        </xdr:cNvPr>
        <xdr:cNvSpPr/>
      </xdr:nvSpPr>
      <xdr:spPr>
        <a:xfrm>
          <a:off x="843049" y="1561407"/>
          <a:ext cx="2575560" cy="667097"/>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b="1">
              <a:latin typeface="Times New Roman" panose="02020603050405020304" pitchFamily="18" charset="0"/>
              <a:cs typeface="Times New Roman" panose="02020603050405020304" pitchFamily="18" charset="0"/>
            </a:rPr>
            <a:t>Avergae Current Price:</a:t>
          </a:r>
        </a:p>
        <a:p>
          <a:pPr algn="l"/>
          <a:r>
            <a:rPr lang="en-US" sz="1600">
              <a:latin typeface="Times New Roman" panose="02020603050405020304" pitchFamily="18" charset="0"/>
              <a:cs typeface="Times New Roman" panose="02020603050405020304" pitchFamily="18" charset="0"/>
            </a:rPr>
            <a:t>Ksh </a:t>
          </a:r>
          <a:r>
            <a:rPr lang="en-KE" sz="1600">
              <a:latin typeface="Times New Roman" panose="02020603050405020304" pitchFamily="18" charset="0"/>
              <a:cs typeface="Times New Roman" panose="02020603050405020304" pitchFamily="18" charset="0"/>
            </a:rPr>
            <a:t>1186.89 </a:t>
          </a:r>
        </a:p>
      </xdr:txBody>
    </xdr:sp>
    <xdr:clientData/>
  </xdr:twoCellAnchor>
  <xdr:twoCellAnchor>
    <xdr:from>
      <xdr:col>1</xdr:col>
      <xdr:colOff>225829</xdr:colOff>
      <xdr:row>17</xdr:row>
      <xdr:rowOff>74814</xdr:rowOff>
    </xdr:from>
    <xdr:to>
      <xdr:col>5</xdr:col>
      <xdr:colOff>361429</xdr:colOff>
      <xdr:row>21</xdr:row>
      <xdr:rowOff>21474</xdr:rowOff>
    </xdr:to>
    <xdr:sp macro="" textlink="">
      <xdr:nvSpPr>
        <xdr:cNvPr id="4" name="Rectangle: Rounded Corners 3">
          <a:extLst>
            <a:ext uri="{FF2B5EF4-FFF2-40B4-BE49-F238E27FC236}">
              <a16:creationId xmlns:a16="http://schemas.microsoft.com/office/drawing/2014/main" id="{967AAA06-6035-4844-9DEB-F0FB88AE8F6D}"/>
            </a:ext>
          </a:extLst>
        </xdr:cNvPr>
        <xdr:cNvSpPr/>
      </xdr:nvSpPr>
      <xdr:spPr>
        <a:xfrm>
          <a:off x="835429" y="3136669"/>
          <a:ext cx="2574000" cy="667096"/>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b="1">
              <a:latin typeface="Times New Roman" panose="02020603050405020304" pitchFamily="18" charset="0"/>
              <a:cs typeface="Times New Roman" panose="02020603050405020304" pitchFamily="18" charset="0"/>
            </a:rPr>
            <a:t>Average</a:t>
          </a:r>
          <a:r>
            <a:rPr lang="en-US" sz="1600" b="1" baseline="0">
              <a:latin typeface="Times New Roman" panose="02020603050405020304" pitchFamily="18" charset="0"/>
              <a:cs typeface="Times New Roman" panose="02020603050405020304" pitchFamily="18" charset="0"/>
            </a:rPr>
            <a:t> Old Price:</a:t>
          </a:r>
          <a:br>
            <a:rPr lang="en-US" sz="1600" baseline="0">
              <a:latin typeface="Times New Roman" panose="02020603050405020304" pitchFamily="18" charset="0"/>
              <a:cs typeface="Times New Roman" panose="02020603050405020304" pitchFamily="18" charset="0"/>
            </a:rPr>
          </a:br>
          <a:r>
            <a:rPr lang="en-US" sz="1600" baseline="0">
              <a:latin typeface="Times New Roman" panose="02020603050405020304" pitchFamily="18" charset="0"/>
              <a:cs typeface="Times New Roman" panose="02020603050405020304" pitchFamily="18" charset="0"/>
            </a:rPr>
            <a:t>Ksh </a:t>
          </a:r>
          <a:r>
            <a:rPr lang="en-KE" sz="1600" b="0" i="0" u="none" strike="noStrike">
              <a:solidFill>
                <a:schemeClr val="dk1"/>
              </a:solidFill>
              <a:effectLst/>
              <a:latin typeface="Times New Roman" panose="02020603050405020304" pitchFamily="18" charset="0"/>
              <a:ea typeface="+mn-ea"/>
              <a:cs typeface="Times New Roman" panose="02020603050405020304" pitchFamily="18" charset="0"/>
            </a:rPr>
            <a:t>1811.11</a:t>
          </a:r>
          <a:r>
            <a:rPr lang="en-KE" sz="1600">
              <a:latin typeface="Times New Roman" panose="02020603050405020304" pitchFamily="18" charset="0"/>
              <a:cs typeface="Times New Roman" panose="02020603050405020304" pitchFamily="18" charset="0"/>
            </a:rPr>
            <a:t> </a:t>
          </a:r>
        </a:p>
      </xdr:txBody>
    </xdr:sp>
    <xdr:clientData/>
  </xdr:twoCellAnchor>
  <xdr:twoCellAnchor>
    <xdr:from>
      <xdr:col>6</xdr:col>
      <xdr:colOff>155171</xdr:colOff>
      <xdr:row>8</xdr:row>
      <xdr:rowOff>72045</xdr:rowOff>
    </xdr:from>
    <xdr:to>
      <xdr:col>10</xdr:col>
      <xdr:colOff>290771</xdr:colOff>
      <xdr:row>12</xdr:row>
      <xdr:rowOff>14156</xdr:rowOff>
    </xdr:to>
    <xdr:sp macro="" textlink="">
      <xdr:nvSpPr>
        <xdr:cNvPr id="5" name="Rectangle: Rounded Corners 4">
          <a:extLst>
            <a:ext uri="{FF2B5EF4-FFF2-40B4-BE49-F238E27FC236}">
              <a16:creationId xmlns:a16="http://schemas.microsoft.com/office/drawing/2014/main" id="{947F4317-4749-41F4-B501-EEF1DB5190BA}"/>
            </a:ext>
          </a:extLst>
        </xdr:cNvPr>
        <xdr:cNvSpPr/>
      </xdr:nvSpPr>
      <xdr:spPr>
        <a:xfrm>
          <a:off x="3812771" y="1512918"/>
          <a:ext cx="2574000" cy="662547"/>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b="1">
              <a:solidFill>
                <a:schemeClr val="dk1"/>
              </a:solidFill>
              <a:effectLst/>
              <a:latin typeface="Times New Roman" panose="02020603050405020304" pitchFamily="18" charset="0"/>
              <a:ea typeface="+mn-ea"/>
              <a:cs typeface="Times New Roman" panose="02020603050405020304" pitchFamily="18" charset="0"/>
            </a:rPr>
            <a:t>Average Discount:</a:t>
          </a:r>
        </a:p>
        <a:p>
          <a:pPr algn="l"/>
          <a:r>
            <a:rPr lang="en-US" sz="1600">
              <a:solidFill>
                <a:schemeClr val="dk1"/>
              </a:solidFill>
              <a:effectLst/>
              <a:latin typeface="Times New Roman" panose="02020603050405020304" pitchFamily="18" charset="0"/>
              <a:ea typeface="+mn-ea"/>
              <a:cs typeface="Times New Roman" panose="02020603050405020304" pitchFamily="18" charset="0"/>
            </a:rPr>
            <a:t>36.78%</a:t>
          </a:r>
          <a:endParaRPr lang="en-KE" sz="1600">
            <a:latin typeface="Times New Roman" panose="02020603050405020304" pitchFamily="18" charset="0"/>
            <a:cs typeface="Times New Roman" panose="02020603050405020304" pitchFamily="18" charset="0"/>
          </a:endParaRPr>
        </a:p>
      </xdr:txBody>
    </xdr:sp>
    <xdr:clientData/>
  </xdr:twoCellAnchor>
  <xdr:twoCellAnchor>
    <xdr:from>
      <xdr:col>6</xdr:col>
      <xdr:colOff>87283</xdr:colOff>
      <xdr:row>17</xdr:row>
      <xdr:rowOff>99059</xdr:rowOff>
    </xdr:from>
    <xdr:to>
      <xdr:col>10</xdr:col>
      <xdr:colOff>222883</xdr:colOff>
      <xdr:row>21</xdr:row>
      <xdr:rowOff>46019</xdr:rowOff>
    </xdr:to>
    <xdr:sp macro="" textlink="">
      <xdr:nvSpPr>
        <xdr:cNvPr id="6" name="Rectangle: Rounded Corners 5">
          <a:extLst>
            <a:ext uri="{FF2B5EF4-FFF2-40B4-BE49-F238E27FC236}">
              <a16:creationId xmlns:a16="http://schemas.microsoft.com/office/drawing/2014/main" id="{57464C44-66D8-41D2-95BA-63C02860DA23}"/>
            </a:ext>
          </a:extLst>
        </xdr:cNvPr>
        <xdr:cNvSpPr/>
      </xdr:nvSpPr>
      <xdr:spPr>
        <a:xfrm>
          <a:off x="3744883" y="3160914"/>
          <a:ext cx="2574000" cy="667396"/>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b="1">
              <a:solidFill>
                <a:schemeClr val="dk1"/>
              </a:solidFill>
              <a:effectLst/>
              <a:latin typeface="Times New Roman" panose="02020603050405020304" pitchFamily="18" charset="0"/>
              <a:ea typeface="+mn-ea"/>
              <a:cs typeface="Times New Roman" panose="02020603050405020304" pitchFamily="18" charset="0"/>
            </a:rPr>
            <a:t>Average Rating:</a:t>
          </a:r>
        </a:p>
        <a:p>
          <a:pPr algn="l"/>
          <a:r>
            <a:rPr lang="en-US" sz="1600">
              <a:latin typeface="Times New Roman" panose="02020603050405020304" pitchFamily="18" charset="0"/>
              <a:cs typeface="Times New Roman" panose="02020603050405020304" pitchFamily="18" charset="0"/>
            </a:rPr>
            <a:t>3.89</a:t>
          </a:r>
          <a:endParaRPr lang="en-KE" sz="1600">
            <a:latin typeface="Times New Roman" panose="02020603050405020304" pitchFamily="18" charset="0"/>
            <a:cs typeface="Times New Roman" panose="02020603050405020304" pitchFamily="18" charset="0"/>
          </a:endParaRPr>
        </a:p>
      </xdr:txBody>
    </xdr:sp>
    <xdr:clientData/>
  </xdr:twoCellAnchor>
  <xdr:twoCellAnchor>
    <xdr:from>
      <xdr:col>10</xdr:col>
      <xdr:colOff>594360</xdr:colOff>
      <xdr:row>6</xdr:row>
      <xdr:rowOff>154822</xdr:rowOff>
    </xdr:from>
    <xdr:to>
      <xdr:col>18</xdr:col>
      <xdr:colOff>69273</xdr:colOff>
      <xdr:row>14</xdr:row>
      <xdr:rowOff>61651</xdr:rowOff>
    </xdr:to>
    <xdr:sp macro="" textlink="">
      <xdr:nvSpPr>
        <xdr:cNvPr id="7" name="Rectangle: Rounded Corners 6">
          <a:extLst>
            <a:ext uri="{FF2B5EF4-FFF2-40B4-BE49-F238E27FC236}">
              <a16:creationId xmlns:a16="http://schemas.microsoft.com/office/drawing/2014/main" id="{5E16CC4C-E6EA-461A-B0C3-38BB7F6772EE}"/>
            </a:ext>
          </a:extLst>
        </xdr:cNvPr>
        <xdr:cNvSpPr/>
      </xdr:nvSpPr>
      <xdr:spPr>
        <a:xfrm>
          <a:off x="6690360" y="1235477"/>
          <a:ext cx="4351713" cy="1347701"/>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b="1">
              <a:latin typeface="Times New Roman" panose="02020603050405020304" pitchFamily="18" charset="0"/>
              <a:cs typeface="Times New Roman" panose="02020603050405020304" pitchFamily="18" charset="0"/>
            </a:rPr>
            <a:t>Most</a:t>
          </a:r>
          <a:r>
            <a:rPr lang="en-US" sz="1600" b="1" baseline="0">
              <a:latin typeface="Times New Roman" panose="02020603050405020304" pitchFamily="18" charset="0"/>
              <a:cs typeface="Times New Roman" panose="02020603050405020304" pitchFamily="18" charset="0"/>
            </a:rPr>
            <a:t> Expensive Product:</a:t>
          </a:r>
        </a:p>
        <a:p>
          <a:pPr algn="l"/>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32PCS Portable Cordless Drill Set With Cyclic Battery Drive -26 Variable Speed</a:t>
          </a:r>
          <a:r>
            <a:rPr lang="en-US" sz="1600">
              <a:latin typeface="Times New Roman" panose="02020603050405020304" pitchFamily="18" charset="0"/>
              <a:cs typeface="Times New Roman" panose="02020603050405020304" pitchFamily="18" charset="0"/>
            </a:rPr>
            <a:t> @ Ksh </a:t>
          </a:r>
          <a:r>
            <a:rPr lang="en-KE" sz="1600" b="0" i="0" u="none" strike="noStrike">
              <a:solidFill>
                <a:schemeClr val="dk1"/>
              </a:solidFill>
              <a:effectLst/>
              <a:latin typeface="Times New Roman" panose="02020603050405020304" pitchFamily="18" charset="0"/>
              <a:ea typeface="+mn-ea"/>
              <a:cs typeface="Times New Roman" panose="02020603050405020304" pitchFamily="18" charset="0"/>
            </a:rPr>
            <a:t>3750.00</a:t>
          </a:r>
          <a:r>
            <a:rPr lang="en-KE" sz="1600">
              <a:latin typeface="Times New Roman" panose="02020603050405020304" pitchFamily="18" charset="0"/>
              <a:cs typeface="Times New Roman" panose="02020603050405020304" pitchFamily="18" charset="0"/>
            </a:rPr>
            <a:t> </a:t>
          </a:r>
        </a:p>
      </xdr:txBody>
    </xdr:sp>
    <xdr:clientData/>
  </xdr:twoCellAnchor>
  <xdr:twoCellAnchor>
    <xdr:from>
      <xdr:col>11</xdr:col>
      <xdr:colOff>97675</xdr:colOff>
      <xdr:row>16</xdr:row>
      <xdr:rowOff>176991</xdr:rowOff>
    </xdr:from>
    <xdr:to>
      <xdr:col>16</xdr:col>
      <xdr:colOff>595745</xdr:colOff>
      <xdr:row>23</xdr:row>
      <xdr:rowOff>138544</xdr:rowOff>
    </xdr:to>
    <xdr:sp macro="" textlink="">
      <xdr:nvSpPr>
        <xdr:cNvPr id="8" name="Rectangle: Rounded Corners 7">
          <a:extLst>
            <a:ext uri="{FF2B5EF4-FFF2-40B4-BE49-F238E27FC236}">
              <a16:creationId xmlns:a16="http://schemas.microsoft.com/office/drawing/2014/main" id="{CC02617F-26F9-4003-866E-14195E8A495D}"/>
            </a:ext>
          </a:extLst>
        </xdr:cNvPr>
        <xdr:cNvSpPr/>
      </xdr:nvSpPr>
      <xdr:spPr>
        <a:xfrm>
          <a:off x="6803275" y="3058736"/>
          <a:ext cx="3546070" cy="1222317"/>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b="1" i="0" u="none" strike="noStrike">
              <a:solidFill>
                <a:schemeClr val="dk1"/>
              </a:solidFill>
              <a:effectLst/>
              <a:latin typeface="Times New Roman" panose="02020603050405020304" pitchFamily="18" charset="0"/>
              <a:ea typeface="+mn-ea"/>
              <a:cs typeface="Times New Roman" panose="02020603050405020304" pitchFamily="18" charset="0"/>
            </a:rPr>
            <a:t>Least Expensive Product:</a:t>
          </a:r>
          <a:br>
            <a:rPr lang="en-US" sz="1600" b="1" i="0" u="none" strike="noStrike">
              <a:solidFill>
                <a:schemeClr val="dk1"/>
              </a:solidFill>
              <a:effectLst/>
              <a:latin typeface="Times New Roman" panose="02020603050405020304" pitchFamily="18" charset="0"/>
              <a:ea typeface="+mn-ea"/>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3PCS Single Head Knitting Crochet Sweater Needle Set</a:t>
          </a:r>
          <a:r>
            <a:rPr lang="en-US" sz="1600">
              <a:latin typeface="Times New Roman" panose="02020603050405020304" pitchFamily="18" charset="0"/>
              <a:cs typeface="Times New Roman" panose="02020603050405020304" pitchFamily="18" charset="0"/>
            </a:rPr>
            <a:t>  @ Ksh </a:t>
          </a:r>
          <a:r>
            <a:rPr lang="en-KE" sz="1600" b="0" i="0" u="none" strike="noStrike">
              <a:solidFill>
                <a:schemeClr val="dk1"/>
              </a:solidFill>
              <a:effectLst/>
              <a:latin typeface="Times New Roman" panose="02020603050405020304" pitchFamily="18" charset="0"/>
              <a:ea typeface="+mn-ea"/>
              <a:cs typeface="Times New Roman" panose="02020603050405020304" pitchFamily="18" charset="0"/>
            </a:rPr>
            <a:t>38.00</a:t>
          </a:r>
          <a:r>
            <a:rPr lang="en-KE" sz="1600">
              <a:latin typeface="Times New Roman" panose="02020603050405020304" pitchFamily="18" charset="0"/>
              <a:cs typeface="Times New Roman" panose="02020603050405020304" pitchFamily="18" charset="0"/>
            </a:rPr>
            <a:t> </a:t>
          </a:r>
        </a:p>
      </xdr:txBody>
    </xdr:sp>
    <xdr:clientData/>
  </xdr:twoCellAnchor>
  <xdr:twoCellAnchor>
    <xdr:from>
      <xdr:col>19</xdr:col>
      <xdr:colOff>287481</xdr:colOff>
      <xdr:row>6</xdr:row>
      <xdr:rowOff>93170</xdr:rowOff>
    </xdr:from>
    <xdr:to>
      <xdr:col>24</xdr:col>
      <xdr:colOff>43641</xdr:colOff>
      <xdr:row>15</xdr:row>
      <xdr:rowOff>1731</xdr:rowOff>
    </xdr:to>
    <xdr:sp macro="" textlink="">
      <xdr:nvSpPr>
        <xdr:cNvPr id="9" name="Rectangle: Rounded Corners 8">
          <a:extLst>
            <a:ext uri="{FF2B5EF4-FFF2-40B4-BE49-F238E27FC236}">
              <a16:creationId xmlns:a16="http://schemas.microsoft.com/office/drawing/2014/main" id="{FEABBD47-9D3D-47FF-B28C-FC207F1C8150}"/>
            </a:ext>
          </a:extLst>
        </xdr:cNvPr>
        <xdr:cNvSpPr/>
      </xdr:nvSpPr>
      <xdr:spPr>
        <a:xfrm>
          <a:off x="11869881" y="1173825"/>
          <a:ext cx="2804160" cy="1529542"/>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b="1" i="0" u="none" strike="noStrike">
              <a:solidFill>
                <a:schemeClr val="dk1"/>
              </a:solidFill>
              <a:effectLst/>
              <a:latin typeface="Times New Roman" panose="02020603050405020304" pitchFamily="18" charset="0"/>
              <a:ea typeface="+mn-ea"/>
              <a:cs typeface="Times New Roman" panose="02020603050405020304" pitchFamily="18" charset="0"/>
            </a:rPr>
            <a:t>Average Rating Category</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a:t>
          </a:r>
        </a:p>
        <a:p>
          <a:pPr algn="l"/>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Poor:</a:t>
          </a:r>
          <a:r>
            <a:rPr lang="en-US" sz="16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2.39</a:t>
          </a:r>
          <a:r>
            <a:rPr lang="en-US" sz="1600">
              <a:latin typeface="Times New Roman" panose="02020603050405020304" pitchFamily="18" charset="0"/>
              <a:cs typeface="Times New Roman" panose="02020603050405020304" pitchFamily="18" charset="0"/>
            </a:rPr>
            <a:t> </a:t>
          </a:r>
        </a:p>
        <a:p>
          <a:pPr algn="l"/>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Average:</a:t>
          </a:r>
          <a:r>
            <a:rPr lang="en-US" sz="16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3.81</a:t>
          </a:r>
          <a:r>
            <a:rPr lang="en-US" sz="1600">
              <a:latin typeface="Times New Roman" panose="02020603050405020304" pitchFamily="18" charset="0"/>
              <a:cs typeface="Times New Roman" panose="02020603050405020304" pitchFamily="18" charset="0"/>
            </a:rPr>
            <a:t> </a:t>
          </a:r>
        </a:p>
        <a:p>
          <a:pPr algn="l"/>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Excellent</a:t>
          </a:r>
          <a:r>
            <a:rPr lang="en-US" sz="16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4.75</a:t>
          </a:r>
          <a:r>
            <a:rPr lang="en-US" sz="1600">
              <a:latin typeface="Times New Roman" panose="02020603050405020304" pitchFamily="18" charset="0"/>
              <a:cs typeface="Times New Roman" panose="02020603050405020304" pitchFamily="18" charset="0"/>
            </a:rPr>
            <a:t> </a:t>
          </a:r>
        </a:p>
        <a:p>
          <a:pPr algn="l"/>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N/A:</a:t>
          </a:r>
          <a:r>
            <a:rPr lang="en-US" sz="1600">
              <a:latin typeface="Times New Roman" panose="02020603050405020304" pitchFamily="18" charset="0"/>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0.00</a:t>
          </a:r>
          <a:r>
            <a:rPr lang="en-US" sz="1600">
              <a:latin typeface="Times New Roman" panose="02020603050405020304" pitchFamily="18" charset="0"/>
              <a:cs typeface="Times New Roman" panose="02020603050405020304" pitchFamily="18" charset="0"/>
            </a:rPr>
            <a:t> </a:t>
          </a:r>
          <a:endParaRPr lang="en-KE" sz="1600">
            <a:latin typeface="Times New Roman" panose="02020603050405020304" pitchFamily="18" charset="0"/>
            <a:cs typeface="Times New Roman" panose="02020603050405020304" pitchFamily="18" charset="0"/>
          </a:endParaRPr>
        </a:p>
      </xdr:txBody>
    </xdr:sp>
    <xdr:clientData/>
  </xdr:twoCellAnchor>
  <xdr:twoCellAnchor>
    <xdr:from>
      <xdr:col>19</xdr:col>
      <xdr:colOff>284365</xdr:colOff>
      <xdr:row>17</xdr:row>
      <xdr:rowOff>18703</xdr:rowOff>
    </xdr:from>
    <xdr:to>
      <xdr:col>24</xdr:col>
      <xdr:colOff>215785</xdr:colOff>
      <xdr:row>24</xdr:row>
      <xdr:rowOff>118803</xdr:rowOff>
    </xdr:to>
    <xdr:sp macro="" textlink="">
      <xdr:nvSpPr>
        <xdr:cNvPr id="10" name="Rectangle: Rounded Corners 9">
          <a:extLst>
            <a:ext uri="{FF2B5EF4-FFF2-40B4-BE49-F238E27FC236}">
              <a16:creationId xmlns:a16="http://schemas.microsoft.com/office/drawing/2014/main" id="{D5B77C08-783F-4970-9D23-3CC209874743}"/>
            </a:ext>
          </a:extLst>
        </xdr:cNvPr>
        <xdr:cNvSpPr/>
      </xdr:nvSpPr>
      <xdr:spPr>
        <a:xfrm>
          <a:off x="11866765" y="3080558"/>
          <a:ext cx="2979420" cy="1360863"/>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b="1" i="0" u="none" strike="noStrike">
              <a:solidFill>
                <a:schemeClr val="dk1"/>
              </a:solidFill>
              <a:effectLst/>
              <a:latin typeface="Times New Roman" panose="02020603050405020304" pitchFamily="18" charset="0"/>
              <a:ea typeface="+mn-ea"/>
              <a:cs typeface="Times New Roman" panose="02020603050405020304" pitchFamily="18" charset="0"/>
            </a:rPr>
            <a:t>Average Discount Category:</a:t>
          </a:r>
          <a:br>
            <a:rPr lang="en-US" sz="1600" b="1" i="0" u="none" strike="noStrike">
              <a:solidFill>
                <a:schemeClr val="dk1"/>
              </a:solidFill>
              <a:effectLst/>
              <a:latin typeface="Times New Roman" panose="02020603050405020304" pitchFamily="18" charset="0"/>
              <a:ea typeface="+mn-ea"/>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Low Discount:</a:t>
          </a:r>
          <a:r>
            <a:rPr lang="en-US" sz="16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7.22%</a:t>
          </a:r>
          <a:r>
            <a:rPr lang="en-US" sz="1600">
              <a:latin typeface="Times New Roman" panose="02020603050405020304" pitchFamily="18" charset="0"/>
              <a:cs typeface="Times New Roman" panose="02020603050405020304" pitchFamily="18" charset="0"/>
            </a:rPr>
            <a:t> </a:t>
          </a:r>
        </a:p>
        <a:p>
          <a:pPr algn="l"/>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Medium Discount:</a:t>
          </a:r>
          <a:r>
            <a:rPr lang="en-US" sz="16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31.00%</a:t>
          </a:r>
          <a:r>
            <a:rPr lang="en-US" sz="1600">
              <a:latin typeface="Times New Roman" panose="02020603050405020304" pitchFamily="18" charset="0"/>
              <a:cs typeface="Times New Roman" panose="02020603050405020304" pitchFamily="18" charset="0"/>
            </a:rPr>
            <a:t> </a:t>
          </a:r>
        </a:p>
        <a:p>
          <a:pPr algn="l"/>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High Discount:</a:t>
          </a:r>
          <a:r>
            <a:rPr lang="en-US" sz="16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48.34%</a:t>
          </a:r>
          <a:r>
            <a:rPr lang="en-US" sz="1600">
              <a:latin typeface="Times New Roman" panose="02020603050405020304" pitchFamily="18" charset="0"/>
              <a:cs typeface="Times New Roman" panose="02020603050405020304" pitchFamily="18" charset="0"/>
            </a:rPr>
            <a:t> </a:t>
          </a:r>
          <a:endParaRPr lang="en-KE" sz="1600">
            <a:latin typeface="Times New Roman" panose="02020603050405020304" pitchFamily="18" charset="0"/>
            <a:cs typeface="Times New Roman" panose="02020603050405020304" pitchFamily="18" charset="0"/>
          </a:endParaRPr>
        </a:p>
      </xdr:txBody>
    </xdr:sp>
    <xdr:clientData/>
  </xdr:twoCellAnchor>
  <xdr:twoCellAnchor>
    <xdr:from>
      <xdr:col>10</xdr:col>
      <xdr:colOff>43642</xdr:colOff>
      <xdr:row>27</xdr:row>
      <xdr:rowOff>121920</xdr:rowOff>
    </xdr:from>
    <xdr:to>
      <xdr:col>18</xdr:col>
      <xdr:colOff>206842</xdr:colOff>
      <xdr:row>44</xdr:row>
      <xdr:rowOff>87269</xdr:rowOff>
    </xdr:to>
    <xdr:sp macro="" textlink="">
      <xdr:nvSpPr>
        <xdr:cNvPr id="11" name="Rectangle: Rounded Corners 10">
          <a:extLst>
            <a:ext uri="{FF2B5EF4-FFF2-40B4-BE49-F238E27FC236}">
              <a16:creationId xmlns:a16="http://schemas.microsoft.com/office/drawing/2014/main" id="{946D174E-E856-4A94-9279-117CEC21B0AD}"/>
            </a:ext>
          </a:extLst>
        </xdr:cNvPr>
        <xdr:cNvSpPr/>
      </xdr:nvSpPr>
      <xdr:spPr>
        <a:xfrm>
          <a:off x="6139642" y="4984865"/>
          <a:ext cx="5040000" cy="3027204"/>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b="1" i="0" u="none" strike="noStrike">
              <a:solidFill>
                <a:schemeClr val="dk1"/>
              </a:solidFill>
              <a:effectLst/>
              <a:latin typeface="Times New Roman" panose="02020603050405020304" pitchFamily="18" charset="0"/>
              <a:ea typeface="+mn-ea"/>
              <a:cs typeface="Times New Roman" panose="02020603050405020304" pitchFamily="18" charset="0"/>
            </a:rPr>
            <a:t>Top 5 products with the highest ratings:</a:t>
          </a:r>
          <a:br>
            <a:rPr lang="en-US" sz="1600" b="1" i="0" u="none" strike="noStrike">
              <a:solidFill>
                <a:schemeClr val="dk1"/>
              </a:solidFill>
              <a:effectLst/>
              <a:latin typeface="Times New Roman" panose="02020603050405020304" pitchFamily="18" charset="0"/>
              <a:ea typeface="+mn-ea"/>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1. LASA Aluminum Folding Truck Hand Cart - 68kg Max</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a:latin typeface="Times New Roman" panose="02020603050405020304" pitchFamily="18" charset="0"/>
              <a:cs typeface="Times New Roman" panose="02020603050405020304" pitchFamily="18" charset="0"/>
            </a:rPr>
            <a:t>2.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Classic Black Cat Cotton Hemp Pillow Case For Home Car</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a:latin typeface="Times New Roman" panose="02020603050405020304" pitchFamily="18" charset="0"/>
              <a:cs typeface="Times New Roman" panose="02020603050405020304" pitchFamily="18" charset="0"/>
            </a:rPr>
            <a:t>3.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Anti-Skid Absorbent Insulation Coaster  For Home Office</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a:latin typeface="Times New Roman" panose="02020603050405020304" pitchFamily="18" charset="0"/>
              <a:cs typeface="Times New Roman" panose="02020603050405020304" pitchFamily="18" charset="0"/>
            </a:rPr>
            <a:t>4.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Peacock  Throw Pillow Cushion Case For Home Car</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a:latin typeface="Times New Roman" panose="02020603050405020304" pitchFamily="18" charset="0"/>
              <a:cs typeface="Times New Roman" panose="02020603050405020304" pitchFamily="18" charset="0"/>
            </a:rPr>
            <a:t>5.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Bedroom Simple Floor Hanging Clothes Rack Single Pole Hat Rack - White</a:t>
          </a:r>
          <a:r>
            <a:rPr lang="en-US" sz="1600">
              <a:latin typeface="Times New Roman" panose="02020603050405020304" pitchFamily="18" charset="0"/>
              <a:cs typeface="Times New Roman" panose="02020603050405020304" pitchFamily="18" charset="0"/>
            </a:rPr>
            <a:t> </a:t>
          </a:r>
          <a:endParaRPr lang="en-KE" sz="1600">
            <a:latin typeface="Times New Roman" panose="02020603050405020304" pitchFamily="18" charset="0"/>
            <a:cs typeface="Times New Roman" panose="02020603050405020304" pitchFamily="18" charset="0"/>
          </a:endParaRPr>
        </a:p>
      </xdr:txBody>
    </xdr:sp>
    <xdr:clientData/>
  </xdr:twoCellAnchor>
  <xdr:twoCellAnchor>
    <xdr:from>
      <xdr:col>0</xdr:col>
      <xdr:colOff>526473</xdr:colOff>
      <xdr:row>28</xdr:row>
      <xdr:rowOff>9351</xdr:rowOff>
    </xdr:from>
    <xdr:to>
      <xdr:col>9</xdr:col>
      <xdr:colOff>80073</xdr:colOff>
      <xdr:row>44</xdr:row>
      <xdr:rowOff>154810</xdr:rowOff>
    </xdr:to>
    <xdr:sp macro="" textlink="">
      <xdr:nvSpPr>
        <xdr:cNvPr id="12" name="Rectangle: Rounded Corners 11">
          <a:extLst>
            <a:ext uri="{FF2B5EF4-FFF2-40B4-BE49-F238E27FC236}">
              <a16:creationId xmlns:a16="http://schemas.microsoft.com/office/drawing/2014/main" id="{DF60BE8E-8C9C-4BA4-9EE1-2308F0F93DA5}"/>
            </a:ext>
          </a:extLst>
        </xdr:cNvPr>
        <xdr:cNvSpPr/>
      </xdr:nvSpPr>
      <xdr:spPr>
        <a:xfrm>
          <a:off x="526473" y="5052406"/>
          <a:ext cx="5040000" cy="3027204"/>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b="1" i="0" u="none" strike="noStrike">
              <a:solidFill>
                <a:schemeClr val="dk1"/>
              </a:solidFill>
              <a:effectLst/>
              <a:latin typeface="Times New Roman" panose="02020603050405020304" pitchFamily="18" charset="0"/>
              <a:ea typeface="+mn-ea"/>
              <a:cs typeface="Times New Roman" panose="02020603050405020304" pitchFamily="18" charset="0"/>
            </a:rPr>
            <a:t>Top 5 products with the lowest ratings:</a:t>
          </a:r>
          <a:b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1. Artificial Potted Flowers Room Decorative Flowers (2 Pieces)</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a:latin typeface="Times New Roman" panose="02020603050405020304" pitchFamily="18" charset="0"/>
              <a:cs typeface="Times New Roman" panose="02020603050405020304" pitchFamily="18" charset="0"/>
            </a:rPr>
            <a:t>2.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7-piece Set Of Storage Bags, Travel Storage Bags, Shoe Bags</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a:latin typeface="Times New Roman" panose="02020603050405020304" pitchFamily="18" charset="0"/>
              <a:cs typeface="Times New Roman" panose="02020603050405020304" pitchFamily="18" charset="0"/>
            </a:rPr>
            <a:t>3.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5-PCS Stainless Steel Cooking Pot Set With Steamed Slices</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a:latin typeface="Times New Roman" panose="02020603050405020304" pitchFamily="18" charset="0"/>
              <a:cs typeface="Times New Roman" panose="02020603050405020304" pitchFamily="18" charset="0"/>
            </a:rPr>
            <a:t>4.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Electric LED UV Mosquito Killer Lamp, Outdoor/Indoor Fly Killer Trap Light -USB</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a:latin typeface="Times New Roman" panose="02020603050405020304" pitchFamily="18" charset="0"/>
              <a:cs typeface="Times New Roman" panose="02020603050405020304" pitchFamily="18" charset="0"/>
            </a:rPr>
            <a:t>5.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Wall-mounted Sticker Punch-free Plug Fixer</a:t>
          </a:r>
          <a:r>
            <a:rPr lang="en-US" sz="1600">
              <a:latin typeface="Times New Roman" panose="02020603050405020304" pitchFamily="18" charset="0"/>
              <a:cs typeface="Times New Roman" panose="02020603050405020304" pitchFamily="18" charset="0"/>
            </a:rPr>
            <a:t> </a:t>
          </a:r>
          <a:endParaRPr lang="en-KE" sz="1600">
            <a:latin typeface="Times New Roman" panose="02020603050405020304" pitchFamily="18" charset="0"/>
            <a:cs typeface="Times New Roman" panose="02020603050405020304" pitchFamily="18" charset="0"/>
          </a:endParaRPr>
        </a:p>
      </xdr:txBody>
    </xdr:sp>
    <xdr:clientData/>
  </xdr:twoCellAnchor>
  <xdr:twoCellAnchor>
    <xdr:from>
      <xdr:col>19</xdr:col>
      <xdr:colOff>267046</xdr:colOff>
      <xdr:row>28</xdr:row>
      <xdr:rowOff>692</xdr:rowOff>
    </xdr:from>
    <xdr:to>
      <xdr:col>27</xdr:col>
      <xdr:colOff>430246</xdr:colOff>
      <xdr:row>44</xdr:row>
      <xdr:rowOff>146152</xdr:rowOff>
    </xdr:to>
    <xdr:sp macro="" textlink="">
      <xdr:nvSpPr>
        <xdr:cNvPr id="13" name="Rectangle: Rounded Corners 12">
          <a:extLst>
            <a:ext uri="{FF2B5EF4-FFF2-40B4-BE49-F238E27FC236}">
              <a16:creationId xmlns:a16="http://schemas.microsoft.com/office/drawing/2014/main" id="{28CE2F61-779F-4D1B-ABAC-8011E0C5AD01}"/>
            </a:ext>
          </a:extLst>
        </xdr:cNvPr>
        <xdr:cNvSpPr/>
      </xdr:nvSpPr>
      <xdr:spPr>
        <a:xfrm>
          <a:off x="11849446" y="5043747"/>
          <a:ext cx="5040000" cy="302720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b="1" i="0" u="none" strike="noStrike">
              <a:solidFill>
                <a:schemeClr val="dk1"/>
              </a:solidFill>
              <a:effectLst/>
              <a:latin typeface="Times New Roman" panose="02020603050405020304" pitchFamily="18" charset="0"/>
              <a:ea typeface="+mn-ea"/>
              <a:cs typeface="Times New Roman" panose="02020603050405020304" pitchFamily="18" charset="0"/>
            </a:rPr>
            <a:t>Top 5 products with the lowest ratings:</a:t>
          </a:r>
          <a:br>
            <a:rPr lang="en-US" sz="1600" b="1" i="0" u="none" strike="noStrike">
              <a:solidFill>
                <a:schemeClr val="dk1"/>
              </a:solidFill>
              <a:effectLst/>
              <a:latin typeface="Times New Roman" panose="02020603050405020304" pitchFamily="18" charset="0"/>
              <a:ea typeface="+mn-ea"/>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1. Artificial Potted Flowers Room Decorative Flowers (2 Pieces)</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a:latin typeface="Times New Roman" panose="02020603050405020304" pitchFamily="18" charset="0"/>
              <a:cs typeface="Times New Roman" panose="02020603050405020304" pitchFamily="18" charset="0"/>
            </a:rPr>
            <a:t>2.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7-piece Set Of Storage Bags, Travel Storage Bags, Shoe Bags</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a:latin typeface="Times New Roman" panose="02020603050405020304" pitchFamily="18" charset="0"/>
              <a:cs typeface="Times New Roman" panose="02020603050405020304" pitchFamily="18" charset="0"/>
            </a:rPr>
            <a:t>3.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5-PCS Stainless Steel Cooking Pot Set With Steamed Slices</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a:latin typeface="Times New Roman" panose="02020603050405020304" pitchFamily="18" charset="0"/>
              <a:cs typeface="Times New Roman" panose="02020603050405020304" pitchFamily="18" charset="0"/>
            </a:rPr>
            <a:t>4.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Electric LED UV Mosquito Killer Lamp, Outdoor/Indoor Fly Killer Trap Light -USB</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a:latin typeface="Times New Roman" panose="02020603050405020304" pitchFamily="18" charset="0"/>
              <a:cs typeface="Times New Roman" panose="02020603050405020304" pitchFamily="18" charset="0"/>
            </a:rPr>
            <a:t>5.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Wall-mounted Sticker Punch-free Plug Fixer</a:t>
          </a:r>
          <a:r>
            <a:rPr lang="en-US" sz="1600">
              <a:latin typeface="Times New Roman" panose="02020603050405020304" pitchFamily="18" charset="0"/>
              <a:cs typeface="Times New Roman" panose="02020603050405020304" pitchFamily="18" charset="0"/>
            </a:rPr>
            <a:t> </a:t>
          </a:r>
          <a:endParaRPr lang="en-KE" sz="1600">
            <a:latin typeface="Times New Roman" panose="02020603050405020304" pitchFamily="18" charset="0"/>
            <a:cs typeface="Times New Roman" panose="02020603050405020304" pitchFamily="18" charset="0"/>
          </a:endParaRPr>
        </a:p>
      </xdr:txBody>
    </xdr:sp>
    <xdr:clientData/>
  </xdr:twoCellAnchor>
  <xdr:twoCellAnchor>
    <xdr:from>
      <xdr:col>2</xdr:col>
      <xdr:colOff>36714</xdr:colOff>
      <xdr:row>48</xdr:row>
      <xdr:rowOff>12817</xdr:rowOff>
    </xdr:from>
    <xdr:to>
      <xdr:col>13</xdr:col>
      <xdr:colOff>455814</xdr:colOff>
      <xdr:row>69</xdr:row>
      <xdr:rowOff>5197</xdr:rowOff>
    </xdr:to>
    <xdr:sp macro="" textlink="">
      <xdr:nvSpPr>
        <xdr:cNvPr id="14" name="Rectangle: Rounded Corners 13">
          <a:extLst>
            <a:ext uri="{FF2B5EF4-FFF2-40B4-BE49-F238E27FC236}">
              <a16:creationId xmlns:a16="http://schemas.microsoft.com/office/drawing/2014/main" id="{CB5ADC98-2D99-4791-858F-7F8A08FE4F31}"/>
            </a:ext>
          </a:extLst>
        </xdr:cNvPr>
        <xdr:cNvSpPr/>
      </xdr:nvSpPr>
      <xdr:spPr>
        <a:xfrm>
          <a:off x="1255914" y="8658053"/>
          <a:ext cx="7124700" cy="3774671"/>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b="1" i="0" u="none" strike="noStrike">
              <a:solidFill>
                <a:schemeClr val="dk1"/>
              </a:solidFill>
              <a:effectLst/>
              <a:latin typeface="Times New Roman" panose="02020603050405020304" pitchFamily="18" charset="0"/>
              <a:ea typeface="+mn-ea"/>
              <a:cs typeface="Times New Roman" panose="02020603050405020304" pitchFamily="18" charset="0"/>
            </a:rPr>
            <a:t>Top 10 products with the highest discounts:</a:t>
          </a:r>
        </a:p>
        <a:p>
          <a:pPr algn="l"/>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1.</a:t>
          </a:r>
          <a:r>
            <a:rPr lang="en-US" sz="16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6 In 1 Bottle Can Opener Multifunctional Easy Opener</a:t>
          </a:r>
          <a:b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2.</a:t>
          </a:r>
          <a:r>
            <a:rPr lang="en-US" sz="16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Creative Owl Shape Keychain Black</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3.</a:t>
          </a:r>
          <a:r>
            <a:rPr lang="en-US" sz="1600">
              <a:latin typeface="Times New Roman" panose="02020603050405020304" pitchFamily="18" charset="0"/>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LASA FOLDING TABLE SERVING STAND</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4.</a:t>
          </a:r>
          <a:r>
            <a:rPr lang="en-US" sz="1600">
              <a:latin typeface="Times New Roman" panose="02020603050405020304" pitchFamily="18" charset="0"/>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5-PCS Stainless Steel Cooking Pot Set With Steamed Slices</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5.</a:t>
          </a:r>
          <a:r>
            <a:rPr lang="en-US" sz="1600">
              <a:latin typeface="Times New Roman" panose="02020603050405020304" pitchFamily="18" charset="0"/>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Simple Metal Dog Art Sculpture Decoration For Home Office</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6.</a:t>
          </a:r>
          <a:r>
            <a:rPr lang="en-US" sz="1600">
              <a:latin typeface="Times New Roman" panose="02020603050405020304" pitchFamily="18" charset="0"/>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LASA 3 Tier Bamboo Shoe Bench Storage Shelf</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7.</a:t>
          </a:r>
          <a:r>
            <a:rPr lang="en-US" sz="1600">
              <a:latin typeface="Times New Roman" panose="02020603050405020304" pitchFamily="18" charset="0"/>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Mythco 120COB Solar Wall Ligt With Motion Sensor And Remote Control 3 Modes</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8.</a:t>
          </a:r>
          <a:r>
            <a:rPr lang="en-US" sz="1600">
              <a:latin typeface="Times New Roman" panose="02020603050405020304" pitchFamily="18" charset="0"/>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Classic Black Cat Cotton Hemp Pillow Case For Home Car</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9.</a:t>
          </a:r>
          <a:r>
            <a:rPr lang="en-US" sz="1600">
              <a:latin typeface="Times New Roman" panose="02020603050405020304" pitchFamily="18" charset="0"/>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3PCS Single Head Knitting Crochet Sweater Needle Set</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10.</a:t>
          </a:r>
          <a:r>
            <a:rPr lang="en-US" sz="1600">
              <a:latin typeface="Times New Roman" panose="02020603050405020304" pitchFamily="18" charset="0"/>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Exfoliate And Exfoliate Face Towel - Black</a:t>
          </a:r>
          <a:r>
            <a:rPr lang="en-US" sz="1600">
              <a:latin typeface="Times New Roman" panose="02020603050405020304" pitchFamily="18" charset="0"/>
              <a:cs typeface="Times New Roman" panose="02020603050405020304" pitchFamily="18" charset="0"/>
            </a:rPr>
            <a:t> </a:t>
          </a:r>
          <a:endParaRPr lang="en-KE" sz="1600">
            <a:latin typeface="Times New Roman" panose="02020603050405020304" pitchFamily="18" charset="0"/>
            <a:cs typeface="Times New Roman" panose="02020603050405020304" pitchFamily="18" charset="0"/>
          </a:endParaRPr>
        </a:p>
      </xdr:txBody>
    </xdr:sp>
    <xdr:clientData/>
  </xdr:twoCellAnchor>
  <xdr:twoCellAnchor>
    <xdr:from>
      <xdr:col>14</xdr:col>
      <xdr:colOff>390699</xdr:colOff>
      <xdr:row>48</xdr:row>
      <xdr:rowOff>4156</xdr:rowOff>
    </xdr:from>
    <xdr:to>
      <xdr:col>25</xdr:col>
      <xdr:colOff>169719</xdr:colOff>
      <xdr:row>69</xdr:row>
      <xdr:rowOff>72736</xdr:rowOff>
    </xdr:to>
    <xdr:sp macro="" textlink="">
      <xdr:nvSpPr>
        <xdr:cNvPr id="15" name="Rectangle: Rounded Corners 14">
          <a:extLst>
            <a:ext uri="{FF2B5EF4-FFF2-40B4-BE49-F238E27FC236}">
              <a16:creationId xmlns:a16="http://schemas.microsoft.com/office/drawing/2014/main" id="{09B45BD5-01F6-4F08-9AFB-3DA515BAA030}"/>
            </a:ext>
          </a:extLst>
        </xdr:cNvPr>
        <xdr:cNvSpPr/>
      </xdr:nvSpPr>
      <xdr:spPr>
        <a:xfrm>
          <a:off x="8925099" y="8649392"/>
          <a:ext cx="6484620" cy="3850871"/>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b="1" i="0" u="none" strike="noStrike">
              <a:solidFill>
                <a:schemeClr val="dk1"/>
              </a:solidFill>
              <a:effectLst/>
              <a:latin typeface="Times New Roman" panose="02020603050405020304" pitchFamily="18" charset="0"/>
              <a:ea typeface="+mn-ea"/>
              <a:cs typeface="Times New Roman" panose="02020603050405020304" pitchFamily="18" charset="0"/>
            </a:rPr>
            <a:t>Top 10 products with the most reviews:</a:t>
          </a:r>
        </a:p>
        <a:p>
          <a:pPr algn="l"/>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1.</a:t>
          </a:r>
          <a:r>
            <a:rPr lang="en-US" sz="1600">
              <a:latin typeface="Times New Roman" panose="02020603050405020304" pitchFamily="18" charset="0"/>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120W Cordless Vacuum Cleaners Handheld Electric Vacuum Cleaner</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2.</a:t>
          </a:r>
          <a:r>
            <a:rPr lang="en-US" sz="1600">
              <a:latin typeface="Times New Roman" panose="02020603050405020304" pitchFamily="18" charset="0"/>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137 Pieces Cake Decorating Tool Set Baking Supplies</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3.</a:t>
          </a:r>
          <a:r>
            <a:rPr lang="en-US" sz="1600">
              <a:latin typeface="Times New Roman" panose="02020603050405020304" pitchFamily="18" charset="0"/>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Electronic Digital Display Vernier Caliper</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4.</a:t>
          </a:r>
          <a:r>
            <a:rPr lang="en-US" sz="1600">
              <a:latin typeface="Times New Roman" panose="02020603050405020304" pitchFamily="18" charset="0"/>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3D Waterproof EVA Plastic Shower Curtain 1.8*2Mtrs</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5.</a:t>
          </a:r>
          <a:r>
            <a:rPr lang="en-US" sz="1600">
              <a:latin typeface="Times New Roman" panose="02020603050405020304" pitchFamily="18" charset="0"/>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100 Pcs Crochet Hook Tool Set Knitting Hook Set With Box</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6.</a:t>
          </a:r>
          <a:r>
            <a:rPr lang="en-US" sz="1600">
              <a:latin typeface="Times New Roman" panose="02020603050405020304" pitchFamily="18" charset="0"/>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Punch-free Great Load Bearing Bathroom Storage Rack Wall Shelf-White</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7.</a:t>
          </a:r>
          <a:r>
            <a:rPr lang="en-US" sz="1600">
              <a:latin typeface="Times New Roman" panose="02020603050405020304" pitchFamily="18" charset="0"/>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53 Pieces/Set Yarn Knitting Crochet Hooks With Bag - Pansies</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8.</a:t>
          </a:r>
          <a:r>
            <a:rPr lang="en-US" sz="1600">
              <a:latin typeface="Times New Roman" panose="02020603050405020304" pitchFamily="18" charset="0"/>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Portable Mini Cordless Car Vacuum Cleaner - Blue</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9.</a:t>
          </a:r>
          <a:r>
            <a:rPr lang="en-US" sz="1600">
              <a:latin typeface="Times New Roman" panose="02020603050405020304" pitchFamily="18" charset="0"/>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52 Pieces Cake Decorating Tool Set Gift Kit Baking Supplies</a:t>
          </a:r>
          <a:r>
            <a:rPr lang="en-US" sz="1600">
              <a:latin typeface="Times New Roman" panose="02020603050405020304" pitchFamily="18" charset="0"/>
              <a:cs typeface="Times New Roman" panose="02020603050405020304" pitchFamily="18" charset="0"/>
            </a:rPr>
            <a:t> </a:t>
          </a:r>
          <a:br>
            <a:rPr lang="en-US" sz="1600">
              <a:latin typeface="Times New Roman" panose="02020603050405020304" pitchFamily="18" charset="0"/>
              <a:cs typeface="Times New Roman" panose="02020603050405020304" pitchFamily="18" charset="0"/>
            </a:rPr>
          </a:b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10.</a:t>
          </a:r>
          <a:r>
            <a:rPr lang="en-US" sz="1600">
              <a:latin typeface="Times New Roman" panose="02020603050405020304" pitchFamily="18" charset="0"/>
              <a:cs typeface="Times New Roman" panose="02020603050405020304" pitchFamily="18" charset="0"/>
            </a:rPr>
            <a:t> </a:t>
          </a:r>
          <a:r>
            <a:rPr lang="en-US" sz="1600" b="0" i="0" u="none" strike="noStrike">
              <a:solidFill>
                <a:schemeClr val="dk1"/>
              </a:solidFill>
              <a:effectLst/>
              <a:latin typeface="Times New Roman" panose="02020603050405020304" pitchFamily="18" charset="0"/>
              <a:ea typeface="+mn-ea"/>
              <a:cs typeface="Times New Roman" panose="02020603050405020304" pitchFamily="18" charset="0"/>
            </a:rPr>
            <a:t>53Pcs/Set Yarn Knitting Crochet Hooks With Bag - Fortune Cat</a:t>
          </a:r>
          <a:r>
            <a:rPr lang="en-US" sz="1600">
              <a:latin typeface="Times New Roman" panose="02020603050405020304" pitchFamily="18" charset="0"/>
              <a:cs typeface="Times New Roman" panose="02020603050405020304" pitchFamily="18" charset="0"/>
            </a:rPr>
            <a:t> </a:t>
          </a:r>
          <a:endParaRPr lang="en-KE" sz="1600">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256656</xdr:colOff>
      <xdr:row>73</xdr:row>
      <xdr:rowOff>142702</xdr:rowOff>
    </xdr:from>
    <xdr:to>
      <xdr:col>3</xdr:col>
      <xdr:colOff>348096</xdr:colOff>
      <xdr:row>81</xdr:row>
      <xdr:rowOff>19742</xdr:rowOff>
    </xdr:to>
    <mc:AlternateContent xmlns:mc="http://schemas.openxmlformats.org/markup-compatibility/2006">
      <mc:Choice xmlns:a14="http://schemas.microsoft.com/office/drawing/2010/main" Requires="a14">
        <xdr:graphicFrame macro="">
          <xdr:nvGraphicFramePr>
            <xdr:cNvPr id="17" name="Category Based on Discount 2">
              <a:extLst>
                <a:ext uri="{FF2B5EF4-FFF2-40B4-BE49-F238E27FC236}">
                  <a16:creationId xmlns:a16="http://schemas.microsoft.com/office/drawing/2014/main" id="{291D6A7D-AA56-420E-88B0-3AB81CA37367}"/>
                </a:ext>
              </a:extLst>
            </xdr:cNvPr>
            <xdr:cNvGraphicFramePr/>
          </xdr:nvGraphicFramePr>
          <xdr:xfrm>
            <a:off x="0" y="0"/>
            <a:ext cx="0" cy="0"/>
          </xdr:xfrm>
          <a:graphic>
            <a:graphicData uri="http://schemas.microsoft.com/office/drawing/2010/slicer">
              <sle:slicer xmlns:sle="http://schemas.microsoft.com/office/drawing/2010/slicer" name="Category Based on Discount 2"/>
            </a:graphicData>
          </a:graphic>
        </xdr:graphicFrame>
      </mc:Choice>
      <mc:Fallback>
        <xdr:sp macro="" textlink="">
          <xdr:nvSpPr>
            <xdr:cNvPr id="0" name=""/>
            <xdr:cNvSpPr>
              <a:spLocks noTextEdit="1"/>
            </xdr:cNvSpPr>
          </xdr:nvSpPr>
          <xdr:spPr>
            <a:xfrm>
              <a:off x="256656" y="13290666"/>
              <a:ext cx="1920240" cy="131791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221623</xdr:colOff>
      <xdr:row>91</xdr:row>
      <xdr:rowOff>136914</xdr:rowOff>
    </xdr:from>
    <xdr:to>
      <xdr:col>16</xdr:col>
      <xdr:colOff>465463</xdr:colOff>
      <xdr:row>111</xdr:row>
      <xdr:rowOff>35133</xdr:rowOff>
    </xdr:to>
    <xdr:graphicFrame macro="">
      <xdr:nvGraphicFramePr>
        <xdr:cNvPr id="19" name="Chart 18">
          <a:extLst>
            <a:ext uri="{FF2B5EF4-FFF2-40B4-BE49-F238E27FC236}">
              <a16:creationId xmlns:a16="http://schemas.microsoft.com/office/drawing/2014/main" id="{8E3FC876-0A47-4F63-B5C1-6467EDD88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239338</xdr:colOff>
      <xdr:row>81</xdr:row>
      <xdr:rowOff>175262</xdr:rowOff>
    </xdr:from>
    <xdr:to>
      <xdr:col>3</xdr:col>
      <xdr:colOff>315538</xdr:colOff>
      <xdr:row>89</xdr:row>
      <xdr:rowOff>160021</xdr:rowOff>
    </xdr:to>
    <mc:AlternateContent xmlns:mc="http://schemas.openxmlformats.org/markup-compatibility/2006">
      <mc:Choice xmlns:a14="http://schemas.microsoft.com/office/drawing/2010/main" Requires="a14">
        <xdr:graphicFrame macro="">
          <xdr:nvGraphicFramePr>
            <xdr:cNvPr id="21" name="Rating Category 1">
              <a:extLst>
                <a:ext uri="{FF2B5EF4-FFF2-40B4-BE49-F238E27FC236}">
                  <a16:creationId xmlns:a16="http://schemas.microsoft.com/office/drawing/2014/main" id="{289F8793-042C-4395-A39F-82058ACCD48D}"/>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239338" y="14764098"/>
              <a:ext cx="1905000" cy="142563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282039</xdr:colOff>
      <xdr:row>73</xdr:row>
      <xdr:rowOff>127659</xdr:rowOff>
    </xdr:from>
    <xdr:to>
      <xdr:col>12</xdr:col>
      <xdr:colOff>312519</xdr:colOff>
      <xdr:row>89</xdr:row>
      <xdr:rowOff>167888</xdr:rowOff>
    </xdr:to>
    <xdr:graphicFrame macro="">
      <xdr:nvGraphicFramePr>
        <xdr:cNvPr id="22" name="Chart 21">
          <a:extLst>
            <a:ext uri="{FF2B5EF4-FFF2-40B4-BE49-F238E27FC236}">
              <a16:creationId xmlns:a16="http://schemas.microsoft.com/office/drawing/2014/main" id="{E303E4DF-F6B5-4FA1-9362-7C411FEBD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390896</xdr:colOff>
      <xdr:row>73</xdr:row>
      <xdr:rowOff>138545</xdr:rowOff>
    </xdr:from>
    <xdr:to>
      <xdr:col>22</xdr:col>
      <xdr:colOff>558536</xdr:colOff>
      <xdr:row>89</xdr:row>
      <xdr:rowOff>125483</xdr:rowOff>
    </xdr:to>
    <xdr:graphicFrame macro="">
      <xdr:nvGraphicFramePr>
        <xdr:cNvPr id="23" name="Chart 22">
          <a:extLst>
            <a:ext uri="{FF2B5EF4-FFF2-40B4-BE49-F238E27FC236}">
              <a16:creationId xmlns:a16="http://schemas.microsoft.com/office/drawing/2014/main" id="{8A2E2386-E571-40CB-BAD8-353E1C932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jamin Ochieng" refreshedDate="46185.333440856484" createdVersion="7" refreshedVersion="7" minRefreshableVersion="3" recordCount="112" xr:uid="{3091337C-C4DA-4362-87E2-78BABA2F3FDA}">
  <cacheSource type="worksheet">
    <worksheetSource ref="A1:I113" sheet="Excel_jumia_dataset"/>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2">
      <sharedItems containsSemiMixedTypes="0" containsString="0" containsNumber="1" containsInteger="1" minValue="38" maxValue="3750"/>
    </cacheField>
    <cacheField name="Old price" numFmtId="2">
      <sharedItems containsSemiMixedTypes="0" containsString="0" containsNumber="1" containsInteger="1" minValue="80" maxValue="6143"/>
    </cacheField>
    <cacheField name="Absolute Discount" numFmtId="2">
      <sharedItems containsSemiMixedTypes="0" containsString="0" containsNumber="1" containsInteger="1" minValue="24" maxValue="2585"/>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Review" numFmtId="0">
      <sharedItems containsString="0" containsBlank="1" containsNumber="1" containsInteger="1" minValue="1" maxValue="69" count="24">
        <n v="2"/>
        <n v="14"/>
        <n v="24"/>
        <n v="7"/>
        <n v="5"/>
        <n v="15"/>
        <n v="55"/>
        <n v="12"/>
        <n v="39"/>
        <n v="6"/>
        <n v="9"/>
        <n v="3"/>
        <n v="44"/>
        <n v="13"/>
        <m/>
        <n v="49"/>
        <n v="20"/>
        <n v="32"/>
        <n v="1"/>
        <n v="36"/>
        <n v="10"/>
        <n v="69"/>
        <n v="16"/>
        <n v="17"/>
      </sharedItems>
    </cacheField>
    <cacheField name="Rating" numFmtId="164">
      <sharedItems containsString="0" containsBlank="1" containsNumber="1" minValue="2" maxValue="5"/>
    </cacheField>
    <cacheField name="Rating Category" numFmtId="0">
      <sharedItems count="4">
        <s v="Excellent"/>
        <s v="Average"/>
        <s v="N/A"/>
        <s v="Poor"/>
      </sharedItems>
    </cacheField>
    <cacheField name="Category Based on Discount" numFmtId="0">
      <sharedItems count="3">
        <s v="Medium Discount"/>
        <s v="High Discount"/>
        <s v="Low Discount"/>
      </sharedItems>
    </cacheField>
  </cacheFields>
  <extLst>
    <ext xmlns:x14="http://schemas.microsoft.com/office/spreadsheetml/2009/9/main" uri="{725AE2AE-9491-48be-B2B4-4EB974FC3084}">
      <x14:pivotCacheDefinition pivotCacheId="13379735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n v="575"/>
    <x v="0"/>
    <x v="0"/>
    <n v="4.5"/>
    <x v="0"/>
    <x v="0"/>
  </r>
  <r>
    <x v="1"/>
    <n v="527"/>
    <n v="999"/>
    <n v="472"/>
    <x v="1"/>
    <x v="1"/>
    <n v="4.0999999999999996"/>
    <x v="1"/>
    <x v="1"/>
  </r>
  <r>
    <x v="2"/>
    <n v="2199"/>
    <n v="2923"/>
    <n v="724"/>
    <x v="2"/>
    <x v="2"/>
    <n v="4.5999999999999996"/>
    <x v="0"/>
    <x v="0"/>
  </r>
  <r>
    <x v="3"/>
    <n v="1580"/>
    <n v="2499"/>
    <n v="919"/>
    <x v="3"/>
    <x v="3"/>
    <n v="4.7"/>
    <x v="0"/>
    <x v="0"/>
  </r>
  <r>
    <x v="4"/>
    <n v="1740"/>
    <n v="2356"/>
    <n v="616"/>
    <x v="4"/>
    <x v="4"/>
    <n v="4.8"/>
    <x v="0"/>
    <x v="0"/>
  </r>
  <r>
    <x v="5"/>
    <n v="2999"/>
    <n v="3290"/>
    <n v="291"/>
    <x v="5"/>
    <x v="5"/>
    <n v="4"/>
    <x v="1"/>
    <x v="2"/>
  </r>
  <r>
    <x v="6"/>
    <n v="2319"/>
    <n v="3032"/>
    <n v="713"/>
    <x v="6"/>
    <x v="6"/>
    <n v="4.5999999999999996"/>
    <x v="0"/>
    <x v="0"/>
  </r>
  <r>
    <x v="7"/>
    <n v="988"/>
    <n v="1580"/>
    <n v="592"/>
    <x v="3"/>
    <x v="0"/>
    <n v="4"/>
    <x v="1"/>
    <x v="0"/>
  </r>
  <r>
    <x v="8"/>
    <n v="1274"/>
    <n v="2800"/>
    <n v="1526"/>
    <x v="7"/>
    <x v="4"/>
    <n v="4.8"/>
    <x v="0"/>
    <x v="1"/>
  </r>
  <r>
    <x v="9"/>
    <n v="1600"/>
    <n v="2929"/>
    <n v="1329"/>
    <x v="8"/>
    <x v="4"/>
    <n v="3.8"/>
    <x v="1"/>
    <x v="1"/>
  </r>
  <r>
    <x v="10"/>
    <n v="799"/>
    <n v="999"/>
    <n v="200"/>
    <x v="9"/>
    <x v="7"/>
    <n v="4.0999999999999996"/>
    <x v="1"/>
    <x v="0"/>
  </r>
  <r>
    <x v="11"/>
    <n v="990"/>
    <n v="1500"/>
    <n v="510"/>
    <x v="10"/>
    <x v="8"/>
    <n v="4.7"/>
    <x v="0"/>
    <x v="0"/>
  </r>
  <r>
    <x v="12"/>
    <n v="552"/>
    <n v="1035"/>
    <n v="483"/>
    <x v="1"/>
    <x v="7"/>
    <n v="4.8"/>
    <x v="0"/>
    <x v="1"/>
  </r>
  <r>
    <x v="13"/>
    <n v="501"/>
    <n v="860"/>
    <n v="359"/>
    <x v="11"/>
    <x v="9"/>
    <n v="4.5"/>
    <x v="0"/>
    <x v="1"/>
  </r>
  <r>
    <x v="14"/>
    <n v="1680"/>
    <n v="2499"/>
    <n v="819"/>
    <x v="12"/>
    <x v="10"/>
    <n v="4.2"/>
    <x v="1"/>
    <x v="0"/>
  </r>
  <r>
    <x v="15"/>
    <n v="332"/>
    <n v="684"/>
    <n v="352"/>
    <x v="13"/>
    <x v="0"/>
    <n v="5"/>
    <x v="0"/>
    <x v="1"/>
  </r>
  <r>
    <x v="16"/>
    <n v="195"/>
    <n v="360"/>
    <n v="165"/>
    <x v="14"/>
    <x v="0"/>
    <n v="5"/>
    <x v="0"/>
    <x v="1"/>
  </r>
  <r>
    <x v="17"/>
    <n v="2025"/>
    <n v="3971"/>
    <n v="1946"/>
    <x v="15"/>
    <x v="11"/>
    <n v="5"/>
    <x v="0"/>
    <x v="1"/>
  </r>
  <r>
    <x v="18"/>
    <n v="2999"/>
    <n v="3699"/>
    <n v="700"/>
    <x v="16"/>
    <x v="4"/>
    <n v="4.5999999999999996"/>
    <x v="0"/>
    <x v="2"/>
  </r>
  <r>
    <x v="19"/>
    <n v="998"/>
    <n v="1966"/>
    <n v="968"/>
    <x v="15"/>
    <x v="12"/>
    <n v="4.5999999999999996"/>
    <x v="0"/>
    <x v="1"/>
  </r>
  <r>
    <x v="20"/>
    <n v="38"/>
    <n v="80"/>
    <n v="42"/>
    <x v="17"/>
    <x v="13"/>
    <n v="3.3"/>
    <x v="1"/>
    <x v="1"/>
  </r>
  <r>
    <x v="21"/>
    <n v="1860"/>
    <n v="3220"/>
    <n v="1360"/>
    <x v="11"/>
    <x v="14"/>
    <m/>
    <x v="2"/>
    <x v="1"/>
  </r>
  <r>
    <x v="22"/>
    <n v="880"/>
    <n v="1350"/>
    <n v="470"/>
    <x v="18"/>
    <x v="9"/>
    <n v="4"/>
    <x v="1"/>
    <x v="0"/>
  </r>
  <r>
    <x v="23"/>
    <n v="1650"/>
    <n v="2150"/>
    <n v="500"/>
    <x v="19"/>
    <x v="1"/>
    <n v="4.4000000000000004"/>
    <x v="1"/>
    <x v="0"/>
  </r>
  <r>
    <x v="24"/>
    <n v="2048"/>
    <n v="4500"/>
    <n v="2452"/>
    <x v="20"/>
    <x v="3"/>
    <n v="4.3"/>
    <x v="1"/>
    <x v="1"/>
  </r>
  <r>
    <x v="25"/>
    <n v="420"/>
    <n v="647"/>
    <n v="227"/>
    <x v="18"/>
    <x v="15"/>
    <n v="4.5999999999999996"/>
    <x v="0"/>
    <x v="0"/>
  </r>
  <r>
    <x v="26"/>
    <n v="2880"/>
    <n v="3520"/>
    <n v="640"/>
    <x v="21"/>
    <x v="7"/>
    <n v="3.8"/>
    <x v="1"/>
    <x v="2"/>
  </r>
  <r>
    <x v="27"/>
    <n v="1350"/>
    <n v="1990"/>
    <n v="640"/>
    <x v="22"/>
    <x v="13"/>
    <n v="3.8"/>
    <x v="1"/>
    <x v="0"/>
  </r>
  <r>
    <x v="28"/>
    <n v="1758"/>
    <n v="2499"/>
    <n v="741"/>
    <x v="23"/>
    <x v="16"/>
    <n v="4.0999999999999996"/>
    <x v="1"/>
    <x v="0"/>
  </r>
  <r>
    <x v="29"/>
    <n v="2200"/>
    <n v="4080"/>
    <n v="1880"/>
    <x v="14"/>
    <x v="14"/>
    <m/>
    <x v="2"/>
    <x v="1"/>
  </r>
  <r>
    <x v="30"/>
    <n v="185"/>
    <n v="382"/>
    <n v="197"/>
    <x v="24"/>
    <x v="10"/>
    <n v="4.3"/>
    <x v="1"/>
    <x v="1"/>
  </r>
  <r>
    <x v="31"/>
    <n v="980"/>
    <n v="1490"/>
    <n v="510"/>
    <x v="10"/>
    <x v="7"/>
    <n v="4.7"/>
    <x v="0"/>
    <x v="0"/>
  </r>
  <r>
    <x v="32"/>
    <n v="1820"/>
    <n v="3490"/>
    <n v="1670"/>
    <x v="25"/>
    <x v="10"/>
    <n v="4.3"/>
    <x v="1"/>
    <x v="1"/>
  </r>
  <r>
    <x v="33"/>
    <n v="1940"/>
    <n v="2650"/>
    <n v="710"/>
    <x v="26"/>
    <x v="16"/>
    <n v="4.7"/>
    <x v="0"/>
    <x v="0"/>
  </r>
  <r>
    <x v="34"/>
    <n v="1980"/>
    <n v="2699"/>
    <n v="719"/>
    <x v="26"/>
    <x v="17"/>
    <n v="4.5"/>
    <x v="0"/>
    <x v="0"/>
  </r>
  <r>
    <x v="35"/>
    <n v="1620"/>
    <n v="2690"/>
    <n v="1070"/>
    <x v="27"/>
    <x v="18"/>
    <n v="5"/>
    <x v="0"/>
    <x v="0"/>
  </r>
  <r>
    <x v="36"/>
    <n v="171"/>
    <n v="360"/>
    <n v="189"/>
    <x v="17"/>
    <x v="0"/>
    <n v="5"/>
    <x v="0"/>
    <x v="1"/>
  </r>
  <r>
    <x v="37"/>
    <n v="389"/>
    <n v="656"/>
    <n v="267"/>
    <x v="28"/>
    <x v="19"/>
    <n v="4.3"/>
    <x v="1"/>
    <x v="1"/>
  </r>
  <r>
    <x v="38"/>
    <n v="1800"/>
    <n v="2700"/>
    <n v="900"/>
    <x v="0"/>
    <x v="0"/>
    <n v="4.5"/>
    <x v="0"/>
    <x v="0"/>
  </r>
  <r>
    <x v="39"/>
    <n v="2750"/>
    <n v="4471"/>
    <n v="1721"/>
    <x v="0"/>
    <x v="14"/>
    <m/>
    <x v="2"/>
    <x v="0"/>
  </r>
  <r>
    <x v="40"/>
    <n v="475"/>
    <n v="931"/>
    <n v="456"/>
    <x v="15"/>
    <x v="14"/>
    <m/>
    <x v="2"/>
    <x v="1"/>
  </r>
  <r>
    <x v="41"/>
    <n v="238"/>
    <n v="476"/>
    <n v="238"/>
    <x v="29"/>
    <x v="14"/>
    <m/>
    <x v="2"/>
    <x v="1"/>
  </r>
  <r>
    <x v="42"/>
    <n v="610"/>
    <n v="1060"/>
    <n v="450"/>
    <x v="11"/>
    <x v="14"/>
    <m/>
    <x v="2"/>
    <x v="1"/>
  </r>
  <r>
    <x v="43"/>
    <n v="2132"/>
    <n v="2169"/>
    <n v="37"/>
    <x v="30"/>
    <x v="14"/>
    <m/>
    <x v="2"/>
    <x v="2"/>
  </r>
  <r>
    <x v="44"/>
    <n v="999"/>
    <n v="2000"/>
    <n v="1001"/>
    <x v="29"/>
    <x v="14"/>
    <m/>
    <x v="2"/>
    <x v="1"/>
  </r>
  <r>
    <x v="45"/>
    <n v="1190"/>
    <n v="1785"/>
    <n v="595"/>
    <x v="12"/>
    <x v="14"/>
    <m/>
    <x v="2"/>
    <x v="0"/>
  </r>
  <r>
    <x v="46"/>
    <n v="671"/>
    <n v="1316"/>
    <n v="645"/>
    <x v="15"/>
    <x v="14"/>
    <m/>
    <x v="2"/>
    <x v="1"/>
  </r>
  <r>
    <x v="47"/>
    <n v="1200"/>
    <n v="1950"/>
    <n v="750"/>
    <x v="0"/>
    <x v="14"/>
    <m/>
    <x v="2"/>
    <x v="0"/>
  </r>
  <r>
    <x v="48"/>
    <n v="199"/>
    <n v="504"/>
    <n v="305"/>
    <x v="31"/>
    <x v="14"/>
    <m/>
    <x v="2"/>
    <x v="1"/>
  </r>
  <r>
    <x v="49"/>
    <n v="299"/>
    <n v="600"/>
    <n v="301"/>
    <x v="29"/>
    <x v="14"/>
    <m/>
    <x v="2"/>
    <x v="1"/>
  </r>
  <r>
    <x v="50"/>
    <n v="1660"/>
    <n v="1699"/>
    <n v="39"/>
    <x v="30"/>
    <x v="14"/>
    <m/>
    <x v="2"/>
    <x v="2"/>
  </r>
  <r>
    <x v="51"/>
    <n v="299"/>
    <n v="384"/>
    <n v="85"/>
    <x v="32"/>
    <x v="14"/>
    <m/>
    <x v="2"/>
    <x v="0"/>
  </r>
  <r>
    <x v="52"/>
    <n v="1459"/>
    <n v="1499"/>
    <n v="40"/>
    <x v="33"/>
    <x v="14"/>
    <m/>
    <x v="2"/>
    <x v="2"/>
  </r>
  <r>
    <x v="53"/>
    <n v="799"/>
    <n v="1343"/>
    <n v="544"/>
    <x v="28"/>
    <x v="14"/>
    <m/>
    <x v="2"/>
    <x v="1"/>
  </r>
  <r>
    <x v="54"/>
    <n v="499"/>
    <n v="900"/>
    <n v="401"/>
    <x v="8"/>
    <x v="14"/>
    <m/>
    <x v="2"/>
    <x v="1"/>
  </r>
  <r>
    <x v="55"/>
    <n v="699"/>
    <n v="1343"/>
    <n v="644"/>
    <x v="25"/>
    <x v="14"/>
    <m/>
    <x v="2"/>
    <x v="1"/>
  </r>
  <r>
    <x v="56"/>
    <n v="799"/>
    <n v="1567"/>
    <n v="768"/>
    <x v="15"/>
    <x v="14"/>
    <m/>
    <x v="2"/>
    <x v="1"/>
  </r>
  <r>
    <x v="57"/>
    <n v="2799"/>
    <n v="3810"/>
    <n v="1011"/>
    <x v="26"/>
    <x v="14"/>
    <m/>
    <x v="2"/>
    <x v="0"/>
  </r>
  <r>
    <x v="54"/>
    <n v="399"/>
    <n v="896"/>
    <n v="497"/>
    <x v="7"/>
    <x v="14"/>
    <m/>
    <x v="2"/>
    <x v="1"/>
  </r>
  <r>
    <x v="58"/>
    <n v="2170"/>
    <n v="2500"/>
    <n v="330"/>
    <x v="34"/>
    <x v="9"/>
    <n v="2.5"/>
    <x v="3"/>
    <x v="2"/>
  </r>
  <r>
    <x v="59"/>
    <n v="458"/>
    <n v="986"/>
    <n v="528"/>
    <x v="20"/>
    <x v="20"/>
    <n v="3"/>
    <x v="1"/>
    <x v="1"/>
  </r>
  <r>
    <x v="60"/>
    <n v="2115"/>
    <n v="4700"/>
    <n v="2585"/>
    <x v="7"/>
    <x v="13"/>
    <n v="2.1"/>
    <x v="3"/>
    <x v="1"/>
  </r>
  <r>
    <x v="61"/>
    <n v="445"/>
    <n v="873"/>
    <n v="428"/>
    <x v="15"/>
    <x v="21"/>
    <n v="2.8"/>
    <x v="3"/>
    <x v="1"/>
  </r>
  <r>
    <x v="62"/>
    <n v="325"/>
    <n v="680"/>
    <n v="355"/>
    <x v="24"/>
    <x v="5"/>
    <n v="2.7"/>
    <x v="3"/>
    <x v="1"/>
  </r>
  <r>
    <x v="63"/>
    <n v="1220"/>
    <n v="1555"/>
    <n v="335"/>
    <x v="32"/>
    <x v="22"/>
    <n v="2.9"/>
    <x v="3"/>
    <x v="0"/>
  </r>
  <r>
    <x v="64"/>
    <n v="990"/>
    <n v="1814"/>
    <n v="824"/>
    <x v="8"/>
    <x v="9"/>
    <n v="2.2000000000000002"/>
    <x v="3"/>
    <x v="1"/>
  </r>
  <r>
    <x v="65"/>
    <n v="1000"/>
    <n v="2000"/>
    <n v="1000"/>
    <x v="29"/>
    <x v="3"/>
    <n v="2.2999999999999998"/>
    <x v="3"/>
    <x v="1"/>
  </r>
  <r>
    <x v="66"/>
    <n v="3750"/>
    <n v="6143"/>
    <n v="2393"/>
    <x v="35"/>
    <x v="4"/>
    <n v="3"/>
    <x v="1"/>
    <x v="0"/>
  </r>
  <r>
    <x v="67"/>
    <n v="382"/>
    <n v="700"/>
    <n v="318"/>
    <x v="8"/>
    <x v="23"/>
    <n v="2.6"/>
    <x v="3"/>
    <x v="1"/>
  </r>
  <r>
    <x v="68"/>
    <n v="2300"/>
    <n v="3240"/>
    <n v="940"/>
    <x v="36"/>
    <x v="4"/>
    <n v="3"/>
    <x v="1"/>
    <x v="0"/>
  </r>
  <r>
    <x v="69"/>
    <n v="345"/>
    <n v="602"/>
    <n v="257"/>
    <x v="37"/>
    <x v="9"/>
    <n v="2.2999999999999998"/>
    <x v="3"/>
    <x v="1"/>
  </r>
  <r>
    <x v="70"/>
    <n v="509"/>
    <n v="899"/>
    <n v="390"/>
    <x v="37"/>
    <x v="4"/>
    <n v="3"/>
    <x v="1"/>
    <x v="1"/>
  </r>
  <r>
    <x v="71"/>
    <n v="968"/>
    <n v="1814"/>
    <n v="846"/>
    <x v="1"/>
    <x v="9"/>
    <n v="2.2000000000000002"/>
    <x v="3"/>
    <x v="1"/>
  </r>
  <r>
    <x v="72"/>
    <n v="1570"/>
    <n v="2988"/>
    <n v="1418"/>
    <x v="1"/>
    <x v="3"/>
    <n v="2.1"/>
    <x v="3"/>
    <x v="1"/>
  </r>
  <r>
    <x v="73"/>
    <n v="790"/>
    <n v="1485"/>
    <n v="695"/>
    <x v="1"/>
    <x v="14"/>
    <m/>
    <x v="2"/>
    <x v="1"/>
  </r>
  <r>
    <x v="74"/>
    <n v="690"/>
    <n v="1200"/>
    <n v="510"/>
    <x v="37"/>
    <x v="14"/>
    <m/>
    <x v="2"/>
    <x v="1"/>
  </r>
  <r>
    <x v="75"/>
    <n v="1732"/>
    <n v="1799"/>
    <n v="67"/>
    <x v="38"/>
    <x v="14"/>
    <m/>
    <x v="2"/>
    <x v="2"/>
  </r>
  <r>
    <x v="76"/>
    <n v="230"/>
    <n v="450"/>
    <n v="220"/>
    <x v="15"/>
    <x v="14"/>
    <m/>
    <x v="2"/>
    <x v="1"/>
  </r>
  <r>
    <x v="77"/>
    <n v="1189"/>
    <n v="2199"/>
    <n v="1010"/>
    <x v="14"/>
    <x v="18"/>
    <n v="3"/>
    <x v="1"/>
    <x v="1"/>
  </r>
  <r>
    <x v="78"/>
    <n v="979"/>
    <n v="1920"/>
    <n v="941"/>
    <x v="15"/>
    <x v="18"/>
    <n v="5"/>
    <x v="0"/>
    <x v="1"/>
  </r>
  <r>
    <x v="79"/>
    <n v="1460"/>
    <n v="2290"/>
    <n v="830"/>
    <x v="39"/>
    <x v="14"/>
    <m/>
    <x v="2"/>
    <x v="0"/>
  </r>
  <r>
    <x v="80"/>
    <n v="1666"/>
    <n v="1699"/>
    <n v="33"/>
    <x v="30"/>
    <x v="14"/>
    <m/>
    <x v="2"/>
    <x v="2"/>
  </r>
  <r>
    <x v="81"/>
    <n v="330"/>
    <n v="647"/>
    <n v="317"/>
    <x v="15"/>
    <x v="18"/>
    <n v="4"/>
    <x v="1"/>
    <x v="1"/>
  </r>
  <r>
    <x v="48"/>
    <n v="176"/>
    <n v="345"/>
    <n v="169"/>
    <x v="15"/>
    <x v="14"/>
    <m/>
    <x v="2"/>
    <x v="1"/>
  </r>
  <r>
    <x v="82"/>
    <n v="1466"/>
    <n v="1699"/>
    <n v="233"/>
    <x v="40"/>
    <x v="14"/>
    <m/>
    <x v="2"/>
    <x v="2"/>
  </r>
  <r>
    <x v="83"/>
    <n v="274"/>
    <n v="537"/>
    <n v="263"/>
    <x v="15"/>
    <x v="14"/>
    <m/>
    <x v="2"/>
    <x v="1"/>
  </r>
  <r>
    <x v="84"/>
    <n v="799"/>
    <n v="900"/>
    <n v="101"/>
    <x v="41"/>
    <x v="14"/>
    <m/>
    <x v="2"/>
    <x v="2"/>
  </r>
  <r>
    <x v="56"/>
    <n v="657"/>
    <n v="1288"/>
    <n v="631"/>
    <x v="15"/>
    <x v="14"/>
    <m/>
    <x v="2"/>
    <x v="1"/>
  </r>
  <r>
    <x v="85"/>
    <n v="1468"/>
    <n v="1699"/>
    <n v="231"/>
    <x v="40"/>
    <x v="14"/>
    <m/>
    <x v="2"/>
    <x v="2"/>
  </r>
  <r>
    <x v="86"/>
    <n v="630"/>
    <n v="1100"/>
    <n v="470"/>
    <x v="37"/>
    <x v="14"/>
    <m/>
    <x v="2"/>
    <x v="1"/>
  </r>
  <r>
    <x v="87"/>
    <n v="850"/>
    <n v="1700"/>
    <n v="850"/>
    <x v="29"/>
    <x v="14"/>
    <m/>
    <x v="2"/>
    <x v="1"/>
  </r>
  <r>
    <x v="88"/>
    <n v="1300"/>
    <n v="2500"/>
    <n v="1200"/>
    <x v="25"/>
    <x v="14"/>
    <m/>
    <x v="2"/>
    <x v="1"/>
  </r>
  <r>
    <x v="89"/>
    <n v="105"/>
    <n v="200"/>
    <n v="95"/>
    <x v="25"/>
    <x v="14"/>
    <m/>
    <x v="2"/>
    <x v="1"/>
  </r>
  <r>
    <x v="90"/>
    <n v="899"/>
    <n v="1699"/>
    <n v="800"/>
    <x v="1"/>
    <x v="14"/>
    <m/>
    <x v="2"/>
    <x v="1"/>
  </r>
  <r>
    <x v="91"/>
    <n v="1200"/>
    <n v="2400"/>
    <n v="1200"/>
    <x v="29"/>
    <x v="14"/>
    <m/>
    <x v="2"/>
    <x v="1"/>
  </r>
  <r>
    <x v="92"/>
    <n v="1526"/>
    <n v="1660"/>
    <n v="134"/>
    <x v="42"/>
    <x v="14"/>
    <m/>
    <x v="2"/>
    <x v="2"/>
  </r>
  <r>
    <x v="93"/>
    <n v="1462"/>
    <n v="1499"/>
    <n v="37"/>
    <x v="30"/>
    <x v="14"/>
    <m/>
    <x v="2"/>
    <x v="2"/>
  </r>
  <r>
    <x v="94"/>
    <n v="248"/>
    <n v="486"/>
    <n v="238"/>
    <x v="15"/>
    <x v="14"/>
    <m/>
    <x v="2"/>
    <x v="1"/>
  </r>
  <r>
    <x v="95"/>
    <n v="3546"/>
    <n v="3699"/>
    <n v="153"/>
    <x v="38"/>
    <x v="14"/>
    <m/>
    <x v="2"/>
    <x v="2"/>
  </r>
  <r>
    <x v="96"/>
    <n v="525"/>
    <n v="1029"/>
    <n v="504"/>
    <x v="15"/>
    <x v="14"/>
    <m/>
    <x v="2"/>
    <x v="1"/>
  </r>
  <r>
    <x v="97"/>
    <n v="1080"/>
    <n v="1874"/>
    <n v="794"/>
    <x v="11"/>
    <x v="14"/>
    <m/>
    <x v="2"/>
    <x v="1"/>
  </r>
  <r>
    <x v="98"/>
    <n v="3640"/>
    <n v="4588"/>
    <n v="948"/>
    <x v="43"/>
    <x v="18"/>
    <n v="5"/>
    <x v="0"/>
    <x v="0"/>
  </r>
  <r>
    <x v="99"/>
    <n v="1420"/>
    <n v="2420"/>
    <n v="1000"/>
    <x v="28"/>
    <x v="14"/>
    <m/>
    <x v="2"/>
    <x v="1"/>
  </r>
  <r>
    <x v="100"/>
    <n v="1875"/>
    <n v="1899"/>
    <n v="24"/>
    <x v="44"/>
    <x v="14"/>
    <m/>
    <x v="2"/>
    <x v="2"/>
  </r>
  <r>
    <x v="101"/>
    <n v="198"/>
    <n v="260"/>
    <n v="62"/>
    <x v="6"/>
    <x v="14"/>
    <m/>
    <x v="2"/>
    <x v="0"/>
  </r>
  <r>
    <x v="102"/>
    <n v="1150"/>
    <n v="1737"/>
    <n v="587"/>
    <x v="10"/>
    <x v="14"/>
    <m/>
    <x v="2"/>
    <x v="0"/>
  </r>
  <r>
    <x v="103"/>
    <n v="1190"/>
    <n v="1810"/>
    <n v="620"/>
    <x v="10"/>
    <x v="14"/>
    <m/>
    <x v="2"/>
    <x v="0"/>
  </r>
  <r>
    <x v="104"/>
    <n v="1658"/>
    <n v="1699"/>
    <n v="41"/>
    <x v="30"/>
    <x v="14"/>
    <m/>
    <x v="2"/>
    <x v="2"/>
  </r>
  <r>
    <x v="105"/>
    <n v="1768"/>
    <n v="1799"/>
    <n v="31"/>
    <x v="30"/>
    <x v="14"/>
    <m/>
    <x v="2"/>
    <x v="2"/>
  </r>
  <r>
    <x v="106"/>
    <n v="199"/>
    <n v="553"/>
    <n v="354"/>
    <x v="45"/>
    <x v="14"/>
    <m/>
    <x v="2"/>
    <x v="1"/>
  </r>
  <r>
    <x v="107"/>
    <n v="450"/>
    <n v="900"/>
    <n v="450"/>
    <x v="29"/>
    <x v="18"/>
    <n v="2"/>
    <x v="3"/>
    <x v="1"/>
  </r>
  <r>
    <x v="108"/>
    <n v="169"/>
    <n v="320"/>
    <n v="151"/>
    <x v="1"/>
    <x v="14"/>
    <m/>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A3E033-3762-4E1E-904C-756860D3E51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2" showAll="0"/>
    <pivotField numFmtId="2" showAll="0"/>
    <pivotField numFmtId="2" showAll="0"/>
    <pivotField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showAll="0"/>
    <pivotField showAll="0">
      <items count="5">
        <item x="1"/>
        <item x="0"/>
        <item x="2"/>
        <item x="3"/>
        <item t="default"/>
      </items>
    </pivotField>
    <pivotField axis="axisRow" showAll="0">
      <items count="4">
        <item x="2"/>
        <item x="0"/>
        <item x="1"/>
        <item t="default"/>
      </items>
    </pivotField>
  </pivotFields>
  <rowFields count="1">
    <field x="8"/>
  </rowFields>
  <rowItems count="4">
    <i>
      <x/>
    </i>
    <i>
      <x v="1"/>
    </i>
    <i>
      <x v="2"/>
    </i>
    <i t="grand">
      <x/>
    </i>
  </rowItems>
  <colItems count="1">
    <i/>
  </colItems>
  <dataFields count="1">
    <dataField name="Average of Review" fld="5" subtotal="average" baseField="8" baseItem="1"/>
  </dataFields>
  <formats count="14">
    <format dxfId="125">
      <pivotArea type="all" dataOnly="0" outline="0" fieldPosition="0"/>
    </format>
    <format dxfId="124">
      <pivotArea outline="0" collapsedLevelsAreSubtotals="1" fieldPosition="0"/>
    </format>
    <format dxfId="123">
      <pivotArea field="8" type="button" dataOnly="0" labelOnly="1" outline="0" axis="axisRow" fieldPosition="0"/>
    </format>
    <format dxfId="122">
      <pivotArea dataOnly="0" labelOnly="1" fieldPosition="0">
        <references count="1">
          <reference field="8" count="0"/>
        </references>
      </pivotArea>
    </format>
    <format dxfId="121">
      <pivotArea dataOnly="0" labelOnly="1" grandRow="1" outline="0" fieldPosition="0"/>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field="8" type="button" dataOnly="0" labelOnly="1" outline="0" axis="axisRow" fieldPosition="0"/>
    </format>
    <format dxfId="116">
      <pivotArea dataOnly="0" labelOnly="1" fieldPosition="0">
        <references count="1">
          <reference field="8" count="0"/>
        </references>
      </pivotArea>
    </format>
    <format dxfId="115">
      <pivotArea dataOnly="0" labelOnly="1" grandRow="1" outline="0" fieldPosition="0"/>
    </format>
    <format dxfId="114">
      <pivotArea dataOnly="0" labelOnly="1" outline="0" axis="axisValues" fieldPosition="0"/>
    </format>
    <format dxfId="113">
      <pivotArea collapsedLevelsAreSubtotals="1" fieldPosition="0">
        <references count="1">
          <reference field="8" count="0"/>
        </references>
      </pivotArea>
    </format>
    <format dxfId="11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D5197E-3D38-4F59-965B-616F4A3F31E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8" firstHeaderRow="1" firstDataRow="1" firstDataCol="1"/>
  <pivotFields count="9">
    <pivotField showAll="0"/>
    <pivotField numFmtId="2" showAll="0"/>
    <pivotField numFmtId="2" showAll="0"/>
    <pivotField numFmtId="2" showAll="0"/>
    <pivotField numFmtId="9" showAll="0"/>
    <pivotField dataField="1" showAll="0"/>
    <pivotField showAll="0"/>
    <pivotField axis="axisRow" showAll="0">
      <items count="5">
        <item x="3"/>
        <item x="1"/>
        <item x="0"/>
        <item x="2"/>
        <item t="default"/>
      </items>
    </pivotField>
    <pivotField showAll="0">
      <items count="4">
        <item x="1"/>
        <item x="2"/>
        <item x="0"/>
        <item t="default"/>
      </items>
    </pivotField>
  </pivotFields>
  <rowFields count="1">
    <field x="7"/>
  </rowFields>
  <rowItems count="5">
    <i>
      <x/>
    </i>
    <i>
      <x v="1"/>
    </i>
    <i>
      <x v="2"/>
    </i>
    <i>
      <x v="3"/>
    </i>
    <i t="grand">
      <x/>
    </i>
  </rowItems>
  <colItems count="1">
    <i/>
  </colItems>
  <dataFields count="1">
    <dataField name="Average of Review" fld="5" subtotal="average" baseField="7" baseItem="0"/>
  </dataFields>
  <formats count="14">
    <format dxfId="111">
      <pivotArea collapsedLevelsAreSubtotals="1" fieldPosition="0">
        <references count="1">
          <reference field="7" count="0"/>
        </references>
      </pivotArea>
    </format>
    <format dxfId="110">
      <pivotArea grandRow="1" outline="0" collapsedLevelsAreSubtotals="1" fieldPosition="0"/>
    </format>
    <format dxfId="109">
      <pivotArea type="all" dataOnly="0" outline="0" fieldPosition="0"/>
    </format>
    <format dxfId="108">
      <pivotArea outline="0" collapsedLevelsAreSubtotals="1" fieldPosition="0"/>
    </format>
    <format dxfId="107">
      <pivotArea field="7" type="button" dataOnly="0" labelOnly="1" outline="0" axis="axisRow" fieldPosition="0"/>
    </format>
    <format dxfId="106">
      <pivotArea dataOnly="0" labelOnly="1" fieldPosition="0">
        <references count="1">
          <reference field="7" count="0"/>
        </references>
      </pivotArea>
    </format>
    <format dxfId="105">
      <pivotArea dataOnly="0" labelOnly="1" grandRow="1" outline="0" fieldPosition="0"/>
    </format>
    <format dxfId="104">
      <pivotArea dataOnly="0" labelOnly="1" outline="0" axis="axisValues" fieldPosition="0"/>
    </format>
    <format dxfId="103">
      <pivotArea type="all" dataOnly="0" outline="0" fieldPosition="0"/>
    </format>
    <format dxfId="102">
      <pivotArea outline="0" collapsedLevelsAreSubtotals="1" fieldPosition="0"/>
    </format>
    <format dxfId="101">
      <pivotArea field="7" type="button" dataOnly="0" labelOnly="1" outline="0" axis="axisRow" fieldPosition="0"/>
    </format>
    <format dxfId="100">
      <pivotArea dataOnly="0" labelOnly="1" fieldPosition="0">
        <references count="1">
          <reference field="7" count="0"/>
        </references>
      </pivotArea>
    </format>
    <format dxfId="99">
      <pivotArea dataOnly="0" labelOnly="1" grandRow="1" outline="0" fieldPosition="0"/>
    </format>
    <format dxfId="98">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7" count="1" selected="0">
            <x v="0"/>
          </reference>
        </references>
      </pivotArea>
    </chartFormat>
    <chartFormat chart="2" format="12">
      <pivotArea type="data" outline="0" fieldPosition="0">
        <references count="2">
          <reference field="4294967294" count="1" selected="0">
            <x v="0"/>
          </reference>
          <reference field="7" count="1" selected="0">
            <x v="1"/>
          </reference>
        </references>
      </pivotArea>
    </chartFormat>
    <chartFormat chart="2" format="13">
      <pivotArea type="data" outline="0" fieldPosition="0">
        <references count="2">
          <reference field="4294967294" count="1" selected="0">
            <x v="0"/>
          </reference>
          <reference field="7" count="1" selected="0">
            <x v="2"/>
          </reference>
        </references>
      </pivotArea>
    </chartFormat>
    <chartFormat chart="2" format="14">
      <pivotArea type="data" outline="0" fieldPosition="0">
        <references count="2">
          <reference field="4294967294" count="1" selected="0">
            <x v="0"/>
          </reference>
          <reference field="7"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7" count="1" selected="0">
            <x v="0"/>
          </reference>
        </references>
      </pivotArea>
    </chartFormat>
    <chartFormat chart="4" format="12">
      <pivotArea type="data" outline="0" fieldPosition="0">
        <references count="2">
          <reference field="4294967294" count="1" selected="0">
            <x v="0"/>
          </reference>
          <reference field="7" count="1" selected="0">
            <x v="1"/>
          </reference>
        </references>
      </pivotArea>
    </chartFormat>
    <chartFormat chart="4" format="13">
      <pivotArea type="data" outline="0" fieldPosition="0">
        <references count="2">
          <reference field="4294967294" count="1" selected="0">
            <x v="0"/>
          </reference>
          <reference field="7" count="1" selected="0">
            <x v="2"/>
          </reference>
        </references>
      </pivotArea>
    </chartFormat>
    <chartFormat chart="4" format="14">
      <pivotArea type="data" outline="0" fieldPosition="0">
        <references count="2">
          <reference field="4294967294" count="1" selected="0">
            <x v="0"/>
          </reference>
          <reference field="7" count="1" selected="0">
            <x v="3"/>
          </reference>
        </references>
      </pivotArea>
    </chartFormat>
    <chartFormat chart="6" format="20"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7" count="1" selected="0">
            <x v="0"/>
          </reference>
        </references>
      </pivotArea>
    </chartFormat>
    <chartFormat chart="6" format="22">
      <pivotArea type="data" outline="0" fieldPosition="0">
        <references count="2">
          <reference field="4294967294" count="1" selected="0">
            <x v="0"/>
          </reference>
          <reference field="7" count="1" selected="0">
            <x v="1"/>
          </reference>
        </references>
      </pivotArea>
    </chartFormat>
    <chartFormat chart="6" format="23">
      <pivotArea type="data" outline="0" fieldPosition="0">
        <references count="2">
          <reference field="4294967294" count="1" selected="0">
            <x v="0"/>
          </reference>
          <reference field="7" count="1" selected="0">
            <x v="2"/>
          </reference>
        </references>
      </pivotArea>
    </chartFormat>
    <chartFormat chart="6" format="2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11D68A-3F64-412A-9006-AF495FCF441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D7" firstHeaderRow="0" firstDataRow="1" firstDataCol="1"/>
  <pivotFields count="9">
    <pivotField showAll="0"/>
    <pivotField numFmtId="2" showAll="0"/>
    <pivotField numFmtId="2" showAll="0"/>
    <pivotField numFmtId="2" showAll="0"/>
    <pivotField numFmtId="9" showAll="0"/>
    <pivotField dataField="1" showAll="0"/>
    <pivotField dataField="1" showAll="0"/>
    <pivotField showAll="0">
      <items count="5">
        <item x="1"/>
        <item x="0"/>
        <item x="2"/>
        <item x="3"/>
        <item t="default"/>
      </items>
    </pivotField>
    <pivotField axis="axisRow" showAll="0">
      <items count="4">
        <item x="1"/>
        <item x="2"/>
        <item x="0"/>
        <item t="default"/>
      </items>
    </pivotField>
  </pivotFields>
  <rowFields count="1">
    <field x="8"/>
  </rowFields>
  <rowItems count="4">
    <i>
      <x/>
    </i>
    <i>
      <x v="1"/>
    </i>
    <i>
      <x v="2"/>
    </i>
    <i t="grand">
      <x/>
    </i>
  </rowItems>
  <colFields count="1">
    <field x="-2"/>
  </colFields>
  <colItems count="3">
    <i>
      <x/>
    </i>
    <i i="1">
      <x v="1"/>
    </i>
    <i i="2">
      <x v="2"/>
    </i>
  </colItems>
  <dataFields count="3">
    <dataField name="Count of Review" fld="5" subtotal="count" baseField="8" baseItem="1"/>
    <dataField name="Average of Rating" fld="6" subtotal="average" baseField="8" baseItem="0" numFmtId="2"/>
    <dataField name="Average of Review" fld="5" subtotal="average" baseField="8" baseItem="1" numFmtId="2"/>
  </dataFields>
  <formats count="14">
    <format dxfId="97">
      <pivotArea outline="0" collapsedLevelsAreSubtotals="1" fieldPosition="0">
        <references count="1">
          <reference field="4294967294" count="1" selected="0">
            <x v="1"/>
          </reference>
        </references>
      </pivotArea>
    </format>
    <format dxfId="96">
      <pivotArea type="all" dataOnly="0" outline="0" fieldPosition="0"/>
    </format>
    <format dxfId="95">
      <pivotArea outline="0" collapsedLevelsAreSubtotals="1" fieldPosition="0"/>
    </format>
    <format dxfId="94">
      <pivotArea field="8" type="button" dataOnly="0" labelOnly="1" outline="0" axis="axisRow" fieldPosition="0"/>
    </format>
    <format dxfId="93">
      <pivotArea dataOnly="0" labelOnly="1" fieldPosition="0">
        <references count="1">
          <reference field="8" count="0"/>
        </references>
      </pivotArea>
    </format>
    <format dxfId="92">
      <pivotArea dataOnly="0" labelOnly="1" grandRow="1" outline="0" fieldPosition="0"/>
    </format>
    <format dxfId="91">
      <pivotArea dataOnly="0" labelOnly="1" outline="0" fieldPosition="0">
        <references count="1">
          <reference field="4294967294" count="2">
            <x v="0"/>
            <x v="1"/>
          </reference>
        </references>
      </pivotArea>
    </format>
    <format dxfId="90">
      <pivotArea type="all" dataOnly="0" outline="0" fieldPosition="0"/>
    </format>
    <format dxfId="89">
      <pivotArea outline="0" collapsedLevelsAreSubtotals="1" fieldPosition="0"/>
    </format>
    <format dxfId="88">
      <pivotArea field="8" type="button" dataOnly="0" labelOnly="1" outline="0" axis="axisRow" fieldPosition="0"/>
    </format>
    <format dxfId="87">
      <pivotArea dataOnly="0" labelOnly="1" fieldPosition="0">
        <references count="1">
          <reference field="8" count="0"/>
        </references>
      </pivotArea>
    </format>
    <format dxfId="86">
      <pivotArea dataOnly="0" labelOnly="1" grandRow="1" outline="0" fieldPosition="0"/>
    </format>
    <format dxfId="85">
      <pivotArea dataOnly="0" labelOnly="1" outline="0" fieldPosition="0">
        <references count="1">
          <reference field="4294967294" count="2">
            <x v="0"/>
            <x v="1"/>
          </reference>
        </references>
      </pivotArea>
    </format>
    <format dxfId="84">
      <pivotArea outline="0" collapsedLevelsAreSubtotals="1" fieldPosition="0">
        <references count="1">
          <reference field="4294967294" count="1" selected="0">
            <x v="2"/>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Based_on_Discount" xr10:uid="{B4FA5A4B-87DE-4E60-9DC9-CABD8A00374A}" sourceName="Category Based on Discount">
  <pivotTables>
    <pivotTable tabId="6" name="PivotTable2"/>
    <pivotTable tabId="5" name="PivotTable1"/>
    <pivotTable tabId="4" name="PivotTable1"/>
  </pivotTables>
  <data>
    <tabular pivotCacheId="133797357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88B55AE0-86F1-4CAF-9A75-DBF2A10D8C61}" sourceName="Rating Category">
  <pivotTables>
    <pivotTable tabId="6" name="PivotTable2"/>
    <pivotTable tabId="5" name="PivotTable1"/>
    <pivotTable tabId="4" name="PivotTable1"/>
  </pivotTables>
  <data>
    <tabular pivotCacheId="1337973579">
      <items count="4">
        <i x="1" s="1"/>
        <i x="0" s="1"/>
        <i x="3"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Based on Discount 1" xr10:uid="{F16CD2C3-8F1B-4E0A-BF0A-FEEEE1262AB3}" cache="Slicer_Category_Based_on_Discount" caption="Category Based on Discou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Based on Discount" xr10:uid="{648B96C4-0C87-486F-B7BE-68FA720805BF}" cache="Slicer_Category_Based_on_Discount" caption="Category Based on Discount" rowHeight="234950"/>
  <slicer name="Rating Category" xr10:uid="{C248910C-5A7E-4AFF-A89A-2E66AAB6A157}" cache="Slicer_Rating_Category" caption="Rating 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Based on Discount 2" xr10:uid="{C5FC6A29-46F4-4FAB-B5E4-251313352CF8}" cache="Slicer_Category_Based_on_Discount" caption="Category Based on Discount" rowHeight="234950"/>
  <slicer name="Rating Category 1" xr10:uid="{1B1BA43C-B7E3-4F8F-A9B1-48510E5234BF}" cache="Slicer_Rating_Category" caption="Rating 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CF5BD-D788-43BE-BB33-2965A37AC7EC}">
  <dimension ref="A3:B7"/>
  <sheetViews>
    <sheetView workbookViewId="0">
      <selection activeCell="B5" sqref="B5"/>
    </sheetView>
  </sheetViews>
  <sheetFormatPr defaultRowHeight="15.6" x14ac:dyDescent="0.3"/>
  <cols>
    <col min="1" max="1" width="16.6640625" style="2" bestFit="1" customWidth="1"/>
    <col min="2" max="2" width="19.21875" style="2" bestFit="1" customWidth="1"/>
    <col min="3" max="8" width="2" style="2" bestFit="1" customWidth="1"/>
    <col min="9" max="24" width="3" style="2" bestFit="1" customWidth="1"/>
    <col min="25" max="25" width="7" style="2" bestFit="1" customWidth="1"/>
    <col min="26" max="26" width="10.77734375" style="2" bestFit="1" customWidth="1"/>
    <col min="27" max="46" width="15.5546875" style="2" bestFit="1" customWidth="1"/>
    <col min="47" max="47" width="10.77734375" style="2" bestFit="1" customWidth="1"/>
    <col min="48" max="48" width="7.6640625" style="2" bestFit="1" customWidth="1"/>
    <col min="49" max="49" width="12.5546875" style="2" bestFit="1" customWidth="1"/>
    <col min="50" max="50" width="7.6640625" style="2" bestFit="1" customWidth="1"/>
    <col min="51" max="51" width="16" style="2" bestFit="1" customWidth="1"/>
    <col min="52" max="52" width="7.6640625" style="2" bestFit="1" customWidth="1"/>
    <col min="53" max="53" width="12.5546875" style="2" bestFit="1" customWidth="1"/>
    <col min="54" max="54" width="7.6640625" style="2" bestFit="1" customWidth="1"/>
    <col min="55" max="55" width="16" style="2" bestFit="1" customWidth="1"/>
    <col min="56" max="56" width="7.6640625" style="2" bestFit="1" customWidth="1"/>
    <col min="57" max="57" width="16" style="2" bestFit="1" customWidth="1"/>
    <col min="58" max="58" width="7.6640625" style="2" bestFit="1" customWidth="1"/>
    <col min="59" max="59" width="12.5546875" style="2" bestFit="1" customWidth="1"/>
    <col min="60" max="60" width="7.6640625" style="2" bestFit="1" customWidth="1"/>
    <col min="61" max="61" width="12.5546875" style="2" bestFit="1" customWidth="1"/>
    <col min="62" max="62" width="12.21875" style="2" bestFit="1" customWidth="1"/>
    <col min="63" max="63" width="16" style="2" bestFit="1" customWidth="1"/>
    <col min="64" max="64" width="11.6640625" style="2" bestFit="1" customWidth="1"/>
    <col min="65" max="65" width="10.77734375" style="2" bestFit="1" customWidth="1"/>
    <col min="66" max="16384" width="8.88671875" style="2"/>
  </cols>
  <sheetData>
    <row r="3" spans="1:2" x14ac:dyDescent="0.3">
      <c r="A3" s="16" t="s">
        <v>129</v>
      </c>
      <c r="B3" s="2" t="s">
        <v>131</v>
      </c>
    </row>
    <row r="4" spans="1:2" x14ac:dyDescent="0.3">
      <c r="A4" s="17" t="s">
        <v>126</v>
      </c>
      <c r="B4" s="5">
        <v>9.5</v>
      </c>
    </row>
    <row r="5" spans="1:2" x14ac:dyDescent="0.3">
      <c r="A5" s="17" t="s">
        <v>125</v>
      </c>
      <c r="B5" s="5">
        <v>15.260869565217391</v>
      </c>
    </row>
    <row r="6" spans="1:2" x14ac:dyDescent="0.3">
      <c r="A6" s="17" t="s">
        <v>127</v>
      </c>
      <c r="B6" s="5">
        <v>11.133333333333333</v>
      </c>
    </row>
    <row r="7" spans="1:2" x14ac:dyDescent="0.3">
      <c r="A7" s="17" t="s">
        <v>130</v>
      </c>
      <c r="B7" s="5">
        <v>12.684210526315789</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0DD0B-F556-4D2C-9D2C-6DB1AC1EAF76}">
  <dimension ref="A3:B8"/>
  <sheetViews>
    <sheetView workbookViewId="0">
      <selection activeCell="B5" sqref="B5"/>
    </sheetView>
  </sheetViews>
  <sheetFormatPr defaultRowHeight="15.6" x14ac:dyDescent="0.3"/>
  <cols>
    <col min="1" max="1" width="14.21875" style="2" bestFit="1" customWidth="1"/>
    <col min="2" max="2" width="19.21875" style="2" bestFit="1" customWidth="1"/>
    <col min="3" max="16384" width="8.88671875" style="2"/>
  </cols>
  <sheetData>
    <row r="3" spans="1:2" x14ac:dyDescent="0.3">
      <c r="A3" s="16" t="s">
        <v>129</v>
      </c>
      <c r="B3" s="2" t="s">
        <v>131</v>
      </c>
    </row>
    <row r="4" spans="1:2" x14ac:dyDescent="0.3">
      <c r="A4" s="17" t="s">
        <v>121</v>
      </c>
      <c r="B4" s="5">
        <v>14.083333333333334</v>
      </c>
    </row>
    <row r="5" spans="1:2" x14ac:dyDescent="0.3">
      <c r="A5" s="17" t="s">
        <v>122</v>
      </c>
      <c r="B5" s="5">
        <v>10.136363636363637</v>
      </c>
    </row>
    <row r="6" spans="1:2" x14ac:dyDescent="0.3">
      <c r="A6" s="17" t="s">
        <v>123</v>
      </c>
      <c r="B6" s="5">
        <v>14.391304347826088</v>
      </c>
    </row>
    <row r="7" spans="1:2" x14ac:dyDescent="0.3">
      <c r="A7" s="17" t="s">
        <v>124</v>
      </c>
      <c r="B7" s="5"/>
    </row>
    <row r="8" spans="1:2" x14ac:dyDescent="0.3">
      <c r="A8" s="17" t="s">
        <v>130</v>
      </c>
      <c r="B8" s="5">
        <v>12.684210526315789</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B1087-9A65-4A0D-AC62-F1A349DFEDB2}">
  <dimension ref="A3:D7"/>
  <sheetViews>
    <sheetView workbookViewId="0">
      <selection activeCell="D11" sqref="D11"/>
    </sheetView>
  </sheetViews>
  <sheetFormatPr defaultColWidth="16.6640625" defaultRowHeight="15.6" x14ac:dyDescent="0.3"/>
  <cols>
    <col min="1" max="1" width="16.6640625" style="2" bestFit="1" customWidth="1"/>
    <col min="2" max="2" width="16.77734375" style="2" bestFit="1" customWidth="1"/>
    <col min="3" max="3" width="18.44140625" style="2" bestFit="1" customWidth="1"/>
    <col min="4" max="4" width="19.21875" style="2" bestFit="1" customWidth="1"/>
    <col min="5" max="16384" width="16.6640625" style="2"/>
  </cols>
  <sheetData>
    <row r="3" spans="1:4" x14ac:dyDescent="0.3">
      <c r="A3" s="16" t="s">
        <v>129</v>
      </c>
      <c r="B3" s="2" t="s">
        <v>137</v>
      </c>
      <c r="C3" s="2" t="s">
        <v>136</v>
      </c>
      <c r="D3" s="2" t="s">
        <v>131</v>
      </c>
    </row>
    <row r="4" spans="1:4" x14ac:dyDescent="0.3">
      <c r="A4" s="17" t="s">
        <v>127</v>
      </c>
      <c r="B4" s="18">
        <v>30</v>
      </c>
      <c r="C4" s="5">
        <v>3.6133333333333324</v>
      </c>
      <c r="D4" s="5">
        <v>11.133333333333333</v>
      </c>
    </row>
    <row r="5" spans="1:4" x14ac:dyDescent="0.3">
      <c r="A5" s="17" t="s">
        <v>126</v>
      </c>
      <c r="B5" s="18">
        <v>4</v>
      </c>
      <c r="C5" s="5">
        <v>3.7249999999999996</v>
      </c>
      <c r="D5" s="5">
        <v>9.5</v>
      </c>
    </row>
    <row r="6" spans="1:4" x14ac:dyDescent="0.3">
      <c r="A6" s="17" t="s">
        <v>125</v>
      </c>
      <c r="B6" s="18">
        <v>23</v>
      </c>
      <c r="C6" s="5">
        <v>4.2782608695652184</v>
      </c>
      <c r="D6" s="5">
        <v>15.260869565217391</v>
      </c>
    </row>
    <row r="7" spans="1:4" x14ac:dyDescent="0.3">
      <c r="A7" s="17" t="s">
        <v>130</v>
      </c>
      <c r="B7" s="18">
        <v>57</v>
      </c>
      <c r="C7" s="5">
        <v>3.8894736842105253</v>
      </c>
      <c r="D7" s="5">
        <v>12.684210526315789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6"/>
  <sheetViews>
    <sheetView workbookViewId="0">
      <pane ySplit="1" topLeftCell="A2" activePane="bottomLeft" state="frozen"/>
      <selection activeCell="B1" sqref="B1"/>
      <selection pane="bottomLeft"/>
    </sheetView>
  </sheetViews>
  <sheetFormatPr defaultRowHeight="15.6" x14ac:dyDescent="0.3"/>
  <cols>
    <col min="1" max="1" width="87.88671875" style="2" bestFit="1" customWidth="1"/>
    <col min="2" max="3" width="18.33203125" style="5" bestFit="1" customWidth="1"/>
    <col min="4" max="4" width="18.33203125" style="5" customWidth="1"/>
    <col min="5" max="5" width="11.33203125" style="2" bestFit="1" customWidth="1"/>
    <col min="6" max="6" width="8.44140625" style="2" customWidth="1"/>
    <col min="7" max="7" width="10.44140625" style="8" bestFit="1" customWidth="1"/>
    <col min="8" max="8" width="16.6640625" style="2" bestFit="1" customWidth="1"/>
    <col min="9" max="9" width="29.77734375" style="2" customWidth="1"/>
    <col min="10" max="16384" width="8.88671875" style="2"/>
  </cols>
  <sheetData>
    <row r="1" spans="1:9" s="1" customFormat="1" ht="24.6" customHeight="1" x14ac:dyDescent="0.3">
      <c r="A1" s="1" t="s">
        <v>0</v>
      </c>
      <c r="B1" s="4" t="s">
        <v>1</v>
      </c>
      <c r="C1" s="4" t="s">
        <v>112</v>
      </c>
      <c r="D1" s="4" t="s">
        <v>115</v>
      </c>
      <c r="E1" s="1" t="s">
        <v>2</v>
      </c>
      <c r="F1" s="10" t="s">
        <v>3</v>
      </c>
      <c r="G1" s="7" t="s">
        <v>113</v>
      </c>
      <c r="H1" s="1" t="s">
        <v>116</v>
      </c>
      <c r="I1" s="12" t="s">
        <v>117</v>
      </c>
    </row>
    <row r="2" spans="1:9" x14ac:dyDescent="0.3">
      <c r="A2" s="2" t="s">
        <v>64</v>
      </c>
      <c r="B2" s="5">
        <v>445</v>
      </c>
      <c r="C2" s="5">
        <v>873</v>
      </c>
      <c r="D2" s="5">
        <f t="shared" ref="D2:D33" si="0">C2-B2</f>
        <v>428</v>
      </c>
      <c r="E2" s="3">
        <v>0.49</v>
      </c>
      <c r="F2" s="2">
        <v>69</v>
      </c>
      <c r="G2" s="8">
        <v>2.8</v>
      </c>
      <c r="H2" s="2" t="str">
        <f t="shared" ref="H2:H33" si="1">IF(G2="","N/A",IF(G2&lt;3,"Poor",IF(G2&gt;=4.5,"Excellent","Average")))</f>
        <v>Poor</v>
      </c>
      <c r="I2" s="2" t="str">
        <f t="shared" ref="I2:I33" si="2">IF(E2&lt;20%,"Low Discount",IF(E2&gt;40%,"High Discount","Medium Discount"))</f>
        <v>High Discount</v>
      </c>
    </row>
    <row r="3" spans="1:9" x14ac:dyDescent="0.3">
      <c r="A3" s="2" t="s">
        <v>10</v>
      </c>
      <c r="B3" s="5">
        <v>2319</v>
      </c>
      <c r="C3" s="5">
        <v>3032</v>
      </c>
      <c r="D3" s="5">
        <f t="shared" si="0"/>
        <v>713</v>
      </c>
      <c r="E3" s="3">
        <v>0.24</v>
      </c>
      <c r="F3" s="2">
        <v>55</v>
      </c>
      <c r="G3" s="8">
        <v>4.5999999999999996</v>
      </c>
      <c r="H3" s="2" t="str">
        <f t="shared" si="1"/>
        <v>Excellent</v>
      </c>
      <c r="I3" s="2" t="str">
        <f t="shared" si="2"/>
        <v>Medium Discount</v>
      </c>
    </row>
    <row r="4" spans="1:9" x14ac:dyDescent="0.3">
      <c r="A4" s="2" t="s">
        <v>29</v>
      </c>
      <c r="B4" s="5">
        <v>420</v>
      </c>
      <c r="C4" s="5">
        <v>647</v>
      </c>
      <c r="D4" s="5">
        <f t="shared" si="0"/>
        <v>227</v>
      </c>
      <c r="E4" s="3">
        <v>0.35</v>
      </c>
      <c r="F4" s="2">
        <v>49</v>
      </c>
      <c r="G4" s="8">
        <v>4.5999999999999996</v>
      </c>
      <c r="H4" s="2" t="str">
        <f t="shared" si="1"/>
        <v>Excellent</v>
      </c>
      <c r="I4" s="2" t="str">
        <f t="shared" si="2"/>
        <v>Medium Discount</v>
      </c>
    </row>
    <row r="5" spans="1:9" x14ac:dyDescent="0.3">
      <c r="A5" s="2" t="s">
        <v>23</v>
      </c>
      <c r="B5" s="5">
        <v>998</v>
      </c>
      <c r="C5" s="5">
        <v>1966</v>
      </c>
      <c r="D5" s="5">
        <f t="shared" si="0"/>
        <v>968</v>
      </c>
      <c r="E5" s="3">
        <v>0.49</v>
      </c>
      <c r="F5" s="2">
        <v>44</v>
      </c>
      <c r="G5" s="8">
        <v>4.5999999999999996</v>
      </c>
      <c r="H5" s="2" t="str">
        <f t="shared" si="1"/>
        <v>Excellent</v>
      </c>
      <c r="I5" s="2" t="str">
        <f t="shared" si="2"/>
        <v>High Discount</v>
      </c>
    </row>
    <row r="6" spans="1:9" x14ac:dyDescent="0.3">
      <c r="A6" s="2" t="s">
        <v>15</v>
      </c>
      <c r="B6" s="5">
        <v>990</v>
      </c>
      <c r="C6" s="5">
        <v>1500</v>
      </c>
      <c r="D6" s="5">
        <f t="shared" si="0"/>
        <v>510</v>
      </c>
      <c r="E6" s="3">
        <v>0.34</v>
      </c>
      <c r="F6" s="2">
        <v>39</v>
      </c>
      <c r="G6" s="8">
        <v>4.7</v>
      </c>
      <c r="H6" s="2" t="str">
        <f t="shared" si="1"/>
        <v>Excellent</v>
      </c>
      <c r="I6" s="2" t="str">
        <f t="shared" si="2"/>
        <v>Medium Discount</v>
      </c>
    </row>
    <row r="7" spans="1:9" x14ac:dyDescent="0.3">
      <c r="A7" s="2" t="s">
        <v>40</v>
      </c>
      <c r="B7" s="5">
        <v>389</v>
      </c>
      <c r="C7" s="5">
        <v>656</v>
      </c>
      <c r="D7" s="5">
        <f t="shared" si="0"/>
        <v>267</v>
      </c>
      <c r="E7" s="3">
        <v>0.41</v>
      </c>
      <c r="F7" s="2">
        <v>36</v>
      </c>
      <c r="G7" s="8">
        <v>4.3</v>
      </c>
      <c r="H7" s="2" t="str">
        <f t="shared" si="1"/>
        <v>Average</v>
      </c>
      <c r="I7" s="2" t="str">
        <f t="shared" si="2"/>
        <v>High Discount</v>
      </c>
    </row>
    <row r="8" spans="1:9" x14ac:dyDescent="0.3">
      <c r="A8" s="2" t="s">
        <v>37</v>
      </c>
      <c r="B8" s="5">
        <v>1980</v>
      </c>
      <c r="C8" s="5">
        <v>2699</v>
      </c>
      <c r="D8" s="5">
        <f t="shared" si="0"/>
        <v>719</v>
      </c>
      <c r="E8" s="3">
        <v>0.27</v>
      </c>
      <c r="F8" s="2">
        <v>32</v>
      </c>
      <c r="G8" s="8">
        <v>4.5</v>
      </c>
      <c r="H8" s="2" t="str">
        <f t="shared" si="1"/>
        <v>Excellent</v>
      </c>
      <c r="I8" s="2" t="str">
        <f t="shared" si="2"/>
        <v>Medium Discount</v>
      </c>
    </row>
    <row r="9" spans="1:9" x14ac:dyDescent="0.3">
      <c r="A9" s="2" t="s">
        <v>6</v>
      </c>
      <c r="B9" s="5">
        <v>2199</v>
      </c>
      <c r="C9" s="5">
        <v>2923</v>
      </c>
      <c r="D9" s="5">
        <f t="shared" si="0"/>
        <v>724</v>
      </c>
      <c r="E9" s="3">
        <v>0.25</v>
      </c>
      <c r="F9" s="2">
        <v>24</v>
      </c>
      <c r="G9" s="8">
        <v>4.5999999999999996</v>
      </c>
      <c r="H9" s="2" t="str">
        <f t="shared" si="1"/>
        <v>Excellent</v>
      </c>
      <c r="I9" s="2" t="str">
        <f t="shared" si="2"/>
        <v>Medium Discount</v>
      </c>
    </row>
    <row r="10" spans="1:9" x14ac:dyDescent="0.3">
      <c r="A10" s="2" t="s">
        <v>32</v>
      </c>
      <c r="B10" s="5">
        <v>1758</v>
      </c>
      <c r="C10" s="5">
        <v>2499</v>
      </c>
      <c r="D10" s="5">
        <f t="shared" si="0"/>
        <v>741</v>
      </c>
      <c r="E10" s="3">
        <v>0.3</v>
      </c>
      <c r="F10" s="2">
        <v>20</v>
      </c>
      <c r="G10" s="8">
        <v>4.0999999999999996</v>
      </c>
      <c r="H10" s="2" t="str">
        <f t="shared" si="1"/>
        <v>Average</v>
      </c>
      <c r="I10" s="2" t="str">
        <f t="shared" si="2"/>
        <v>Medium Discount</v>
      </c>
    </row>
    <row r="11" spans="1:9" x14ac:dyDescent="0.3">
      <c r="A11" s="2" t="s">
        <v>36</v>
      </c>
      <c r="B11" s="5">
        <v>1940</v>
      </c>
      <c r="C11" s="5">
        <v>2650</v>
      </c>
      <c r="D11" s="5">
        <f t="shared" si="0"/>
        <v>710</v>
      </c>
      <c r="E11" s="3">
        <v>0.27</v>
      </c>
      <c r="F11" s="2">
        <v>20</v>
      </c>
      <c r="G11" s="8">
        <v>4.7</v>
      </c>
      <c r="H11" s="2" t="str">
        <f t="shared" si="1"/>
        <v>Excellent</v>
      </c>
      <c r="I11" s="2" t="str">
        <f t="shared" si="2"/>
        <v>Medium Discount</v>
      </c>
    </row>
    <row r="12" spans="1:9" x14ac:dyDescent="0.3">
      <c r="A12" s="2" t="s">
        <v>70</v>
      </c>
      <c r="B12" s="5">
        <v>382</v>
      </c>
      <c r="C12" s="5">
        <v>700</v>
      </c>
      <c r="D12" s="5">
        <f t="shared" si="0"/>
        <v>318</v>
      </c>
      <c r="E12" s="3">
        <v>0.45</v>
      </c>
      <c r="F12" s="2">
        <v>17</v>
      </c>
      <c r="G12" s="8">
        <v>2.6</v>
      </c>
      <c r="H12" s="2" t="str">
        <f t="shared" si="1"/>
        <v>Poor</v>
      </c>
      <c r="I12" s="2" t="str">
        <f t="shared" si="2"/>
        <v>High Discount</v>
      </c>
    </row>
    <row r="13" spans="1:9" x14ac:dyDescent="0.3">
      <c r="A13" s="2" t="s">
        <v>66</v>
      </c>
      <c r="B13" s="5">
        <v>1220</v>
      </c>
      <c r="C13" s="5">
        <v>1555</v>
      </c>
      <c r="D13" s="5">
        <f t="shared" si="0"/>
        <v>335</v>
      </c>
      <c r="E13" s="3">
        <v>0.22</v>
      </c>
      <c r="F13" s="2">
        <v>16</v>
      </c>
      <c r="G13" s="8">
        <v>2.9</v>
      </c>
      <c r="H13" s="2" t="str">
        <f t="shared" si="1"/>
        <v>Poor</v>
      </c>
      <c r="I13" s="2" t="str">
        <f t="shared" si="2"/>
        <v>Medium Discount</v>
      </c>
    </row>
    <row r="14" spans="1:9" x14ac:dyDescent="0.3">
      <c r="A14" s="2" t="s">
        <v>65</v>
      </c>
      <c r="B14" s="5">
        <v>325</v>
      </c>
      <c r="C14" s="5">
        <v>680</v>
      </c>
      <c r="D14" s="5">
        <f t="shared" si="0"/>
        <v>355</v>
      </c>
      <c r="E14" s="3">
        <v>0.52</v>
      </c>
      <c r="F14" s="2">
        <v>15</v>
      </c>
      <c r="G14" s="8">
        <v>2.7</v>
      </c>
      <c r="H14" s="2" t="str">
        <f t="shared" si="1"/>
        <v>Poor</v>
      </c>
      <c r="I14" s="2" t="str">
        <f t="shared" si="2"/>
        <v>High Discount</v>
      </c>
    </row>
    <row r="15" spans="1:9" x14ac:dyDescent="0.3">
      <c r="A15" s="2" t="s">
        <v>9</v>
      </c>
      <c r="B15" s="5">
        <v>2999</v>
      </c>
      <c r="C15" s="5">
        <v>3290</v>
      </c>
      <c r="D15" s="5">
        <f t="shared" si="0"/>
        <v>291</v>
      </c>
      <c r="E15" s="3">
        <v>0.09</v>
      </c>
      <c r="F15" s="2">
        <v>15</v>
      </c>
      <c r="G15" s="8">
        <v>4</v>
      </c>
      <c r="H15" s="2" t="str">
        <f t="shared" si="1"/>
        <v>Average</v>
      </c>
      <c r="I15" s="2" t="str">
        <f t="shared" si="2"/>
        <v>Low Discount</v>
      </c>
    </row>
    <row r="16" spans="1:9" x14ac:dyDescent="0.3">
      <c r="A16" s="2" t="s">
        <v>5</v>
      </c>
      <c r="B16" s="5">
        <v>527</v>
      </c>
      <c r="C16" s="5">
        <v>999</v>
      </c>
      <c r="D16" s="5">
        <f t="shared" si="0"/>
        <v>472</v>
      </c>
      <c r="E16" s="3">
        <v>0.47</v>
      </c>
      <c r="F16" s="2">
        <v>14</v>
      </c>
      <c r="G16" s="8">
        <v>4.0999999999999996</v>
      </c>
      <c r="H16" s="2" t="str">
        <f t="shared" si="1"/>
        <v>Average</v>
      </c>
      <c r="I16" s="2" t="str">
        <f t="shared" si="2"/>
        <v>High Discount</v>
      </c>
    </row>
    <row r="17" spans="1:9" x14ac:dyDescent="0.3">
      <c r="A17" s="2" t="s">
        <v>27</v>
      </c>
      <c r="B17" s="5">
        <v>1650</v>
      </c>
      <c r="C17" s="5">
        <v>2150</v>
      </c>
      <c r="D17" s="5">
        <f t="shared" si="0"/>
        <v>500</v>
      </c>
      <c r="E17" s="3">
        <v>0.23</v>
      </c>
      <c r="F17" s="2">
        <v>14</v>
      </c>
      <c r="G17" s="8">
        <v>4.4000000000000004</v>
      </c>
      <c r="H17" s="2" t="str">
        <f t="shared" si="1"/>
        <v>Average</v>
      </c>
      <c r="I17" s="2" t="str">
        <f t="shared" si="2"/>
        <v>Medium Discount</v>
      </c>
    </row>
    <row r="18" spans="1:9" x14ac:dyDescent="0.3">
      <c r="A18" s="2" t="s">
        <v>63</v>
      </c>
      <c r="B18" s="5">
        <v>2115</v>
      </c>
      <c r="C18" s="5">
        <v>4700</v>
      </c>
      <c r="D18" s="5">
        <f t="shared" si="0"/>
        <v>2585</v>
      </c>
      <c r="E18" s="3">
        <v>0.55000000000000004</v>
      </c>
      <c r="F18" s="2">
        <v>13</v>
      </c>
      <c r="G18" s="8">
        <v>2.1</v>
      </c>
      <c r="H18" s="2" t="str">
        <f t="shared" si="1"/>
        <v>Poor</v>
      </c>
      <c r="I18" s="2" t="str">
        <f t="shared" si="2"/>
        <v>High Discount</v>
      </c>
    </row>
    <row r="19" spans="1:9" x14ac:dyDescent="0.3">
      <c r="A19" s="2" t="s">
        <v>24</v>
      </c>
      <c r="B19" s="5">
        <v>38</v>
      </c>
      <c r="C19" s="5">
        <v>80</v>
      </c>
      <c r="D19" s="5">
        <f t="shared" si="0"/>
        <v>42</v>
      </c>
      <c r="E19" s="3">
        <v>0.53</v>
      </c>
      <c r="F19" s="2">
        <v>13</v>
      </c>
      <c r="G19" s="8">
        <v>3.3</v>
      </c>
      <c r="H19" s="2" t="str">
        <f t="shared" si="1"/>
        <v>Average</v>
      </c>
      <c r="I19" s="2" t="str">
        <f t="shared" si="2"/>
        <v>High Discount</v>
      </c>
    </row>
    <row r="20" spans="1:9" x14ac:dyDescent="0.3">
      <c r="A20" s="2" t="s">
        <v>31</v>
      </c>
      <c r="B20" s="5">
        <v>1350</v>
      </c>
      <c r="C20" s="5">
        <v>1990</v>
      </c>
      <c r="D20" s="5">
        <f t="shared" si="0"/>
        <v>640</v>
      </c>
      <c r="E20" s="3">
        <v>0.32</v>
      </c>
      <c r="F20" s="2">
        <v>13</v>
      </c>
      <c r="G20" s="8">
        <v>3.8</v>
      </c>
      <c r="H20" s="2" t="str">
        <f t="shared" si="1"/>
        <v>Average</v>
      </c>
      <c r="I20" s="2" t="str">
        <f t="shared" si="2"/>
        <v>Medium Discount</v>
      </c>
    </row>
    <row r="21" spans="1:9" x14ac:dyDescent="0.3">
      <c r="A21" s="2" t="s">
        <v>16</v>
      </c>
      <c r="B21" s="5">
        <v>552</v>
      </c>
      <c r="C21" s="5">
        <v>1035</v>
      </c>
      <c r="D21" s="5">
        <f t="shared" si="0"/>
        <v>483</v>
      </c>
      <c r="E21" s="3">
        <v>0.47</v>
      </c>
      <c r="F21" s="2">
        <v>12</v>
      </c>
      <c r="G21" s="8">
        <v>4.8</v>
      </c>
      <c r="H21" s="2" t="str">
        <f t="shared" si="1"/>
        <v>Excellent</v>
      </c>
      <c r="I21" s="2" t="str">
        <f t="shared" si="2"/>
        <v>High Discount</v>
      </c>
    </row>
    <row r="22" spans="1:9" x14ac:dyDescent="0.3">
      <c r="A22" s="2" t="s">
        <v>34</v>
      </c>
      <c r="B22" s="5">
        <v>980</v>
      </c>
      <c r="C22" s="5">
        <v>1490</v>
      </c>
      <c r="D22" s="5">
        <f t="shared" si="0"/>
        <v>510</v>
      </c>
      <c r="E22" s="3">
        <v>0.34</v>
      </c>
      <c r="F22" s="2">
        <v>12</v>
      </c>
      <c r="G22" s="8">
        <v>4.7</v>
      </c>
      <c r="H22" s="2" t="str">
        <f t="shared" si="1"/>
        <v>Excellent</v>
      </c>
      <c r="I22" s="2" t="str">
        <f t="shared" si="2"/>
        <v>Medium Discount</v>
      </c>
    </row>
    <row r="23" spans="1:9" x14ac:dyDescent="0.3">
      <c r="A23" s="2" t="s">
        <v>14</v>
      </c>
      <c r="B23" s="5">
        <v>799</v>
      </c>
      <c r="C23" s="5">
        <v>999</v>
      </c>
      <c r="D23" s="5">
        <f t="shared" si="0"/>
        <v>200</v>
      </c>
      <c r="E23" s="3">
        <v>0.2</v>
      </c>
      <c r="F23" s="2">
        <v>12</v>
      </c>
      <c r="G23" s="8">
        <v>4.0999999999999996</v>
      </c>
      <c r="H23" s="2" t="str">
        <f t="shared" si="1"/>
        <v>Average</v>
      </c>
      <c r="I23" s="2" t="str">
        <f t="shared" si="2"/>
        <v>Medium Discount</v>
      </c>
    </row>
    <row r="24" spans="1:9" x14ac:dyDescent="0.3">
      <c r="A24" s="2" t="s">
        <v>30</v>
      </c>
      <c r="B24" s="5">
        <v>2880</v>
      </c>
      <c r="C24" s="5">
        <v>3520</v>
      </c>
      <c r="D24" s="5">
        <f t="shared" si="0"/>
        <v>640</v>
      </c>
      <c r="E24" s="3">
        <v>0.18</v>
      </c>
      <c r="F24" s="2">
        <v>12</v>
      </c>
      <c r="G24" s="8">
        <v>3.8</v>
      </c>
      <c r="H24" s="2" t="str">
        <f t="shared" si="1"/>
        <v>Average</v>
      </c>
      <c r="I24" s="2" t="str">
        <f t="shared" si="2"/>
        <v>Low Discount</v>
      </c>
    </row>
    <row r="25" spans="1:9" x14ac:dyDescent="0.3">
      <c r="A25" s="2" t="s">
        <v>62</v>
      </c>
      <c r="B25" s="5">
        <v>458</v>
      </c>
      <c r="C25" s="5">
        <v>986</v>
      </c>
      <c r="D25" s="5">
        <f t="shared" si="0"/>
        <v>528</v>
      </c>
      <c r="E25" s="3">
        <v>0.54</v>
      </c>
      <c r="F25" s="2">
        <v>10</v>
      </c>
      <c r="G25" s="8">
        <v>3</v>
      </c>
      <c r="H25" s="2" t="str">
        <f t="shared" si="1"/>
        <v>Average</v>
      </c>
      <c r="I25" s="2" t="str">
        <f t="shared" si="2"/>
        <v>High Discount</v>
      </c>
    </row>
    <row r="26" spans="1:9" x14ac:dyDescent="0.3">
      <c r="A26" s="2" t="s">
        <v>33</v>
      </c>
      <c r="B26" s="5">
        <v>185</v>
      </c>
      <c r="C26" s="5">
        <v>382</v>
      </c>
      <c r="D26" s="5">
        <f t="shared" si="0"/>
        <v>197</v>
      </c>
      <c r="E26" s="3">
        <v>0.52</v>
      </c>
      <c r="F26" s="2">
        <v>9</v>
      </c>
      <c r="G26" s="8">
        <v>4.3</v>
      </c>
      <c r="H26" s="2" t="str">
        <f t="shared" si="1"/>
        <v>Average</v>
      </c>
      <c r="I26" s="2" t="str">
        <f t="shared" si="2"/>
        <v>High Discount</v>
      </c>
    </row>
    <row r="27" spans="1:9" x14ac:dyDescent="0.3">
      <c r="A27" s="2" t="s">
        <v>35</v>
      </c>
      <c r="B27" s="5">
        <v>1820</v>
      </c>
      <c r="C27" s="5">
        <v>3490</v>
      </c>
      <c r="D27" s="5">
        <f t="shared" si="0"/>
        <v>1670</v>
      </c>
      <c r="E27" s="3">
        <v>0.48</v>
      </c>
      <c r="F27" s="2">
        <v>9</v>
      </c>
      <c r="G27" s="8">
        <v>4.3</v>
      </c>
      <c r="H27" s="2" t="str">
        <f t="shared" si="1"/>
        <v>Average</v>
      </c>
      <c r="I27" s="2" t="str">
        <f t="shared" si="2"/>
        <v>High Discount</v>
      </c>
    </row>
    <row r="28" spans="1:9" x14ac:dyDescent="0.3">
      <c r="A28" s="2" t="s">
        <v>18</v>
      </c>
      <c r="B28" s="5">
        <v>1680</v>
      </c>
      <c r="C28" s="5">
        <v>2499</v>
      </c>
      <c r="D28" s="5">
        <f t="shared" si="0"/>
        <v>819</v>
      </c>
      <c r="E28" s="3">
        <v>0.33</v>
      </c>
      <c r="F28" s="2">
        <v>9</v>
      </c>
      <c r="G28" s="8">
        <v>4.2</v>
      </c>
      <c r="H28" s="2" t="str">
        <f t="shared" si="1"/>
        <v>Average</v>
      </c>
      <c r="I28" s="2" t="str">
        <f t="shared" si="2"/>
        <v>Medium Discount</v>
      </c>
    </row>
    <row r="29" spans="1:9" x14ac:dyDescent="0.3">
      <c r="A29" s="2" t="s">
        <v>28</v>
      </c>
      <c r="B29" s="5">
        <v>2048</v>
      </c>
      <c r="C29" s="5">
        <v>4500</v>
      </c>
      <c r="D29" s="5">
        <f t="shared" si="0"/>
        <v>2452</v>
      </c>
      <c r="E29" s="3">
        <v>0.54</v>
      </c>
      <c r="F29" s="2">
        <v>7</v>
      </c>
      <c r="G29" s="8">
        <v>4.3</v>
      </c>
      <c r="H29" s="2" t="str">
        <f t="shared" si="1"/>
        <v>Average</v>
      </c>
      <c r="I29" s="2" t="str">
        <f t="shared" si="2"/>
        <v>High Discount</v>
      </c>
    </row>
    <row r="30" spans="1:9" x14ac:dyDescent="0.3">
      <c r="A30" s="2" t="s">
        <v>68</v>
      </c>
      <c r="B30" s="5">
        <v>1000</v>
      </c>
      <c r="C30" s="5">
        <v>2000</v>
      </c>
      <c r="D30" s="5">
        <f t="shared" si="0"/>
        <v>1000</v>
      </c>
      <c r="E30" s="3">
        <v>0.5</v>
      </c>
      <c r="F30" s="2">
        <v>7</v>
      </c>
      <c r="G30" s="8">
        <v>2.2999999999999998</v>
      </c>
      <c r="H30" s="2" t="str">
        <f t="shared" si="1"/>
        <v>Poor</v>
      </c>
      <c r="I30" s="2" t="str">
        <f t="shared" si="2"/>
        <v>High Discount</v>
      </c>
    </row>
    <row r="31" spans="1:9" x14ac:dyDescent="0.3">
      <c r="A31" s="2" t="s">
        <v>75</v>
      </c>
      <c r="B31" s="5">
        <v>1570</v>
      </c>
      <c r="C31" s="5">
        <v>2988</v>
      </c>
      <c r="D31" s="5">
        <f t="shared" si="0"/>
        <v>1418</v>
      </c>
      <c r="E31" s="3">
        <v>0.47</v>
      </c>
      <c r="F31" s="2">
        <v>7</v>
      </c>
      <c r="G31" s="8">
        <v>2.1</v>
      </c>
      <c r="H31" s="2" t="str">
        <f t="shared" si="1"/>
        <v>Poor</v>
      </c>
      <c r="I31" s="2" t="str">
        <f t="shared" si="2"/>
        <v>High Discount</v>
      </c>
    </row>
    <row r="32" spans="1:9" x14ac:dyDescent="0.3">
      <c r="A32" s="2" t="s">
        <v>7</v>
      </c>
      <c r="B32" s="5">
        <v>1580</v>
      </c>
      <c r="C32" s="5">
        <v>2499</v>
      </c>
      <c r="D32" s="5">
        <f t="shared" si="0"/>
        <v>919</v>
      </c>
      <c r="E32" s="3">
        <v>0.37</v>
      </c>
      <c r="F32" s="2">
        <v>7</v>
      </c>
      <c r="G32" s="8">
        <v>4.7</v>
      </c>
      <c r="H32" s="2" t="str">
        <f t="shared" si="1"/>
        <v>Excellent</v>
      </c>
      <c r="I32" s="2" t="str">
        <f t="shared" si="2"/>
        <v>Medium Discount</v>
      </c>
    </row>
    <row r="33" spans="1:9" x14ac:dyDescent="0.3">
      <c r="A33" s="2" t="s">
        <v>74</v>
      </c>
      <c r="B33" s="5">
        <v>968</v>
      </c>
      <c r="C33" s="5">
        <v>1814</v>
      </c>
      <c r="D33" s="5">
        <f t="shared" si="0"/>
        <v>846</v>
      </c>
      <c r="E33" s="3">
        <v>0.47</v>
      </c>
      <c r="F33" s="2">
        <v>6</v>
      </c>
      <c r="G33" s="8">
        <v>2.2000000000000002</v>
      </c>
      <c r="H33" s="2" t="str">
        <f t="shared" si="1"/>
        <v>Poor</v>
      </c>
      <c r="I33" s="2" t="str">
        <f t="shared" si="2"/>
        <v>High Discount</v>
      </c>
    </row>
    <row r="34" spans="1:9" x14ac:dyDescent="0.3">
      <c r="A34" s="2" t="s">
        <v>67</v>
      </c>
      <c r="B34" s="5">
        <v>990</v>
      </c>
      <c r="C34" s="5">
        <v>1814</v>
      </c>
      <c r="D34" s="5">
        <f t="shared" ref="D34:D65" si="3">C34-B34</f>
        <v>824</v>
      </c>
      <c r="E34" s="3">
        <v>0.45</v>
      </c>
      <c r="F34" s="2">
        <v>6</v>
      </c>
      <c r="G34" s="8">
        <v>2.2000000000000002</v>
      </c>
      <c r="H34" s="2" t="str">
        <f t="shared" ref="H34:H65" si="4">IF(G34="","N/A",IF(G34&lt;3,"Poor",IF(G34&gt;=4.5,"Excellent","Average")))</f>
        <v>Poor</v>
      </c>
      <c r="I34" s="2" t="str">
        <f t="shared" ref="I34:I65" si="5">IF(E34&lt;20%,"Low Discount",IF(E34&gt;40%,"High Discount","Medium Discount"))</f>
        <v>High Discount</v>
      </c>
    </row>
    <row r="35" spans="1:9" x14ac:dyDescent="0.3">
      <c r="A35" s="2" t="s">
        <v>72</v>
      </c>
      <c r="B35" s="5">
        <v>345</v>
      </c>
      <c r="C35" s="5">
        <v>602</v>
      </c>
      <c r="D35" s="5">
        <f t="shared" si="3"/>
        <v>257</v>
      </c>
      <c r="E35" s="3">
        <v>0.43</v>
      </c>
      <c r="F35" s="2">
        <v>6</v>
      </c>
      <c r="G35" s="8">
        <v>2.2999999999999998</v>
      </c>
      <c r="H35" s="2" t="str">
        <f t="shared" si="4"/>
        <v>Poor</v>
      </c>
      <c r="I35" s="2" t="str">
        <f t="shared" si="5"/>
        <v>High Discount</v>
      </c>
    </row>
    <row r="36" spans="1:9" x14ac:dyDescent="0.3">
      <c r="A36" s="2" t="s">
        <v>17</v>
      </c>
      <c r="B36" s="5">
        <v>501</v>
      </c>
      <c r="C36" s="5">
        <v>860</v>
      </c>
      <c r="D36" s="5">
        <f t="shared" si="3"/>
        <v>359</v>
      </c>
      <c r="E36" s="3">
        <v>0.42</v>
      </c>
      <c r="F36" s="2">
        <v>6</v>
      </c>
      <c r="G36" s="8">
        <v>4.5</v>
      </c>
      <c r="H36" s="2" t="str">
        <f t="shared" si="4"/>
        <v>Excellent</v>
      </c>
      <c r="I36" s="2" t="str">
        <f t="shared" si="5"/>
        <v>High Discount</v>
      </c>
    </row>
    <row r="37" spans="1:9" x14ac:dyDescent="0.3">
      <c r="A37" s="2" t="s">
        <v>26</v>
      </c>
      <c r="B37" s="5">
        <v>880</v>
      </c>
      <c r="C37" s="5">
        <v>1350</v>
      </c>
      <c r="D37" s="5">
        <f t="shared" si="3"/>
        <v>470</v>
      </c>
      <c r="E37" s="3">
        <v>0.35</v>
      </c>
      <c r="F37" s="2">
        <v>6</v>
      </c>
      <c r="G37" s="8">
        <v>4</v>
      </c>
      <c r="H37" s="2" t="str">
        <f t="shared" si="4"/>
        <v>Average</v>
      </c>
      <c r="I37" s="2" t="str">
        <f t="shared" si="5"/>
        <v>Medium Discount</v>
      </c>
    </row>
    <row r="38" spans="1:9" x14ac:dyDescent="0.3">
      <c r="A38" s="2" t="s">
        <v>61</v>
      </c>
      <c r="B38" s="5">
        <v>2170</v>
      </c>
      <c r="C38" s="5">
        <v>2500</v>
      </c>
      <c r="D38" s="5">
        <f t="shared" si="3"/>
        <v>330</v>
      </c>
      <c r="E38" s="3">
        <v>0.13</v>
      </c>
      <c r="F38" s="2">
        <v>6</v>
      </c>
      <c r="G38" s="8">
        <v>2.5</v>
      </c>
      <c r="H38" s="2" t="str">
        <f t="shared" si="4"/>
        <v>Poor</v>
      </c>
      <c r="I38" s="2" t="str">
        <f t="shared" si="5"/>
        <v>Low Discount</v>
      </c>
    </row>
    <row r="39" spans="1:9" x14ac:dyDescent="0.3">
      <c r="A39" s="2" t="s">
        <v>12</v>
      </c>
      <c r="B39" s="5">
        <v>1274</v>
      </c>
      <c r="C39" s="5">
        <v>2800</v>
      </c>
      <c r="D39" s="5">
        <f t="shared" si="3"/>
        <v>1526</v>
      </c>
      <c r="E39" s="3">
        <v>0.55000000000000004</v>
      </c>
      <c r="F39" s="2">
        <v>5</v>
      </c>
      <c r="G39" s="8">
        <v>4.8</v>
      </c>
      <c r="H39" s="2" t="str">
        <f t="shared" si="4"/>
        <v>Excellent</v>
      </c>
      <c r="I39" s="2" t="str">
        <f t="shared" si="5"/>
        <v>High Discount</v>
      </c>
    </row>
    <row r="40" spans="1:9" x14ac:dyDescent="0.3">
      <c r="A40" s="2" t="s">
        <v>13</v>
      </c>
      <c r="B40" s="5">
        <v>1600</v>
      </c>
      <c r="C40" s="5">
        <v>2929</v>
      </c>
      <c r="D40" s="5">
        <f t="shared" si="3"/>
        <v>1329</v>
      </c>
      <c r="E40" s="3">
        <v>0.45</v>
      </c>
      <c r="F40" s="2">
        <v>5</v>
      </c>
      <c r="G40" s="8">
        <v>3.8</v>
      </c>
      <c r="H40" s="2" t="str">
        <f t="shared" si="4"/>
        <v>Average</v>
      </c>
      <c r="I40" s="2" t="str">
        <f t="shared" si="5"/>
        <v>High Discount</v>
      </c>
    </row>
    <row r="41" spans="1:9" x14ac:dyDescent="0.3">
      <c r="A41" s="2" t="s">
        <v>73</v>
      </c>
      <c r="B41" s="5">
        <v>509</v>
      </c>
      <c r="C41" s="5">
        <v>899</v>
      </c>
      <c r="D41" s="5">
        <f t="shared" si="3"/>
        <v>390</v>
      </c>
      <c r="E41" s="3">
        <v>0.43</v>
      </c>
      <c r="F41" s="2">
        <v>5</v>
      </c>
      <c r="G41" s="8">
        <v>3</v>
      </c>
      <c r="H41" s="2" t="str">
        <f t="shared" si="4"/>
        <v>Average</v>
      </c>
      <c r="I41" s="2" t="str">
        <f t="shared" si="5"/>
        <v>High Discount</v>
      </c>
    </row>
    <row r="42" spans="1:9" x14ac:dyDescent="0.3">
      <c r="A42" s="2" t="s">
        <v>69</v>
      </c>
      <c r="B42" s="5">
        <v>3750</v>
      </c>
      <c r="C42" s="5">
        <v>6143</v>
      </c>
      <c r="D42" s="5">
        <f t="shared" si="3"/>
        <v>2393</v>
      </c>
      <c r="E42" s="3">
        <v>0.39</v>
      </c>
      <c r="F42" s="2">
        <v>5</v>
      </c>
      <c r="G42" s="8">
        <v>3</v>
      </c>
      <c r="H42" s="2" t="str">
        <f t="shared" si="4"/>
        <v>Average</v>
      </c>
      <c r="I42" s="2" t="str">
        <f t="shared" si="5"/>
        <v>Medium Discount</v>
      </c>
    </row>
    <row r="43" spans="1:9" x14ac:dyDescent="0.3">
      <c r="A43" s="2" t="s">
        <v>71</v>
      </c>
      <c r="B43" s="5">
        <v>2300</v>
      </c>
      <c r="C43" s="5">
        <v>3240</v>
      </c>
      <c r="D43" s="5">
        <f t="shared" si="3"/>
        <v>940</v>
      </c>
      <c r="E43" s="3">
        <v>0.28999999999999998</v>
      </c>
      <c r="F43" s="2">
        <v>5</v>
      </c>
      <c r="G43" s="8">
        <v>3</v>
      </c>
      <c r="H43" s="2" t="str">
        <f t="shared" si="4"/>
        <v>Average</v>
      </c>
      <c r="I43" s="2" t="str">
        <f t="shared" si="5"/>
        <v>Medium Discount</v>
      </c>
    </row>
    <row r="44" spans="1:9" x14ac:dyDescent="0.3">
      <c r="A44" s="2" t="s">
        <v>8</v>
      </c>
      <c r="B44" s="5">
        <v>1740</v>
      </c>
      <c r="C44" s="5">
        <v>2356</v>
      </c>
      <c r="D44" s="5">
        <f t="shared" si="3"/>
        <v>616</v>
      </c>
      <c r="E44" s="3">
        <v>0.26</v>
      </c>
      <c r="F44" s="2">
        <v>5</v>
      </c>
      <c r="G44" s="8">
        <v>4.8</v>
      </c>
      <c r="H44" s="2" t="str">
        <f t="shared" si="4"/>
        <v>Excellent</v>
      </c>
      <c r="I44" s="2" t="str">
        <f t="shared" si="5"/>
        <v>Medium Discount</v>
      </c>
    </row>
    <row r="45" spans="1:9" x14ac:dyDescent="0.3">
      <c r="A45" s="2" t="s">
        <v>22</v>
      </c>
      <c r="B45" s="5">
        <v>2999</v>
      </c>
      <c r="C45" s="5">
        <v>3699</v>
      </c>
      <c r="D45" s="5">
        <f t="shared" si="3"/>
        <v>700</v>
      </c>
      <c r="E45" s="3">
        <v>0.19</v>
      </c>
      <c r="F45" s="2">
        <v>5</v>
      </c>
      <c r="G45" s="8">
        <v>4.5999999999999996</v>
      </c>
      <c r="H45" s="2" t="str">
        <f t="shared" si="4"/>
        <v>Excellent</v>
      </c>
      <c r="I45" s="2" t="str">
        <f t="shared" si="5"/>
        <v>Low Discount</v>
      </c>
    </row>
    <row r="46" spans="1:9" x14ac:dyDescent="0.3">
      <c r="A46" s="2" t="s">
        <v>21</v>
      </c>
      <c r="B46" s="5">
        <v>2025</v>
      </c>
      <c r="C46" s="5">
        <v>3971</v>
      </c>
      <c r="D46" s="5">
        <f t="shared" si="3"/>
        <v>1946</v>
      </c>
      <c r="E46" s="3">
        <v>0.49</v>
      </c>
      <c r="F46" s="2">
        <v>3</v>
      </c>
      <c r="G46" s="8">
        <v>5</v>
      </c>
      <c r="H46" s="2" t="str">
        <f t="shared" si="4"/>
        <v>Excellent</v>
      </c>
      <c r="I46" s="2" t="str">
        <f t="shared" si="5"/>
        <v>High Discount</v>
      </c>
    </row>
    <row r="47" spans="1:9" x14ac:dyDescent="0.3">
      <c r="A47" s="2" t="s">
        <v>39</v>
      </c>
      <c r="B47" s="5">
        <v>171</v>
      </c>
      <c r="C47" s="5">
        <v>360</v>
      </c>
      <c r="D47" s="5">
        <f t="shared" si="3"/>
        <v>189</v>
      </c>
      <c r="E47" s="3">
        <v>0.53</v>
      </c>
      <c r="F47" s="2">
        <v>2</v>
      </c>
      <c r="G47" s="8">
        <v>5</v>
      </c>
      <c r="H47" s="2" t="str">
        <f t="shared" si="4"/>
        <v>Excellent</v>
      </c>
      <c r="I47" s="2" t="str">
        <f t="shared" si="5"/>
        <v>High Discount</v>
      </c>
    </row>
    <row r="48" spans="1:9" x14ac:dyDescent="0.3">
      <c r="A48" s="2" t="s">
        <v>19</v>
      </c>
      <c r="B48" s="5">
        <v>332</v>
      </c>
      <c r="C48" s="5">
        <v>684</v>
      </c>
      <c r="D48" s="5">
        <f t="shared" si="3"/>
        <v>352</v>
      </c>
      <c r="E48" s="3">
        <v>0.51</v>
      </c>
      <c r="F48" s="2">
        <v>2</v>
      </c>
      <c r="G48" s="8">
        <v>5</v>
      </c>
      <c r="H48" s="2" t="str">
        <f t="shared" si="4"/>
        <v>Excellent</v>
      </c>
      <c r="I48" s="2" t="str">
        <f t="shared" si="5"/>
        <v>High Discount</v>
      </c>
    </row>
    <row r="49" spans="1:9" x14ac:dyDescent="0.3">
      <c r="A49" s="2" t="s">
        <v>20</v>
      </c>
      <c r="B49" s="5">
        <v>195</v>
      </c>
      <c r="C49" s="5">
        <v>360</v>
      </c>
      <c r="D49" s="5">
        <f t="shared" si="3"/>
        <v>165</v>
      </c>
      <c r="E49" s="3">
        <v>0.46</v>
      </c>
      <c r="F49" s="2">
        <v>2</v>
      </c>
      <c r="G49" s="8">
        <v>5</v>
      </c>
      <c r="H49" s="2" t="str">
        <f t="shared" si="4"/>
        <v>Excellent</v>
      </c>
      <c r="I49" s="2" t="str">
        <f t="shared" si="5"/>
        <v>High Discount</v>
      </c>
    </row>
    <row r="50" spans="1:9" x14ac:dyDescent="0.3">
      <c r="A50" s="2" t="s">
        <v>4</v>
      </c>
      <c r="B50" s="5">
        <v>950</v>
      </c>
      <c r="C50" s="5">
        <v>1525</v>
      </c>
      <c r="D50" s="5">
        <f t="shared" si="3"/>
        <v>575</v>
      </c>
      <c r="E50" s="3">
        <v>0.38</v>
      </c>
      <c r="F50" s="2">
        <v>2</v>
      </c>
      <c r="G50" s="8">
        <v>4.5</v>
      </c>
      <c r="H50" s="2" t="str">
        <f t="shared" si="4"/>
        <v>Excellent</v>
      </c>
      <c r="I50" s="2" t="str">
        <f t="shared" si="5"/>
        <v>Medium Discount</v>
      </c>
    </row>
    <row r="51" spans="1:9" x14ac:dyDescent="0.3">
      <c r="A51" s="2" t="s">
        <v>41</v>
      </c>
      <c r="B51" s="11">
        <f>(1620+1980)/2</f>
        <v>1800</v>
      </c>
      <c r="C51" s="11">
        <f>(2200+3200)/2</f>
        <v>2700</v>
      </c>
      <c r="D51" s="5">
        <f t="shared" si="3"/>
        <v>900</v>
      </c>
      <c r="E51" s="3">
        <v>0.38</v>
      </c>
      <c r="F51" s="2">
        <v>2</v>
      </c>
      <c r="G51" s="8">
        <v>4.5</v>
      </c>
      <c r="H51" s="2" t="str">
        <f t="shared" si="4"/>
        <v>Excellent</v>
      </c>
      <c r="I51" s="2" t="str">
        <f t="shared" si="5"/>
        <v>Medium Discount</v>
      </c>
    </row>
    <row r="52" spans="1:9" x14ac:dyDescent="0.3">
      <c r="A52" s="2" t="s">
        <v>11</v>
      </c>
      <c r="B52" s="5">
        <v>988</v>
      </c>
      <c r="C52" s="5">
        <v>1580</v>
      </c>
      <c r="D52" s="5">
        <f t="shared" si="3"/>
        <v>592</v>
      </c>
      <c r="E52" s="3">
        <v>0.37</v>
      </c>
      <c r="F52" s="2">
        <v>2</v>
      </c>
      <c r="G52" s="8">
        <v>4</v>
      </c>
      <c r="H52" s="2" t="str">
        <f t="shared" si="4"/>
        <v>Average</v>
      </c>
      <c r="I52" s="2" t="str">
        <f t="shared" si="5"/>
        <v>Medium Discount</v>
      </c>
    </row>
    <row r="53" spans="1:9" x14ac:dyDescent="0.3">
      <c r="A53" s="2" t="s">
        <v>110</v>
      </c>
      <c r="B53" s="5">
        <v>450</v>
      </c>
      <c r="C53" s="5">
        <v>900</v>
      </c>
      <c r="D53" s="5">
        <f t="shared" si="3"/>
        <v>450</v>
      </c>
      <c r="E53" s="3">
        <v>0.5</v>
      </c>
      <c r="F53" s="2">
        <v>1</v>
      </c>
      <c r="G53" s="8">
        <v>2</v>
      </c>
      <c r="H53" s="2" t="str">
        <f t="shared" si="4"/>
        <v>Poor</v>
      </c>
      <c r="I53" s="2" t="str">
        <f t="shared" si="5"/>
        <v>High Discount</v>
      </c>
    </row>
    <row r="54" spans="1:9" x14ac:dyDescent="0.3">
      <c r="A54" s="2" t="s">
        <v>81</v>
      </c>
      <c r="B54" s="5">
        <v>979</v>
      </c>
      <c r="C54" s="5">
        <v>1920</v>
      </c>
      <c r="D54" s="5">
        <f t="shared" si="3"/>
        <v>941</v>
      </c>
      <c r="E54" s="3">
        <v>0.49</v>
      </c>
      <c r="F54" s="2">
        <v>1</v>
      </c>
      <c r="G54" s="8">
        <v>5</v>
      </c>
      <c r="H54" s="2" t="str">
        <f t="shared" si="4"/>
        <v>Excellent</v>
      </c>
      <c r="I54" s="2" t="str">
        <f t="shared" si="5"/>
        <v>High Discount</v>
      </c>
    </row>
    <row r="55" spans="1:9" x14ac:dyDescent="0.3">
      <c r="A55" s="2" t="s">
        <v>84</v>
      </c>
      <c r="B55" s="5">
        <v>330</v>
      </c>
      <c r="C55" s="5">
        <v>647</v>
      </c>
      <c r="D55" s="5">
        <f t="shared" si="3"/>
        <v>317</v>
      </c>
      <c r="E55" s="3">
        <v>0.49</v>
      </c>
      <c r="F55" s="2">
        <v>1</v>
      </c>
      <c r="G55" s="8">
        <v>4</v>
      </c>
      <c r="H55" s="2" t="str">
        <f t="shared" si="4"/>
        <v>Average</v>
      </c>
      <c r="I55" s="2" t="str">
        <f t="shared" si="5"/>
        <v>High Discount</v>
      </c>
    </row>
    <row r="56" spans="1:9" x14ac:dyDescent="0.3">
      <c r="A56" s="2" t="s">
        <v>80</v>
      </c>
      <c r="B56" s="5">
        <v>1189</v>
      </c>
      <c r="C56" s="5">
        <v>2199</v>
      </c>
      <c r="D56" s="5">
        <f t="shared" si="3"/>
        <v>1010</v>
      </c>
      <c r="E56" s="3">
        <v>0.46</v>
      </c>
      <c r="F56" s="2">
        <v>1</v>
      </c>
      <c r="G56" s="8">
        <v>3</v>
      </c>
      <c r="H56" s="2" t="str">
        <f t="shared" si="4"/>
        <v>Average</v>
      </c>
      <c r="I56" s="2" t="str">
        <f t="shared" si="5"/>
        <v>High Discount</v>
      </c>
    </row>
    <row r="57" spans="1:9" x14ac:dyDescent="0.3">
      <c r="A57" s="2" t="s">
        <v>38</v>
      </c>
      <c r="B57" s="5">
        <v>1620</v>
      </c>
      <c r="C57" s="5">
        <v>2690</v>
      </c>
      <c r="D57" s="5">
        <f t="shared" si="3"/>
        <v>1070</v>
      </c>
      <c r="E57" s="3">
        <v>0.4</v>
      </c>
      <c r="F57" s="2">
        <v>1</v>
      </c>
      <c r="G57" s="8">
        <v>5</v>
      </c>
      <c r="H57" s="2" t="str">
        <f t="shared" si="4"/>
        <v>Excellent</v>
      </c>
      <c r="I57" s="2" t="str">
        <f t="shared" si="5"/>
        <v>Medium Discount</v>
      </c>
    </row>
    <row r="58" spans="1:9" x14ac:dyDescent="0.3">
      <c r="A58" s="2" t="s">
        <v>101</v>
      </c>
      <c r="B58" s="5">
        <v>3640</v>
      </c>
      <c r="C58" s="5">
        <v>4588</v>
      </c>
      <c r="D58" s="5">
        <f t="shared" si="3"/>
        <v>948</v>
      </c>
      <c r="E58" s="3">
        <v>0.21</v>
      </c>
      <c r="F58" s="2">
        <v>1</v>
      </c>
      <c r="G58" s="8">
        <v>5</v>
      </c>
      <c r="H58" s="2" t="str">
        <f t="shared" si="4"/>
        <v>Excellent</v>
      </c>
      <c r="I58" s="2" t="str">
        <f t="shared" si="5"/>
        <v>Medium Discount</v>
      </c>
    </row>
    <row r="59" spans="1:9" x14ac:dyDescent="0.3">
      <c r="A59" s="2" t="s">
        <v>109</v>
      </c>
      <c r="B59" s="5">
        <v>199</v>
      </c>
      <c r="C59" s="5">
        <v>553</v>
      </c>
      <c r="D59" s="5">
        <f t="shared" si="3"/>
        <v>354</v>
      </c>
      <c r="E59" s="3">
        <v>0.64</v>
      </c>
      <c r="H59" s="2" t="str">
        <f t="shared" si="4"/>
        <v>N/A</v>
      </c>
      <c r="I59" s="2" t="str">
        <f t="shared" si="5"/>
        <v>High Discount</v>
      </c>
    </row>
    <row r="60" spans="1:9" x14ac:dyDescent="0.3">
      <c r="A60" s="2" t="s">
        <v>51</v>
      </c>
      <c r="B60" s="5">
        <v>199</v>
      </c>
      <c r="C60" s="5">
        <v>504</v>
      </c>
      <c r="D60" s="5">
        <f t="shared" si="3"/>
        <v>305</v>
      </c>
      <c r="E60" s="3">
        <v>0.61</v>
      </c>
      <c r="H60" s="2" t="str">
        <f t="shared" si="4"/>
        <v>N/A</v>
      </c>
      <c r="I60" s="2" t="str">
        <f t="shared" si="5"/>
        <v>High Discount</v>
      </c>
    </row>
    <row r="61" spans="1:9" x14ac:dyDescent="0.3">
      <c r="A61" s="2" t="s">
        <v>57</v>
      </c>
      <c r="B61" s="5">
        <v>399</v>
      </c>
      <c r="C61" s="5">
        <v>896</v>
      </c>
      <c r="D61" s="5">
        <f t="shared" si="3"/>
        <v>497</v>
      </c>
      <c r="E61" s="3">
        <v>0.55000000000000004</v>
      </c>
      <c r="H61" s="2" t="str">
        <f t="shared" si="4"/>
        <v>N/A</v>
      </c>
      <c r="I61" s="2" t="str">
        <f t="shared" si="5"/>
        <v>High Discount</v>
      </c>
    </row>
    <row r="62" spans="1:9" x14ac:dyDescent="0.3">
      <c r="A62" s="2" t="s">
        <v>44</v>
      </c>
      <c r="B62" s="5">
        <v>238</v>
      </c>
      <c r="C62" s="5">
        <v>476</v>
      </c>
      <c r="D62" s="5">
        <f t="shared" si="3"/>
        <v>238</v>
      </c>
      <c r="E62" s="3">
        <v>0.5</v>
      </c>
      <c r="H62" s="2" t="str">
        <f t="shared" si="4"/>
        <v>N/A</v>
      </c>
      <c r="I62" s="2" t="str">
        <f t="shared" si="5"/>
        <v>High Discount</v>
      </c>
    </row>
    <row r="63" spans="1:9" x14ac:dyDescent="0.3">
      <c r="A63" s="2" t="s">
        <v>47</v>
      </c>
      <c r="B63" s="5">
        <v>999</v>
      </c>
      <c r="C63" s="5">
        <v>2000</v>
      </c>
      <c r="D63" s="5">
        <f t="shared" si="3"/>
        <v>1001</v>
      </c>
      <c r="E63" s="3">
        <v>0.5</v>
      </c>
      <c r="H63" s="2" t="str">
        <f t="shared" si="4"/>
        <v>N/A</v>
      </c>
      <c r="I63" s="2" t="str">
        <f t="shared" si="5"/>
        <v>High Discount</v>
      </c>
    </row>
    <row r="64" spans="1:9" x14ac:dyDescent="0.3">
      <c r="A64" s="2" t="s">
        <v>52</v>
      </c>
      <c r="B64" s="5">
        <v>299</v>
      </c>
      <c r="C64" s="5">
        <v>600</v>
      </c>
      <c r="D64" s="5">
        <f t="shared" si="3"/>
        <v>301</v>
      </c>
      <c r="E64" s="3">
        <v>0.5</v>
      </c>
      <c r="H64" s="2" t="str">
        <f t="shared" si="4"/>
        <v>N/A</v>
      </c>
      <c r="I64" s="2" t="str">
        <f t="shared" si="5"/>
        <v>High Discount</v>
      </c>
    </row>
    <row r="65" spans="1:9" x14ac:dyDescent="0.3">
      <c r="A65" s="2" t="s">
        <v>90</v>
      </c>
      <c r="B65" s="5">
        <v>850</v>
      </c>
      <c r="C65" s="5">
        <v>1700</v>
      </c>
      <c r="D65" s="5">
        <f t="shared" si="3"/>
        <v>850</v>
      </c>
      <c r="E65" s="3">
        <v>0.5</v>
      </c>
      <c r="H65" s="2" t="str">
        <f t="shared" si="4"/>
        <v>N/A</v>
      </c>
      <c r="I65" s="2" t="str">
        <f t="shared" si="5"/>
        <v>High Discount</v>
      </c>
    </row>
    <row r="66" spans="1:9" x14ac:dyDescent="0.3">
      <c r="A66" s="2" t="s">
        <v>94</v>
      </c>
      <c r="B66" s="5">
        <v>1200</v>
      </c>
      <c r="C66" s="5">
        <v>2400</v>
      </c>
      <c r="D66" s="5">
        <f t="shared" ref="D66:D97" si="6">C66-B66</f>
        <v>1200</v>
      </c>
      <c r="E66" s="3">
        <v>0.5</v>
      </c>
      <c r="H66" s="2" t="str">
        <f t="shared" ref="H66:H97" si="7">IF(G66="","N/A",IF(G66&lt;3,"Poor",IF(G66&gt;=4.5,"Excellent","Average")))</f>
        <v>N/A</v>
      </c>
      <c r="I66" s="2" t="str">
        <f t="shared" ref="I66:I97" si="8">IF(E66&lt;20%,"Low Discount",IF(E66&gt;40%,"High Discount","Medium Discount"))</f>
        <v>High Discount</v>
      </c>
    </row>
    <row r="67" spans="1:9" x14ac:dyDescent="0.3">
      <c r="A67" s="2" t="s">
        <v>43</v>
      </c>
      <c r="B67" s="5">
        <v>475</v>
      </c>
      <c r="C67" s="5">
        <v>931</v>
      </c>
      <c r="D67" s="5">
        <f t="shared" si="6"/>
        <v>456</v>
      </c>
      <c r="E67" s="3">
        <v>0.49</v>
      </c>
      <c r="H67" s="2" t="str">
        <f t="shared" si="7"/>
        <v>N/A</v>
      </c>
      <c r="I67" s="2" t="str">
        <f t="shared" si="8"/>
        <v>High Discount</v>
      </c>
    </row>
    <row r="68" spans="1:9" x14ac:dyDescent="0.3">
      <c r="A68" s="2" t="s">
        <v>49</v>
      </c>
      <c r="B68" s="5">
        <v>671</v>
      </c>
      <c r="C68" s="5">
        <v>1316</v>
      </c>
      <c r="D68" s="5">
        <f t="shared" si="6"/>
        <v>645</v>
      </c>
      <c r="E68" s="3">
        <v>0.49</v>
      </c>
      <c r="H68" s="2" t="str">
        <f t="shared" si="7"/>
        <v>N/A</v>
      </c>
      <c r="I68" s="2" t="str">
        <f t="shared" si="8"/>
        <v>High Discount</v>
      </c>
    </row>
    <row r="69" spans="1:9" x14ac:dyDescent="0.3">
      <c r="A69" s="2" t="s">
        <v>59</v>
      </c>
      <c r="B69" s="5">
        <v>799</v>
      </c>
      <c r="C69" s="5">
        <v>1567</v>
      </c>
      <c r="D69" s="5">
        <f t="shared" si="6"/>
        <v>768</v>
      </c>
      <c r="E69" s="3">
        <v>0.49</v>
      </c>
      <c r="H69" s="2" t="str">
        <f t="shared" si="7"/>
        <v>N/A</v>
      </c>
      <c r="I69" s="2" t="str">
        <f t="shared" si="8"/>
        <v>High Discount</v>
      </c>
    </row>
    <row r="70" spans="1:9" x14ac:dyDescent="0.3">
      <c r="A70" s="2" t="s">
        <v>79</v>
      </c>
      <c r="B70" s="5">
        <v>230</v>
      </c>
      <c r="C70" s="5">
        <v>450</v>
      </c>
      <c r="D70" s="5">
        <f t="shared" si="6"/>
        <v>220</v>
      </c>
      <c r="E70" s="3">
        <v>0.49</v>
      </c>
      <c r="H70" s="2" t="str">
        <f t="shared" si="7"/>
        <v>N/A</v>
      </c>
      <c r="I70" s="2" t="str">
        <f t="shared" si="8"/>
        <v>High Discount</v>
      </c>
    </row>
    <row r="71" spans="1:9" x14ac:dyDescent="0.3">
      <c r="A71" s="2" t="s">
        <v>51</v>
      </c>
      <c r="B71" s="5">
        <v>176</v>
      </c>
      <c r="C71" s="5">
        <v>345</v>
      </c>
      <c r="D71" s="5">
        <f t="shared" si="6"/>
        <v>169</v>
      </c>
      <c r="E71" s="3">
        <v>0.49</v>
      </c>
      <c r="H71" s="2" t="str">
        <f t="shared" si="7"/>
        <v>N/A</v>
      </c>
      <c r="I71" s="2" t="str">
        <f t="shared" si="8"/>
        <v>High Discount</v>
      </c>
    </row>
    <row r="72" spans="1:9" x14ac:dyDescent="0.3">
      <c r="A72" s="2" t="s">
        <v>86</v>
      </c>
      <c r="B72" s="5">
        <v>274</v>
      </c>
      <c r="C72" s="5">
        <v>537</v>
      </c>
      <c r="D72" s="5">
        <f t="shared" si="6"/>
        <v>263</v>
      </c>
      <c r="E72" s="3">
        <v>0.49</v>
      </c>
      <c r="H72" s="2" t="str">
        <f t="shared" si="7"/>
        <v>N/A</v>
      </c>
      <c r="I72" s="2" t="str">
        <f t="shared" si="8"/>
        <v>High Discount</v>
      </c>
    </row>
    <row r="73" spans="1:9" x14ac:dyDescent="0.3">
      <c r="A73" s="2" t="s">
        <v>59</v>
      </c>
      <c r="B73" s="5">
        <v>657</v>
      </c>
      <c r="C73" s="5">
        <v>1288</v>
      </c>
      <c r="D73" s="5">
        <f t="shared" si="6"/>
        <v>631</v>
      </c>
      <c r="E73" s="3">
        <v>0.49</v>
      </c>
      <c r="H73" s="2" t="str">
        <f t="shared" si="7"/>
        <v>N/A</v>
      </c>
      <c r="I73" s="2" t="str">
        <f t="shared" si="8"/>
        <v>High Discount</v>
      </c>
    </row>
    <row r="74" spans="1:9" x14ac:dyDescent="0.3">
      <c r="A74" s="2" t="s">
        <v>97</v>
      </c>
      <c r="B74" s="5">
        <v>248</v>
      </c>
      <c r="C74" s="5">
        <v>486</v>
      </c>
      <c r="D74" s="5">
        <f t="shared" si="6"/>
        <v>238</v>
      </c>
      <c r="E74" s="3">
        <v>0.49</v>
      </c>
      <c r="H74" s="2" t="str">
        <f t="shared" si="7"/>
        <v>N/A</v>
      </c>
      <c r="I74" s="2" t="str">
        <f t="shared" si="8"/>
        <v>High Discount</v>
      </c>
    </row>
    <row r="75" spans="1:9" x14ac:dyDescent="0.3">
      <c r="A75" s="2" t="s">
        <v>99</v>
      </c>
      <c r="B75" s="5">
        <v>525</v>
      </c>
      <c r="C75" s="5">
        <v>1029</v>
      </c>
      <c r="D75" s="5">
        <f t="shared" si="6"/>
        <v>504</v>
      </c>
      <c r="E75" s="3">
        <v>0.49</v>
      </c>
      <c r="H75" s="2" t="str">
        <f t="shared" si="7"/>
        <v>N/A</v>
      </c>
      <c r="I75" s="2" t="str">
        <f t="shared" si="8"/>
        <v>High Discount</v>
      </c>
    </row>
    <row r="76" spans="1:9" x14ac:dyDescent="0.3">
      <c r="A76" s="2" t="s">
        <v>58</v>
      </c>
      <c r="B76" s="5">
        <v>699</v>
      </c>
      <c r="C76" s="5">
        <v>1343</v>
      </c>
      <c r="D76" s="5">
        <f t="shared" si="6"/>
        <v>644</v>
      </c>
      <c r="E76" s="3">
        <v>0.48</v>
      </c>
      <c r="H76" s="2" t="str">
        <f t="shared" si="7"/>
        <v>N/A</v>
      </c>
      <c r="I76" s="2" t="str">
        <f t="shared" si="8"/>
        <v>High Discount</v>
      </c>
    </row>
    <row r="77" spans="1:9" x14ac:dyDescent="0.3">
      <c r="A77" s="2" t="s">
        <v>91</v>
      </c>
      <c r="B77" s="5">
        <v>1300</v>
      </c>
      <c r="C77" s="5">
        <v>2500</v>
      </c>
      <c r="D77" s="5">
        <f t="shared" si="6"/>
        <v>1200</v>
      </c>
      <c r="E77" s="3">
        <v>0.48</v>
      </c>
      <c r="H77" s="2" t="str">
        <f t="shared" si="7"/>
        <v>N/A</v>
      </c>
      <c r="I77" s="2" t="str">
        <f t="shared" si="8"/>
        <v>High Discount</v>
      </c>
    </row>
    <row r="78" spans="1:9" x14ac:dyDescent="0.3">
      <c r="A78" s="2" t="s">
        <v>92</v>
      </c>
      <c r="B78" s="5">
        <v>105</v>
      </c>
      <c r="C78" s="5">
        <v>200</v>
      </c>
      <c r="D78" s="5">
        <f t="shared" si="6"/>
        <v>95</v>
      </c>
      <c r="E78" s="3">
        <v>0.48</v>
      </c>
      <c r="H78" s="2" t="str">
        <f t="shared" si="7"/>
        <v>N/A</v>
      </c>
      <c r="I78" s="2" t="str">
        <f t="shared" si="8"/>
        <v>High Discount</v>
      </c>
    </row>
    <row r="79" spans="1:9" x14ac:dyDescent="0.3">
      <c r="A79" s="2" t="s">
        <v>76</v>
      </c>
      <c r="B79" s="5">
        <v>790</v>
      </c>
      <c r="C79" s="5">
        <v>1485</v>
      </c>
      <c r="D79" s="5">
        <f t="shared" si="6"/>
        <v>695</v>
      </c>
      <c r="E79" s="3">
        <v>0.47</v>
      </c>
      <c r="H79" s="2" t="str">
        <f t="shared" si="7"/>
        <v>N/A</v>
      </c>
      <c r="I79" s="2" t="str">
        <f t="shared" si="8"/>
        <v>High Discount</v>
      </c>
    </row>
    <row r="80" spans="1:9" x14ac:dyDescent="0.3">
      <c r="A80" s="2" t="s">
        <v>93</v>
      </c>
      <c r="B80" s="5">
        <v>899</v>
      </c>
      <c r="C80" s="5">
        <v>1699</v>
      </c>
      <c r="D80" s="5">
        <f t="shared" si="6"/>
        <v>800</v>
      </c>
      <c r="E80" s="3">
        <v>0.47</v>
      </c>
      <c r="H80" s="2" t="str">
        <f t="shared" si="7"/>
        <v>N/A</v>
      </c>
      <c r="I80" s="2" t="str">
        <f t="shared" si="8"/>
        <v>High Discount</v>
      </c>
    </row>
    <row r="81" spans="1:9" x14ac:dyDescent="0.3">
      <c r="A81" s="2" t="s">
        <v>111</v>
      </c>
      <c r="B81" s="5">
        <v>169</v>
      </c>
      <c r="C81" s="5">
        <v>320</v>
      </c>
      <c r="D81" s="5">
        <f t="shared" si="6"/>
        <v>151</v>
      </c>
      <c r="E81" s="3">
        <v>0.47</v>
      </c>
      <c r="H81" s="2" t="str">
        <f t="shared" si="7"/>
        <v>N/A</v>
      </c>
      <c r="I81" s="2" t="str">
        <f t="shared" si="8"/>
        <v>High Discount</v>
      </c>
    </row>
    <row r="82" spans="1:9" x14ac:dyDescent="0.3">
      <c r="A82" s="2" t="s">
        <v>114</v>
      </c>
      <c r="B82" s="5">
        <v>2200</v>
      </c>
      <c r="C82" s="5">
        <v>4080</v>
      </c>
      <c r="D82" s="5">
        <f t="shared" si="6"/>
        <v>1880</v>
      </c>
      <c r="E82" s="3">
        <v>0.46</v>
      </c>
      <c r="H82" s="2" t="str">
        <f t="shared" si="7"/>
        <v>N/A</v>
      </c>
      <c r="I82" s="2" t="str">
        <f t="shared" si="8"/>
        <v>High Discount</v>
      </c>
    </row>
    <row r="83" spans="1:9" x14ac:dyDescent="0.3">
      <c r="A83" s="2" t="s">
        <v>57</v>
      </c>
      <c r="B83" s="5">
        <v>499</v>
      </c>
      <c r="C83" s="5">
        <v>900</v>
      </c>
      <c r="D83" s="5">
        <f t="shared" si="6"/>
        <v>401</v>
      </c>
      <c r="E83" s="3">
        <v>0.45</v>
      </c>
      <c r="H83" s="2" t="str">
        <f t="shared" si="7"/>
        <v>N/A</v>
      </c>
      <c r="I83" s="2" t="str">
        <f t="shared" si="8"/>
        <v>High Discount</v>
      </c>
    </row>
    <row r="84" spans="1:9" x14ac:dyDescent="0.3">
      <c r="A84" s="2" t="s">
        <v>77</v>
      </c>
      <c r="B84" s="5">
        <v>690</v>
      </c>
      <c r="C84" s="5">
        <v>1200</v>
      </c>
      <c r="D84" s="5">
        <f t="shared" si="6"/>
        <v>510</v>
      </c>
      <c r="E84" s="3">
        <v>0.43</v>
      </c>
      <c r="H84" s="2" t="str">
        <f t="shared" si="7"/>
        <v>N/A</v>
      </c>
      <c r="I84" s="2" t="str">
        <f t="shared" si="8"/>
        <v>High Discount</v>
      </c>
    </row>
    <row r="85" spans="1:9" x14ac:dyDescent="0.3">
      <c r="A85" s="2" t="s">
        <v>89</v>
      </c>
      <c r="B85" s="5">
        <v>630</v>
      </c>
      <c r="C85" s="5">
        <v>1100</v>
      </c>
      <c r="D85" s="5">
        <f t="shared" si="6"/>
        <v>470</v>
      </c>
      <c r="E85" s="3">
        <v>0.43</v>
      </c>
      <c r="H85" s="2" t="str">
        <f t="shared" si="7"/>
        <v>N/A</v>
      </c>
      <c r="I85" s="2" t="str">
        <f t="shared" si="8"/>
        <v>High Discount</v>
      </c>
    </row>
    <row r="86" spans="1:9" x14ac:dyDescent="0.3">
      <c r="A86" s="2" t="s">
        <v>25</v>
      </c>
      <c r="B86" s="5">
        <v>1860</v>
      </c>
      <c r="C86" s="5">
        <v>3220</v>
      </c>
      <c r="D86" s="5">
        <f t="shared" si="6"/>
        <v>1360</v>
      </c>
      <c r="E86" s="3">
        <v>0.42</v>
      </c>
      <c r="H86" s="2" t="str">
        <f t="shared" si="7"/>
        <v>N/A</v>
      </c>
      <c r="I86" s="2" t="str">
        <f t="shared" si="8"/>
        <v>High Discount</v>
      </c>
    </row>
    <row r="87" spans="1:9" x14ac:dyDescent="0.3">
      <c r="A87" s="2" t="s">
        <v>45</v>
      </c>
      <c r="B87" s="5">
        <v>610</v>
      </c>
      <c r="C87" s="5">
        <v>1060</v>
      </c>
      <c r="D87" s="5">
        <f t="shared" si="6"/>
        <v>450</v>
      </c>
      <c r="E87" s="3">
        <v>0.42</v>
      </c>
      <c r="H87" s="2" t="str">
        <f t="shared" si="7"/>
        <v>N/A</v>
      </c>
      <c r="I87" s="2" t="str">
        <f t="shared" si="8"/>
        <v>High Discount</v>
      </c>
    </row>
    <row r="88" spans="1:9" x14ac:dyDescent="0.3">
      <c r="A88" s="2" t="s">
        <v>100</v>
      </c>
      <c r="B88" s="5">
        <v>1080</v>
      </c>
      <c r="C88" s="5">
        <v>1874</v>
      </c>
      <c r="D88" s="5">
        <f t="shared" si="6"/>
        <v>794</v>
      </c>
      <c r="E88" s="3">
        <v>0.42</v>
      </c>
      <c r="H88" s="2" t="str">
        <f t="shared" si="7"/>
        <v>N/A</v>
      </c>
      <c r="I88" s="2" t="str">
        <f t="shared" si="8"/>
        <v>High Discount</v>
      </c>
    </row>
    <row r="89" spans="1:9" x14ac:dyDescent="0.3">
      <c r="A89" s="2" t="s">
        <v>56</v>
      </c>
      <c r="B89" s="5">
        <v>799</v>
      </c>
      <c r="C89" s="5">
        <v>1343</v>
      </c>
      <c r="D89" s="5">
        <f t="shared" si="6"/>
        <v>544</v>
      </c>
      <c r="E89" s="3">
        <v>0.41</v>
      </c>
      <c r="H89" s="2" t="str">
        <f t="shared" si="7"/>
        <v>N/A</v>
      </c>
      <c r="I89" s="2" t="str">
        <f t="shared" si="8"/>
        <v>High Discount</v>
      </c>
    </row>
    <row r="90" spans="1:9" x14ac:dyDescent="0.3">
      <c r="A90" s="2" t="s">
        <v>102</v>
      </c>
      <c r="B90" s="5">
        <v>1420</v>
      </c>
      <c r="C90" s="5">
        <v>2420</v>
      </c>
      <c r="D90" s="5">
        <f t="shared" si="6"/>
        <v>1000</v>
      </c>
      <c r="E90" s="3">
        <v>0.41</v>
      </c>
      <c r="H90" s="2" t="str">
        <f t="shared" si="7"/>
        <v>N/A</v>
      </c>
      <c r="I90" s="2" t="str">
        <f t="shared" si="8"/>
        <v>High Discount</v>
      </c>
    </row>
    <row r="91" spans="1:9" x14ac:dyDescent="0.3">
      <c r="A91" s="2" t="s">
        <v>42</v>
      </c>
      <c r="B91" s="5">
        <v>2750</v>
      </c>
      <c r="C91" s="5">
        <v>4471</v>
      </c>
      <c r="D91" s="5">
        <f t="shared" si="6"/>
        <v>1721</v>
      </c>
      <c r="E91" s="3">
        <v>0.38</v>
      </c>
      <c r="H91" s="2" t="str">
        <f t="shared" si="7"/>
        <v>N/A</v>
      </c>
      <c r="I91" s="2" t="str">
        <f t="shared" si="8"/>
        <v>Medium Discount</v>
      </c>
    </row>
    <row r="92" spans="1:9" x14ac:dyDescent="0.3">
      <c r="A92" s="2" t="s">
        <v>50</v>
      </c>
      <c r="B92" s="5">
        <v>1200</v>
      </c>
      <c r="C92" s="5">
        <v>1950</v>
      </c>
      <c r="D92" s="5">
        <f t="shared" si="6"/>
        <v>750</v>
      </c>
      <c r="E92" s="3">
        <v>0.38</v>
      </c>
      <c r="H92" s="2" t="str">
        <f t="shared" si="7"/>
        <v>N/A</v>
      </c>
      <c r="I92" s="2" t="str">
        <f t="shared" si="8"/>
        <v>Medium Discount</v>
      </c>
    </row>
    <row r="93" spans="1:9" x14ac:dyDescent="0.3">
      <c r="A93" s="2" t="s">
        <v>82</v>
      </c>
      <c r="B93" s="5">
        <v>1460</v>
      </c>
      <c r="C93" s="5">
        <v>2290</v>
      </c>
      <c r="D93" s="5">
        <f t="shared" si="6"/>
        <v>830</v>
      </c>
      <c r="E93" s="3">
        <v>0.36</v>
      </c>
      <c r="H93" s="2" t="str">
        <f t="shared" si="7"/>
        <v>N/A</v>
      </c>
      <c r="I93" s="2" t="str">
        <f t="shared" si="8"/>
        <v>Medium Discount</v>
      </c>
    </row>
    <row r="94" spans="1:9" x14ac:dyDescent="0.3">
      <c r="A94" s="2" t="s">
        <v>105</v>
      </c>
      <c r="B94" s="5">
        <v>1150</v>
      </c>
      <c r="C94" s="5">
        <v>1737</v>
      </c>
      <c r="D94" s="5">
        <f t="shared" si="6"/>
        <v>587</v>
      </c>
      <c r="E94" s="3">
        <v>0.34</v>
      </c>
      <c r="H94" s="2" t="str">
        <f t="shared" si="7"/>
        <v>N/A</v>
      </c>
      <c r="I94" s="2" t="str">
        <f t="shared" si="8"/>
        <v>Medium Discount</v>
      </c>
    </row>
    <row r="95" spans="1:9" x14ac:dyDescent="0.3">
      <c r="A95" s="2" t="s">
        <v>106</v>
      </c>
      <c r="B95" s="5">
        <v>1190</v>
      </c>
      <c r="C95" s="5">
        <v>1810</v>
      </c>
      <c r="D95" s="5">
        <f t="shared" si="6"/>
        <v>620</v>
      </c>
      <c r="E95" s="3">
        <v>0.34</v>
      </c>
      <c r="H95" s="2" t="str">
        <f t="shared" si="7"/>
        <v>N/A</v>
      </c>
      <c r="I95" s="2" t="str">
        <f t="shared" si="8"/>
        <v>Medium Discount</v>
      </c>
    </row>
    <row r="96" spans="1:9" x14ac:dyDescent="0.3">
      <c r="A96" s="2" t="s">
        <v>48</v>
      </c>
      <c r="B96" s="5">
        <v>1190</v>
      </c>
      <c r="C96" s="5">
        <v>1785</v>
      </c>
      <c r="D96" s="5">
        <f t="shared" si="6"/>
        <v>595</v>
      </c>
      <c r="E96" s="3">
        <v>0.33</v>
      </c>
      <c r="H96" s="2" t="str">
        <f t="shared" si="7"/>
        <v>N/A</v>
      </c>
      <c r="I96" s="2" t="str">
        <f t="shared" si="8"/>
        <v>Medium Discount</v>
      </c>
    </row>
    <row r="97" spans="1:9" x14ac:dyDescent="0.3">
      <c r="A97" s="2" t="s">
        <v>60</v>
      </c>
      <c r="B97" s="5">
        <v>2799</v>
      </c>
      <c r="C97" s="5">
        <v>3810</v>
      </c>
      <c r="D97" s="5">
        <f t="shared" si="6"/>
        <v>1011</v>
      </c>
      <c r="E97" s="3">
        <v>0.27</v>
      </c>
      <c r="H97" s="2" t="str">
        <f t="shared" si="7"/>
        <v>N/A</v>
      </c>
      <c r="I97" s="2" t="str">
        <f t="shared" si="8"/>
        <v>Medium Discount</v>
      </c>
    </row>
    <row r="98" spans="1:9" x14ac:dyDescent="0.3">
      <c r="A98" s="2" t="s">
        <v>104</v>
      </c>
      <c r="B98" s="5">
        <v>198</v>
      </c>
      <c r="C98" s="5">
        <v>260</v>
      </c>
      <c r="D98" s="5">
        <f t="shared" ref="D98:D113" si="9">C98-B98</f>
        <v>62</v>
      </c>
      <c r="E98" s="3">
        <v>0.24</v>
      </c>
      <c r="H98" s="2" t="str">
        <f t="shared" ref="H98:H113" si="10">IF(G98="","N/A",IF(G98&lt;3,"Poor",IF(G98&gt;=4.5,"Excellent","Average")))</f>
        <v>N/A</v>
      </c>
      <c r="I98" s="2" t="str">
        <f t="shared" ref="I98:I113" si="11">IF(E98&lt;20%,"Low Discount",IF(E98&gt;40%,"High Discount","Medium Discount"))</f>
        <v>Medium Discount</v>
      </c>
    </row>
    <row r="99" spans="1:9" x14ac:dyDescent="0.3">
      <c r="A99" s="2" t="s">
        <v>54</v>
      </c>
      <c r="B99" s="5">
        <v>299</v>
      </c>
      <c r="C99" s="5">
        <v>384</v>
      </c>
      <c r="D99" s="5">
        <f t="shared" si="9"/>
        <v>85</v>
      </c>
      <c r="E99" s="3">
        <v>0.22</v>
      </c>
      <c r="H99" s="2" t="str">
        <f t="shared" si="10"/>
        <v>N/A</v>
      </c>
      <c r="I99" s="2" t="str">
        <f t="shared" si="11"/>
        <v>Medium Discount</v>
      </c>
    </row>
    <row r="100" spans="1:9" x14ac:dyDescent="0.3">
      <c r="A100" s="2" t="s">
        <v>85</v>
      </c>
      <c r="B100" s="5">
        <v>1466</v>
      </c>
      <c r="C100" s="5">
        <v>1699</v>
      </c>
      <c r="D100" s="5">
        <f t="shared" si="9"/>
        <v>233</v>
      </c>
      <c r="E100" s="3">
        <v>0.14000000000000001</v>
      </c>
      <c r="H100" s="2" t="str">
        <f t="shared" si="10"/>
        <v>N/A</v>
      </c>
      <c r="I100" s="2" t="str">
        <f t="shared" si="11"/>
        <v>Low Discount</v>
      </c>
    </row>
    <row r="101" spans="1:9" x14ac:dyDescent="0.3">
      <c r="A101" s="2" t="s">
        <v>88</v>
      </c>
      <c r="B101" s="5">
        <v>1468</v>
      </c>
      <c r="C101" s="5">
        <v>1699</v>
      </c>
      <c r="D101" s="5">
        <f t="shared" si="9"/>
        <v>231</v>
      </c>
      <c r="E101" s="3">
        <v>0.14000000000000001</v>
      </c>
      <c r="H101" s="2" t="str">
        <f t="shared" si="10"/>
        <v>N/A</v>
      </c>
      <c r="I101" s="2" t="str">
        <f t="shared" si="11"/>
        <v>Low Discount</v>
      </c>
    </row>
    <row r="102" spans="1:9" x14ac:dyDescent="0.3">
      <c r="A102" s="2" t="s">
        <v>87</v>
      </c>
      <c r="B102" s="5">
        <v>799</v>
      </c>
      <c r="C102" s="5">
        <v>900</v>
      </c>
      <c r="D102" s="5">
        <f t="shared" si="9"/>
        <v>101</v>
      </c>
      <c r="E102" s="3">
        <v>0.11</v>
      </c>
      <c r="H102" s="2" t="str">
        <f t="shared" si="10"/>
        <v>N/A</v>
      </c>
      <c r="I102" s="2" t="str">
        <f t="shared" si="11"/>
        <v>Low Discount</v>
      </c>
    </row>
    <row r="103" spans="1:9" x14ac:dyDescent="0.3">
      <c r="A103" s="2" t="s">
        <v>95</v>
      </c>
      <c r="B103" s="5">
        <v>1526</v>
      </c>
      <c r="C103" s="5">
        <v>1660</v>
      </c>
      <c r="D103" s="5">
        <f t="shared" si="9"/>
        <v>134</v>
      </c>
      <c r="E103" s="3">
        <v>0.08</v>
      </c>
      <c r="H103" s="2" t="str">
        <f t="shared" si="10"/>
        <v>N/A</v>
      </c>
      <c r="I103" s="2" t="str">
        <f t="shared" si="11"/>
        <v>Low Discount</v>
      </c>
    </row>
    <row r="104" spans="1:9" x14ac:dyDescent="0.3">
      <c r="A104" s="2" t="s">
        <v>78</v>
      </c>
      <c r="B104" s="5">
        <v>1732</v>
      </c>
      <c r="C104" s="5">
        <v>1799</v>
      </c>
      <c r="D104" s="5">
        <f t="shared" si="9"/>
        <v>67</v>
      </c>
      <c r="E104" s="3">
        <v>0.04</v>
      </c>
      <c r="H104" s="2" t="str">
        <f t="shared" si="10"/>
        <v>N/A</v>
      </c>
      <c r="I104" s="2" t="str">
        <f t="shared" si="11"/>
        <v>Low Discount</v>
      </c>
    </row>
    <row r="105" spans="1:9" x14ac:dyDescent="0.3">
      <c r="A105" s="2" t="s">
        <v>98</v>
      </c>
      <c r="B105" s="5">
        <v>3546</v>
      </c>
      <c r="C105" s="5">
        <v>3699</v>
      </c>
      <c r="D105" s="5">
        <f t="shared" si="9"/>
        <v>153</v>
      </c>
      <c r="E105" s="3">
        <v>0.04</v>
      </c>
      <c r="H105" s="2" t="str">
        <f t="shared" si="10"/>
        <v>N/A</v>
      </c>
      <c r="I105" s="2" t="str">
        <f t="shared" si="11"/>
        <v>Low Discount</v>
      </c>
    </row>
    <row r="106" spans="1:9" x14ac:dyDescent="0.3">
      <c r="A106" s="2" t="s">
        <v>55</v>
      </c>
      <c r="B106" s="5">
        <v>1459</v>
      </c>
      <c r="C106" s="5">
        <v>1499</v>
      </c>
      <c r="D106" s="5">
        <f t="shared" si="9"/>
        <v>40</v>
      </c>
      <c r="E106" s="3">
        <v>0.03</v>
      </c>
      <c r="H106" s="2" t="str">
        <f t="shared" si="10"/>
        <v>N/A</v>
      </c>
      <c r="I106" s="2" t="str">
        <f t="shared" si="11"/>
        <v>Low Discount</v>
      </c>
    </row>
    <row r="107" spans="1:9" x14ac:dyDescent="0.3">
      <c r="A107" s="2" t="s">
        <v>46</v>
      </c>
      <c r="B107" s="5">
        <v>2132</v>
      </c>
      <c r="C107" s="5">
        <v>2169</v>
      </c>
      <c r="D107" s="5">
        <f t="shared" si="9"/>
        <v>37</v>
      </c>
      <c r="E107" s="3">
        <v>0.02</v>
      </c>
      <c r="H107" s="2" t="str">
        <f t="shared" si="10"/>
        <v>N/A</v>
      </c>
      <c r="I107" s="2" t="str">
        <f t="shared" si="11"/>
        <v>Low Discount</v>
      </c>
    </row>
    <row r="108" spans="1:9" x14ac:dyDescent="0.3">
      <c r="A108" s="2" t="s">
        <v>53</v>
      </c>
      <c r="B108" s="5">
        <v>1660</v>
      </c>
      <c r="C108" s="5">
        <v>1699</v>
      </c>
      <c r="D108" s="5">
        <f t="shared" si="9"/>
        <v>39</v>
      </c>
      <c r="E108" s="3">
        <v>0.02</v>
      </c>
      <c r="H108" s="2" t="str">
        <f t="shared" si="10"/>
        <v>N/A</v>
      </c>
      <c r="I108" s="2" t="str">
        <f t="shared" si="11"/>
        <v>Low Discount</v>
      </c>
    </row>
    <row r="109" spans="1:9" x14ac:dyDescent="0.3">
      <c r="A109" s="2" t="s">
        <v>83</v>
      </c>
      <c r="B109" s="5">
        <v>1666</v>
      </c>
      <c r="C109" s="5">
        <v>1699</v>
      </c>
      <c r="D109" s="5">
        <f t="shared" si="9"/>
        <v>33</v>
      </c>
      <c r="E109" s="3">
        <v>0.02</v>
      </c>
      <c r="H109" s="2" t="str">
        <f t="shared" si="10"/>
        <v>N/A</v>
      </c>
      <c r="I109" s="2" t="str">
        <f t="shared" si="11"/>
        <v>Low Discount</v>
      </c>
    </row>
    <row r="110" spans="1:9" x14ac:dyDescent="0.3">
      <c r="A110" s="2" t="s">
        <v>96</v>
      </c>
      <c r="B110" s="5">
        <v>1462</v>
      </c>
      <c r="C110" s="5">
        <v>1499</v>
      </c>
      <c r="D110" s="5">
        <f t="shared" si="9"/>
        <v>37</v>
      </c>
      <c r="E110" s="3">
        <v>0.02</v>
      </c>
      <c r="H110" s="2" t="str">
        <f t="shared" si="10"/>
        <v>N/A</v>
      </c>
      <c r="I110" s="2" t="str">
        <f t="shared" si="11"/>
        <v>Low Discount</v>
      </c>
    </row>
    <row r="111" spans="1:9" x14ac:dyDescent="0.3">
      <c r="A111" s="2" t="s">
        <v>107</v>
      </c>
      <c r="B111" s="5">
        <v>1658</v>
      </c>
      <c r="C111" s="5">
        <v>1699</v>
      </c>
      <c r="D111" s="5">
        <f t="shared" si="9"/>
        <v>41</v>
      </c>
      <c r="E111" s="3">
        <v>0.02</v>
      </c>
      <c r="H111" s="2" t="str">
        <f t="shared" si="10"/>
        <v>N/A</v>
      </c>
      <c r="I111" s="2" t="str">
        <f t="shared" si="11"/>
        <v>Low Discount</v>
      </c>
    </row>
    <row r="112" spans="1:9" x14ac:dyDescent="0.3">
      <c r="A112" s="2" t="s">
        <v>108</v>
      </c>
      <c r="B112" s="5">
        <v>1768</v>
      </c>
      <c r="C112" s="5">
        <v>1799</v>
      </c>
      <c r="D112" s="5">
        <f t="shared" si="9"/>
        <v>31</v>
      </c>
      <c r="E112" s="3">
        <v>0.02</v>
      </c>
      <c r="H112" s="2" t="str">
        <f t="shared" si="10"/>
        <v>N/A</v>
      </c>
      <c r="I112" s="2" t="str">
        <f t="shared" si="11"/>
        <v>Low Discount</v>
      </c>
    </row>
    <row r="113" spans="1:9" x14ac:dyDescent="0.3">
      <c r="A113" s="2" t="s">
        <v>103</v>
      </c>
      <c r="B113" s="5">
        <v>1875</v>
      </c>
      <c r="C113" s="5">
        <v>1899</v>
      </c>
      <c r="D113" s="5">
        <f t="shared" si="9"/>
        <v>24</v>
      </c>
      <c r="E113" s="3">
        <v>0.01</v>
      </c>
      <c r="H113" s="2" t="str">
        <f t="shared" si="10"/>
        <v>N/A</v>
      </c>
      <c r="I113" s="2" t="str">
        <f t="shared" si="11"/>
        <v>Low Discount</v>
      </c>
    </row>
    <row r="114" spans="1:9" x14ac:dyDescent="0.3">
      <c r="A114"/>
      <c r="B114" s="6"/>
      <c r="C114" s="6"/>
      <c r="D114" s="6"/>
      <c r="E114"/>
      <c r="F114"/>
      <c r="G114" s="9"/>
    </row>
    <row r="115" spans="1:9" x14ac:dyDescent="0.3">
      <c r="A115" s="2" t="s">
        <v>118</v>
      </c>
      <c r="B115" s="15">
        <f>AVERAGE(B2:B114)</f>
        <v>1186.8928571428571</v>
      </c>
      <c r="C115" s="15">
        <f t="shared" ref="C115" si="12">AVERAGE(C2:C114)</f>
        <v>1811.1071428571429</v>
      </c>
      <c r="D115" s="15"/>
      <c r="E115" s="13">
        <f>AVERAGE(E2:E114)</f>
        <v>0.36776785714285726</v>
      </c>
      <c r="F115" s="15"/>
      <c r="G115" s="15">
        <f t="shared" ref="G115" si="13">AVERAGE(G2:G114)</f>
        <v>3.8894736842105266</v>
      </c>
    </row>
    <row r="116" spans="1:9" x14ac:dyDescent="0.3">
      <c r="B116" s="6"/>
      <c r="C116" s="6"/>
      <c r="D116" s="6"/>
      <c r="E116" s="6"/>
      <c r="F116" s="6"/>
      <c r="G116" s="6"/>
    </row>
    <row r="117" spans="1:9" ht="78.599999999999994" customHeight="1" x14ac:dyDescent="0.3">
      <c r="A117" s="2" t="s">
        <v>119</v>
      </c>
      <c r="B117" s="14" t="str">
        <f>INDEX(A2:A113,MATCH(3750,B2:B113,0))</f>
        <v>32PCS Portable Cordless Drill Set With Cyclic Battery Drive -26 Variable Speed</v>
      </c>
      <c r="C117" s="6"/>
      <c r="D117" s="6"/>
      <c r="E117"/>
      <c r="F117"/>
      <c r="G117" s="9"/>
    </row>
    <row r="118" spans="1:9" x14ac:dyDescent="0.3">
      <c r="B118" s="5">
        <f>MAX(B2:B113)</f>
        <v>3750</v>
      </c>
    </row>
    <row r="120" spans="1:9" ht="62.4" x14ac:dyDescent="0.3">
      <c r="A120" s="2" t="s">
        <v>120</v>
      </c>
      <c r="B120" s="14" t="str">
        <f>INDEX(A2:A113,MATCH(38,B2:B113,0))</f>
        <v>3PCS Single Head Knitting Crochet Sweater Needle Set</v>
      </c>
    </row>
    <row r="121" spans="1:9" x14ac:dyDescent="0.3">
      <c r="B121" s="5">
        <f>MIN(B2:B113)</f>
        <v>38</v>
      </c>
    </row>
    <row r="123" spans="1:9" x14ac:dyDescent="0.3">
      <c r="A123" s="2" t="s">
        <v>138</v>
      </c>
      <c r="B123" s="5" t="s">
        <v>121</v>
      </c>
      <c r="C123" s="15">
        <f>AVERAGEIF(H2:H113,"Poor",G2:G113)</f>
        <v>2.3916666666666666</v>
      </c>
    </row>
    <row r="124" spans="1:9" x14ac:dyDescent="0.3">
      <c r="B124" s="5" t="s">
        <v>122</v>
      </c>
      <c r="C124" s="15">
        <f>AVERAGEIF(H2:H113,"Average",G2:G113)</f>
        <v>3.8090909090909082</v>
      </c>
    </row>
    <row r="125" spans="1:9" x14ac:dyDescent="0.3">
      <c r="B125" s="5" t="s">
        <v>123</v>
      </c>
      <c r="C125" s="15">
        <f>AVERAGEIF(H2:H113,"Excellent",G2:G113)</f>
        <v>4.7478260869565219</v>
      </c>
    </row>
    <row r="126" spans="1:9" x14ac:dyDescent="0.3">
      <c r="B126" s="5" t="s">
        <v>124</v>
      </c>
      <c r="C126" s="15">
        <v>0</v>
      </c>
    </row>
    <row r="128" spans="1:9" x14ac:dyDescent="0.3">
      <c r="A128" s="2" t="s">
        <v>128</v>
      </c>
      <c r="B128" s="5" t="s">
        <v>126</v>
      </c>
      <c r="C128" s="13">
        <f>AVERAGEIF($I$2:$I$113,"Low Discount",$E$2:$E$113)</f>
        <v>7.2222222222222243E-2</v>
      </c>
    </row>
    <row r="129" spans="1:3" x14ac:dyDescent="0.3">
      <c r="B129" s="5" t="s">
        <v>125</v>
      </c>
      <c r="C129" s="13">
        <f>AVERAGEIF($I$2:$I$113,"Medium Discount",$E$2:$E$113)</f>
        <v>0.31</v>
      </c>
    </row>
    <row r="130" spans="1:3" x14ac:dyDescent="0.3">
      <c r="B130" s="5" t="s">
        <v>127</v>
      </c>
      <c r="C130" s="13">
        <f>AVERAGEIF($I$2:$I$113,"High Discount",$E$2:$E$113)</f>
        <v>0.48338709677419334</v>
      </c>
    </row>
    <row r="133" spans="1:3" x14ac:dyDescent="0.3">
      <c r="A133" s="2" t="s">
        <v>132</v>
      </c>
      <c r="B133" s="2" t="s">
        <v>21</v>
      </c>
    </row>
    <row r="134" spans="1:3" x14ac:dyDescent="0.3">
      <c r="B134" s="2" t="s">
        <v>39</v>
      </c>
    </row>
    <row r="135" spans="1:3" x14ac:dyDescent="0.3">
      <c r="B135" s="2" t="s">
        <v>19</v>
      </c>
    </row>
    <row r="136" spans="1:3" x14ac:dyDescent="0.3">
      <c r="B136" s="2" t="s">
        <v>20</v>
      </c>
    </row>
    <row r="137" spans="1:3" x14ac:dyDescent="0.3">
      <c r="B137" s="2" t="s">
        <v>81</v>
      </c>
    </row>
    <row r="140" spans="1:3" x14ac:dyDescent="0.3">
      <c r="A140" s="2" t="s">
        <v>133</v>
      </c>
      <c r="B140" s="20" t="s">
        <v>67</v>
      </c>
    </row>
    <row r="141" spans="1:3" x14ac:dyDescent="0.3">
      <c r="B141" s="20" t="s">
        <v>74</v>
      </c>
    </row>
    <row r="142" spans="1:3" x14ac:dyDescent="0.3">
      <c r="B142" s="20" t="s">
        <v>63</v>
      </c>
    </row>
    <row r="143" spans="1:3" x14ac:dyDescent="0.3">
      <c r="B143" s="20" t="s">
        <v>75</v>
      </c>
    </row>
    <row r="144" spans="1:3" x14ac:dyDescent="0.3">
      <c r="B144" s="20" t="s">
        <v>110</v>
      </c>
    </row>
    <row r="146" spans="1:7" x14ac:dyDescent="0.3">
      <c r="A146" s="2" t="s">
        <v>134</v>
      </c>
      <c r="B146" s="2" t="s">
        <v>109</v>
      </c>
      <c r="D146" s="2"/>
      <c r="F146" s="8"/>
      <c r="G146" s="2"/>
    </row>
    <row r="147" spans="1:7" x14ac:dyDescent="0.3">
      <c r="B147" s="2" t="s">
        <v>51</v>
      </c>
      <c r="D147" s="2"/>
      <c r="F147" s="8"/>
      <c r="G147" s="2"/>
    </row>
    <row r="148" spans="1:7" x14ac:dyDescent="0.3">
      <c r="B148" s="2" t="s">
        <v>12</v>
      </c>
      <c r="D148" s="2"/>
      <c r="F148" s="8"/>
      <c r="G148" s="2"/>
    </row>
    <row r="149" spans="1:7" x14ac:dyDescent="0.3">
      <c r="B149" s="2" t="s">
        <v>63</v>
      </c>
      <c r="D149" s="2"/>
      <c r="F149" s="8"/>
      <c r="G149" s="2"/>
    </row>
    <row r="150" spans="1:7" x14ac:dyDescent="0.3">
      <c r="B150" s="2" t="s">
        <v>57</v>
      </c>
      <c r="D150" s="2"/>
      <c r="F150" s="8"/>
      <c r="G150" s="2"/>
    </row>
    <row r="151" spans="1:7" x14ac:dyDescent="0.3">
      <c r="B151" s="2" t="s">
        <v>28</v>
      </c>
      <c r="D151" s="2"/>
      <c r="F151" s="8"/>
      <c r="G151" s="2"/>
    </row>
    <row r="152" spans="1:7" x14ac:dyDescent="0.3">
      <c r="B152" s="2" t="s">
        <v>62</v>
      </c>
      <c r="D152" s="2"/>
      <c r="F152" s="8"/>
      <c r="G152" s="2"/>
    </row>
    <row r="153" spans="1:7" x14ac:dyDescent="0.3">
      <c r="B153" s="2" t="s">
        <v>39</v>
      </c>
      <c r="D153" s="2"/>
      <c r="F153" s="8"/>
      <c r="G153" s="2"/>
    </row>
    <row r="154" spans="1:7" x14ac:dyDescent="0.3">
      <c r="B154" s="2" t="s">
        <v>24</v>
      </c>
      <c r="D154" s="2"/>
      <c r="F154" s="8"/>
      <c r="G154" s="2"/>
    </row>
    <row r="155" spans="1:7" x14ac:dyDescent="0.3">
      <c r="B155" s="2" t="s">
        <v>33</v>
      </c>
      <c r="D155" s="2"/>
      <c r="F155" s="8"/>
      <c r="G155" s="2"/>
    </row>
    <row r="156" spans="1:7" x14ac:dyDescent="0.3">
      <c r="D156" s="2"/>
      <c r="F156" s="8"/>
      <c r="G156" s="2"/>
    </row>
    <row r="157" spans="1:7" x14ac:dyDescent="0.3">
      <c r="A157" s="2" t="s">
        <v>135</v>
      </c>
      <c r="B157" s="2" t="s">
        <v>64</v>
      </c>
      <c r="D157" s="2"/>
      <c r="G157" s="2"/>
    </row>
    <row r="158" spans="1:7" x14ac:dyDescent="0.3">
      <c r="B158" s="2" t="s">
        <v>10</v>
      </c>
      <c r="D158" s="2"/>
      <c r="G158" s="2"/>
    </row>
    <row r="159" spans="1:7" x14ac:dyDescent="0.3">
      <c r="B159" s="2" t="s">
        <v>29</v>
      </c>
      <c r="D159" s="2"/>
      <c r="G159" s="2"/>
    </row>
    <row r="160" spans="1:7" x14ac:dyDescent="0.3">
      <c r="B160" s="2" t="s">
        <v>23</v>
      </c>
      <c r="D160" s="2"/>
      <c r="G160" s="2"/>
    </row>
    <row r="161" spans="2:7" x14ac:dyDescent="0.3">
      <c r="B161" s="2" t="s">
        <v>15</v>
      </c>
      <c r="D161" s="2"/>
      <c r="G161" s="2"/>
    </row>
    <row r="162" spans="2:7" x14ac:dyDescent="0.3">
      <c r="B162" s="2" t="s">
        <v>40</v>
      </c>
      <c r="D162" s="2"/>
      <c r="G162" s="2"/>
    </row>
    <row r="163" spans="2:7" x14ac:dyDescent="0.3">
      <c r="B163" s="2" t="s">
        <v>37</v>
      </c>
      <c r="D163" s="2"/>
      <c r="G163" s="2"/>
    </row>
    <row r="164" spans="2:7" x14ac:dyDescent="0.3">
      <c r="B164" s="2" t="s">
        <v>6</v>
      </c>
      <c r="D164" s="2"/>
      <c r="G164" s="2"/>
    </row>
    <row r="165" spans="2:7" x14ac:dyDescent="0.3">
      <c r="B165" s="2" t="s">
        <v>32</v>
      </c>
      <c r="D165" s="2"/>
      <c r="G165" s="2"/>
    </row>
    <row r="166" spans="2:7" x14ac:dyDescent="0.3">
      <c r="B166" s="2" t="s">
        <v>36</v>
      </c>
      <c r="D166" s="2"/>
      <c r="G166" s="2"/>
    </row>
  </sheetData>
  <autoFilter ref="A1:G113" xr:uid="{00000000-0009-0000-0000-000001000000}"/>
  <sortState xmlns:xlrd2="http://schemas.microsoft.com/office/spreadsheetml/2017/richdata2" ref="A2:I113">
    <sortCondition descending="1" ref="G2:G113"/>
    <sortCondition descending="1" ref="F2:F113"/>
  </sortState>
  <phoneticPr fontId="2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5D531-BF10-4753-B064-1C84AAED6A86}">
  <dimension ref="A1"/>
  <sheetViews>
    <sheetView tabSelected="1" zoomScale="55" zoomScaleNormal="55" workbookViewId="0">
      <selection activeCell="Z12" sqref="Z12"/>
    </sheetView>
  </sheetViews>
  <sheetFormatPr defaultRowHeight="13.8" x14ac:dyDescent="0.25"/>
  <cols>
    <col min="1" max="16384" width="8.8867187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Review and Discount trend</vt:lpstr>
      <vt:lpstr>Ratings Vs Reviews trend</vt:lpstr>
      <vt:lpstr>High and Low Discount Performan</vt:lpstr>
      <vt:lpstr>Excel_jumia_dataset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Ochieng</dc:creator>
  <cp:lastModifiedBy>Benjamin Ochieng</cp:lastModifiedBy>
  <dcterms:created xsi:type="dcterms:W3CDTF">2026-06-11T15:29:33Z</dcterms:created>
  <dcterms:modified xsi:type="dcterms:W3CDTF">2026-06-13T17:39:39Z</dcterms:modified>
</cp:coreProperties>
</file>